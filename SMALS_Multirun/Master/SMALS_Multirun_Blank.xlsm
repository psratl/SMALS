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9" codeName="{3D1A710C-6663-3D7B-7F91-EC182F24A4BC}"/>
  <workbookPr codeName="ThisWorkbook"/>
  <mc:AlternateContent xmlns:mc="http://schemas.openxmlformats.org/markup-compatibility/2006">
    <mc:Choice Requires="x15">
      <x15ac:absPath xmlns:x15ac="http://schemas.microsoft.com/office/spreadsheetml/2010/11/ac" url="C:\PR\Task\Work\ComputerPrograms\SMALS\SMALS_Multirun\Master\"/>
    </mc:Choice>
  </mc:AlternateContent>
  <xr:revisionPtr revIDLastSave="0" documentId="13_ncr:1_{1AE136E5-3620-40F3-882A-C48EED41E9AF}" xr6:coauthVersionLast="36" xr6:coauthVersionMax="36" xr10:uidLastSave="{00000000-0000-0000-0000-000000000000}"/>
  <bookViews>
    <workbookView xWindow="0" yWindow="0" windowWidth="17070" windowHeight="5963" tabRatio="883" activeTab="7" xr2:uid="{00000000-000D-0000-FFFF-FFFF00000000}"/>
  </bookViews>
  <sheets>
    <sheet name="DesignNotes" sheetId="97" r:id="rId1"/>
    <sheet name="Instructions" sheetId="17" r:id="rId2"/>
    <sheet name="Parameters" sheetId="39" r:id="rId3"/>
    <sheet name="Main" sheetId="9" r:id="rId4"/>
    <sheet name="ForExport" sheetId="102" r:id="rId5"/>
    <sheet name="MEXP" sheetId="106" r:id="rId6"/>
    <sheet name="Cumulant" sheetId="107" r:id="rId7"/>
    <sheet name="Trend" sheetId="118" r:id="rId8"/>
  </sheets>
  <definedNames>
    <definedName name="ampl1" localSheetId="6">Cumulant!#REF!</definedName>
    <definedName name="ampl1">MEXP!$E$5</definedName>
    <definedName name="ampl2" localSheetId="6">Cumulant!#REF!</definedName>
    <definedName name="ampl2">MEXP!$E$6</definedName>
    <definedName name="ampl3" localSheetId="6">Cumulant!#REF!</definedName>
    <definedName name="ampl3">MEXP!$E$7</definedName>
    <definedName name="BaseAdjust" localSheetId="6">Cumulant!#REF!</definedName>
    <definedName name="BaseAdjust">MEXP!$E$4</definedName>
    <definedName name="CumOffset">Cumulant!$E$4</definedName>
    <definedName name="EtaCP">Parameters!$B$6</definedName>
    <definedName name="EtacPFinal">Main!$B$7</definedName>
    <definedName name="EtaP">Parameters!$C$6</definedName>
    <definedName name="fcoh">Cumulant!$E$5</definedName>
    <definedName name="gamma1" localSheetId="6">Cumulant!#REF!</definedName>
    <definedName name="gamma1">MEXP!$G$5</definedName>
    <definedName name="gamma2" localSheetId="6">Cumulant!#REF!</definedName>
    <definedName name="gamma2">MEXP!$G$6</definedName>
    <definedName name="gamma3" localSheetId="6">Cumulant!#REF!</definedName>
    <definedName name="gamma3">MEXP!$G$7</definedName>
    <definedName name="GammaBar">Cumulant!$E$6</definedName>
    <definedName name="ISolventDet1">Trend!$E$116</definedName>
    <definedName name="ISolventDet2">Trend!$E$117</definedName>
    <definedName name="ISolventDet3">Trend!$E$118</definedName>
    <definedName name="ISolventDet4">Trend!$E$119</definedName>
    <definedName name="ISolventDet5">Trend!$E$120</definedName>
    <definedName name="ISolventDet6">Trend!$E$121</definedName>
    <definedName name="ISolventDet7">Trend!$E$122</definedName>
    <definedName name="ISolventDet8">Trend!$E$123</definedName>
    <definedName name="kBoltz">Parameters!$B$3</definedName>
    <definedName name="LamCM">Parameters!$C$4</definedName>
    <definedName name="LamnmFinal">Main!$B$8</definedName>
    <definedName name="LastChanUsed" localSheetId="6">Cumulant!$H$6</definedName>
    <definedName name="LastChanUsed">MEXP!$K$6</definedName>
    <definedName name="mufour">Cumulant!$H$8</definedName>
    <definedName name="muthree">Cumulant!$E$8</definedName>
    <definedName name="mutwo">Cumulant!$E$7</definedName>
    <definedName name="NormDet1">Trend!$E$129</definedName>
    <definedName name="NormDet2">Trend!$E$130</definedName>
    <definedName name="NormDet3">Trend!$E$131</definedName>
    <definedName name="NormDet4">Trend!$E$132</definedName>
    <definedName name="NormDet5">Trend!$E$133</definedName>
    <definedName name="NormDet6">Trend!$E$134</definedName>
    <definedName name="NormDet7">Trend!$E$135</definedName>
    <definedName name="NormDet8">Trend!$E$136</definedName>
    <definedName name="NumFilesOpened">Main!$B$13</definedName>
    <definedName name="Refin">Parameters!$B$5</definedName>
    <definedName name="RefinFinal">Main!$B$6</definedName>
    <definedName name="solver_adj" localSheetId="6" hidden="1">Cumulant!$E$4:$E$7</definedName>
    <definedName name="solver_adj" localSheetId="5" hidden="1">MEXP!$E$4,MEXP!$E$5,MEXP!$G$5</definedName>
    <definedName name="solver_cvg" localSheetId="6" hidden="1">0.0000001</definedName>
    <definedName name="solver_cvg" localSheetId="5" hidden="1">0.000001</definedName>
    <definedName name="solver_cvg" localSheetId="7" hidden="1">0.000001</definedName>
    <definedName name="solver_drv" localSheetId="6" hidden="1">2</definedName>
    <definedName name="solver_drv" localSheetId="5" hidden="1">2</definedName>
    <definedName name="solver_drv" localSheetId="7" hidden="1">1</definedName>
    <definedName name="solver_eng" localSheetId="6" hidden="1">1</definedName>
    <definedName name="solver_eng" localSheetId="5" hidden="1">1</definedName>
    <definedName name="solver_eng" localSheetId="7" hidden="1">1</definedName>
    <definedName name="solver_est" localSheetId="6" hidden="1">1</definedName>
    <definedName name="solver_est" localSheetId="5" hidden="1">1</definedName>
    <definedName name="solver_est" localSheetId="7" hidden="1">1</definedName>
    <definedName name="solver_itr" localSheetId="6" hidden="1">2147483647</definedName>
    <definedName name="solver_itr" localSheetId="5" hidden="1">2147483647</definedName>
    <definedName name="solver_itr" localSheetId="7" hidden="1">2147483647</definedName>
    <definedName name="solver_mip" localSheetId="6" hidden="1">2147483647</definedName>
    <definedName name="solver_mip" localSheetId="5" hidden="1">2147483647</definedName>
    <definedName name="solver_mip" localSheetId="7" hidden="1">2147483647</definedName>
    <definedName name="solver_mni" localSheetId="6" hidden="1">30</definedName>
    <definedName name="solver_mni" localSheetId="5" hidden="1">30</definedName>
    <definedName name="solver_mni" localSheetId="7" hidden="1">30</definedName>
    <definedName name="solver_mrt" localSheetId="6" hidden="1">0.075</definedName>
    <definedName name="solver_mrt" localSheetId="5" hidden="1">0.075</definedName>
    <definedName name="solver_mrt" localSheetId="7" hidden="1">0.075</definedName>
    <definedName name="solver_msl" localSheetId="6" hidden="1">1</definedName>
    <definedName name="solver_msl" localSheetId="5" hidden="1">1</definedName>
    <definedName name="solver_msl" localSheetId="7" hidden="1">2</definedName>
    <definedName name="solver_neg" localSheetId="6" hidden="1">2</definedName>
    <definedName name="solver_neg" localSheetId="5" hidden="1">1</definedName>
    <definedName name="solver_neg" localSheetId="7" hidden="1">1</definedName>
    <definedName name="solver_nod" localSheetId="6" hidden="1">2147483647</definedName>
    <definedName name="solver_nod" localSheetId="5" hidden="1">2147483647</definedName>
    <definedName name="solver_nod" localSheetId="7" hidden="1">2147483647</definedName>
    <definedName name="solver_num" localSheetId="6" hidden="1">0</definedName>
    <definedName name="solver_num" localSheetId="5" hidden="1">0</definedName>
    <definedName name="solver_num" localSheetId="7" hidden="1">0</definedName>
    <definedName name="solver_nwt" localSheetId="6" hidden="1">1</definedName>
    <definedName name="solver_nwt" localSheetId="5" hidden="1">1</definedName>
    <definedName name="solver_nwt" localSheetId="7" hidden="1">1</definedName>
    <definedName name="solver_opt" localSheetId="6" hidden="1">Cumulant!$H$11</definedName>
    <definedName name="solver_opt" localSheetId="5" hidden="1">MEXP!$H$11</definedName>
    <definedName name="solver_opt" localSheetId="7" hidden="1">Trend!$E$153</definedName>
    <definedName name="solver_pre" localSheetId="6" hidden="1">0.0000001</definedName>
    <definedName name="solver_pre" localSheetId="5" hidden="1">0.0000001</definedName>
    <definedName name="solver_pre" localSheetId="7" hidden="1">0.0000001</definedName>
    <definedName name="solver_rbv" localSheetId="6" hidden="1">2</definedName>
    <definedName name="solver_rbv" localSheetId="5" hidden="1">2</definedName>
    <definedName name="solver_rbv" localSheetId="7" hidden="1">2</definedName>
    <definedName name="solver_rlx" localSheetId="6" hidden="1">2</definedName>
    <definedName name="solver_rlx" localSheetId="5" hidden="1">2</definedName>
    <definedName name="solver_rlx" localSheetId="7" hidden="1">2</definedName>
    <definedName name="solver_rsd" localSheetId="6" hidden="1">0</definedName>
    <definedName name="solver_rsd" localSheetId="5" hidden="1">0</definedName>
    <definedName name="solver_rsd" localSheetId="7" hidden="1">0</definedName>
    <definedName name="solver_scl" localSheetId="6" hidden="1">1</definedName>
    <definedName name="solver_scl" localSheetId="5" hidden="1">1</definedName>
    <definedName name="solver_scl" localSheetId="7" hidden="1">1</definedName>
    <definedName name="solver_sho" localSheetId="6" hidden="1">2</definedName>
    <definedName name="solver_sho" localSheetId="5" hidden="1">2</definedName>
    <definedName name="solver_sho" localSheetId="7" hidden="1">2</definedName>
    <definedName name="solver_ssz" localSheetId="6" hidden="1">100</definedName>
    <definedName name="solver_ssz" localSheetId="5" hidden="1">100</definedName>
    <definedName name="solver_ssz" localSheetId="7" hidden="1">100</definedName>
    <definedName name="solver_tim" localSheetId="6" hidden="1">2147483647</definedName>
    <definedName name="solver_tim" localSheetId="5" hidden="1">2147483647</definedName>
    <definedName name="solver_tim" localSheetId="7" hidden="1">2147483647</definedName>
    <definedName name="solver_tol" localSheetId="6" hidden="1">0.01</definedName>
    <definedName name="solver_tol" localSheetId="5" hidden="1">0.01</definedName>
    <definedName name="solver_tol" localSheetId="7" hidden="1">0.01</definedName>
    <definedName name="solver_typ" localSheetId="6" hidden="1">2</definedName>
    <definedName name="solver_typ" localSheetId="5" hidden="1">2</definedName>
    <definedName name="solver_typ" localSheetId="7" hidden="1">1</definedName>
    <definedName name="solver_val" localSheetId="6" hidden="1">0</definedName>
    <definedName name="solver_val" localSheetId="5" hidden="1">0</definedName>
    <definedName name="solver_val" localSheetId="7" hidden="1">0</definedName>
    <definedName name="solver_ver" localSheetId="6" hidden="1">3</definedName>
    <definedName name="solver_ver" localSheetId="5" hidden="1">3</definedName>
    <definedName name="solver_ver" localSheetId="7" hidden="1">3</definedName>
    <definedName name="TdegCFinal">Main!$B$5</definedName>
    <definedName name="TdegK">Parameters!$B$8</definedName>
    <definedName name="WhichFunction">Main!$B$16</definedName>
  </definedNames>
  <calcPr calcId="191029"/>
</workbook>
</file>

<file path=xl/calcChain.xml><?xml version="1.0" encoding="utf-8"?>
<calcChain xmlns="http://schemas.openxmlformats.org/spreadsheetml/2006/main">
  <c r="E198" i="118" l="1"/>
  <c r="E197" i="118"/>
  <c r="E196" i="118"/>
  <c r="E195" i="118"/>
  <c r="E194" i="118"/>
  <c r="E193" i="118"/>
  <c r="E192" i="118"/>
  <c r="E191" i="118"/>
  <c r="E190" i="118"/>
  <c r="E189" i="118"/>
  <c r="E188" i="118"/>
  <c r="E187" i="118"/>
  <c r="E186" i="118"/>
  <c r="E185" i="118"/>
  <c r="E184" i="118"/>
  <c r="E183" i="118"/>
  <c r="E182" i="118"/>
  <c r="E181" i="118"/>
  <c r="E180" i="118"/>
  <c r="E179" i="118"/>
  <c r="E178" i="118"/>
  <c r="H171" i="118"/>
  <c r="I171" i="118"/>
  <c r="J171" i="118"/>
  <c r="K171" i="118"/>
  <c r="L171" i="118"/>
  <c r="M171" i="118"/>
  <c r="N171" i="118"/>
  <c r="O171" i="118"/>
  <c r="P171" i="118"/>
  <c r="Q171" i="118"/>
  <c r="R171" i="118"/>
  <c r="S171" i="118"/>
  <c r="T171" i="118"/>
  <c r="U171" i="118"/>
  <c r="V171" i="118"/>
  <c r="W171" i="118"/>
  <c r="X171" i="118"/>
  <c r="Y171" i="118"/>
  <c r="Z171" i="118"/>
  <c r="G171" i="118" l="1"/>
  <c r="F171" i="118"/>
  <c r="E129" i="118" l="1"/>
  <c r="E130" i="118"/>
  <c r="E131" i="118"/>
  <c r="E136" i="118"/>
  <c r="E135" i="118"/>
  <c r="E134" i="118"/>
  <c r="E133" i="118"/>
  <c r="E132" i="118"/>
  <c r="G152" i="118" l="1"/>
  <c r="H152" i="118"/>
  <c r="I152" i="118"/>
  <c r="J152" i="118"/>
  <c r="K152" i="118"/>
  <c r="L152" i="118"/>
  <c r="M152" i="118"/>
  <c r="N152" i="118"/>
  <c r="O152" i="118"/>
  <c r="P152" i="118"/>
  <c r="Q152" i="118"/>
  <c r="R152" i="118"/>
  <c r="S152" i="118"/>
  <c r="T152" i="118"/>
  <c r="U152" i="118"/>
  <c r="V152" i="118"/>
  <c r="W152" i="118"/>
  <c r="X152" i="118"/>
  <c r="Y152" i="118"/>
  <c r="Z152" i="118"/>
  <c r="AA152" i="118"/>
  <c r="AB152" i="118"/>
  <c r="AC152" i="118"/>
  <c r="AD152" i="118"/>
  <c r="AE152" i="118"/>
  <c r="AF152" i="118"/>
  <c r="AG152" i="118"/>
  <c r="AH152" i="118"/>
  <c r="AI152" i="118"/>
  <c r="AJ152" i="118"/>
  <c r="AK152" i="118"/>
  <c r="AL152" i="118"/>
  <c r="AM152" i="118"/>
  <c r="AN152" i="118"/>
  <c r="AO152" i="118"/>
  <c r="AP152" i="118"/>
  <c r="AQ152" i="118"/>
  <c r="AR152" i="118"/>
  <c r="AS152" i="118"/>
  <c r="AT152" i="118"/>
  <c r="AU152" i="118"/>
  <c r="AV152" i="118"/>
  <c r="AW152" i="118"/>
  <c r="AX152" i="118"/>
  <c r="AY152" i="118"/>
  <c r="AZ152" i="118"/>
  <c r="BA152" i="118"/>
  <c r="BB152" i="118"/>
  <c r="BC152" i="118"/>
  <c r="BD152" i="118"/>
  <c r="BE152" i="118"/>
  <c r="BF152" i="118"/>
  <c r="BG152" i="118"/>
  <c r="BH152" i="118"/>
  <c r="BI152" i="118"/>
  <c r="BJ152" i="118"/>
  <c r="BK152" i="118"/>
  <c r="BL152" i="118"/>
  <c r="BM152" i="118"/>
  <c r="BN152" i="118"/>
  <c r="BO152" i="118"/>
  <c r="BP152" i="118"/>
  <c r="BQ152" i="118"/>
  <c r="BR152" i="118"/>
  <c r="BS152" i="118"/>
  <c r="BT152" i="118"/>
  <c r="BU152" i="118"/>
  <c r="BV152" i="118"/>
  <c r="BW152" i="118"/>
  <c r="BX152" i="118"/>
  <c r="BY152" i="118"/>
  <c r="BZ152" i="118"/>
  <c r="CA152" i="118"/>
  <c r="CB152" i="118"/>
  <c r="CC152" i="118"/>
  <c r="CD152" i="118"/>
  <c r="CE152" i="118"/>
  <c r="CF152" i="118"/>
  <c r="CG152" i="118"/>
  <c r="CH152" i="118"/>
  <c r="CI152" i="118"/>
  <c r="CJ152" i="118"/>
  <c r="CK152" i="118"/>
  <c r="CL152" i="118"/>
  <c r="CM152" i="118"/>
  <c r="CN152" i="118"/>
  <c r="CO152" i="118"/>
  <c r="CP152" i="118"/>
  <c r="CQ152" i="118"/>
  <c r="CR152" i="118"/>
  <c r="CS152" i="118"/>
  <c r="CT152" i="118"/>
  <c r="CU152" i="118"/>
  <c r="CV152" i="118"/>
  <c r="CW152" i="118"/>
  <c r="CX152" i="118"/>
  <c r="CY152" i="118"/>
  <c r="CZ152" i="118"/>
  <c r="DA152" i="118"/>
  <c r="G153" i="118"/>
  <c r="H153" i="118"/>
  <c r="I153" i="118"/>
  <c r="J153" i="118"/>
  <c r="K153" i="118"/>
  <c r="L153" i="118"/>
  <c r="M153" i="118"/>
  <c r="N153" i="118"/>
  <c r="O153" i="118"/>
  <c r="P153" i="118"/>
  <c r="Q153" i="118"/>
  <c r="R153" i="118"/>
  <c r="S153" i="118"/>
  <c r="T153" i="118"/>
  <c r="U153" i="118"/>
  <c r="V153" i="118"/>
  <c r="W153" i="118"/>
  <c r="X153" i="118"/>
  <c r="Y153" i="118"/>
  <c r="Z153" i="118"/>
  <c r="AA153" i="118"/>
  <c r="AB153" i="118"/>
  <c r="AC153" i="118"/>
  <c r="AD153" i="118"/>
  <c r="AE153" i="118"/>
  <c r="AF153" i="118"/>
  <c r="AG153" i="118"/>
  <c r="AH153" i="118"/>
  <c r="AI153" i="118"/>
  <c r="AJ153" i="118"/>
  <c r="AK153" i="118"/>
  <c r="AL153" i="118"/>
  <c r="AM153" i="118"/>
  <c r="AN153" i="118"/>
  <c r="AO153" i="118"/>
  <c r="AP153" i="118"/>
  <c r="AQ153" i="118"/>
  <c r="AR153" i="118"/>
  <c r="AS153" i="118"/>
  <c r="AT153" i="118"/>
  <c r="AU153" i="118"/>
  <c r="AV153" i="118"/>
  <c r="AW153" i="118"/>
  <c r="AX153" i="118"/>
  <c r="AY153" i="118"/>
  <c r="AZ153" i="118"/>
  <c r="BA153" i="118"/>
  <c r="BB153" i="118"/>
  <c r="BC153" i="118"/>
  <c r="BD153" i="118"/>
  <c r="BE153" i="118"/>
  <c r="BF153" i="118"/>
  <c r="BG153" i="118"/>
  <c r="BH153" i="118"/>
  <c r="BI153" i="118"/>
  <c r="BJ153" i="118"/>
  <c r="BK153" i="118"/>
  <c r="BL153" i="118"/>
  <c r="BM153" i="118"/>
  <c r="BN153" i="118"/>
  <c r="BO153" i="118"/>
  <c r="BP153" i="118"/>
  <c r="BQ153" i="118"/>
  <c r="BR153" i="118"/>
  <c r="BS153" i="118"/>
  <c r="BT153" i="118"/>
  <c r="BU153" i="118"/>
  <c r="BV153" i="118"/>
  <c r="BW153" i="118"/>
  <c r="BX153" i="118"/>
  <c r="BY153" i="118"/>
  <c r="BZ153" i="118"/>
  <c r="CA153" i="118"/>
  <c r="CB153" i="118"/>
  <c r="CC153" i="118"/>
  <c r="CD153" i="118"/>
  <c r="CE153" i="118"/>
  <c r="CF153" i="118"/>
  <c r="CG153" i="118"/>
  <c r="CH153" i="118"/>
  <c r="CI153" i="118"/>
  <c r="CJ153" i="118"/>
  <c r="CK153" i="118"/>
  <c r="CL153" i="118"/>
  <c r="CM153" i="118"/>
  <c r="CN153" i="118"/>
  <c r="CO153" i="118"/>
  <c r="CP153" i="118"/>
  <c r="CQ153" i="118"/>
  <c r="CR153" i="118"/>
  <c r="CS153" i="118"/>
  <c r="CT153" i="118"/>
  <c r="CU153" i="118"/>
  <c r="CV153" i="118"/>
  <c r="CW153" i="118"/>
  <c r="CX153" i="118"/>
  <c r="CY153" i="118"/>
  <c r="CZ153" i="118"/>
  <c r="DA153" i="118"/>
  <c r="G154" i="118"/>
  <c r="H154" i="118"/>
  <c r="I154" i="118"/>
  <c r="J154" i="118"/>
  <c r="K154" i="118"/>
  <c r="L154" i="118"/>
  <c r="M154" i="118"/>
  <c r="N154" i="118"/>
  <c r="O154" i="118"/>
  <c r="P154" i="118"/>
  <c r="Q154" i="118"/>
  <c r="R154" i="118"/>
  <c r="S154" i="118"/>
  <c r="T154" i="118"/>
  <c r="U154" i="118"/>
  <c r="V154" i="118"/>
  <c r="W154" i="118"/>
  <c r="X154" i="118"/>
  <c r="Y154" i="118"/>
  <c r="Z154" i="118"/>
  <c r="AA154" i="118"/>
  <c r="AB154" i="118"/>
  <c r="AC154" i="118"/>
  <c r="AD154" i="118"/>
  <c r="AE154" i="118"/>
  <c r="AF154" i="118"/>
  <c r="AG154" i="118"/>
  <c r="AH154" i="118"/>
  <c r="AI154" i="118"/>
  <c r="AJ154" i="118"/>
  <c r="AK154" i="118"/>
  <c r="AL154" i="118"/>
  <c r="AM154" i="118"/>
  <c r="AN154" i="118"/>
  <c r="AO154" i="118"/>
  <c r="AP154" i="118"/>
  <c r="AQ154" i="118"/>
  <c r="AR154" i="118"/>
  <c r="AS154" i="118"/>
  <c r="AT154" i="118"/>
  <c r="AU154" i="118"/>
  <c r="AV154" i="118"/>
  <c r="AW154" i="118"/>
  <c r="AX154" i="118"/>
  <c r="AY154" i="118"/>
  <c r="AZ154" i="118"/>
  <c r="BA154" i="118"/>
  <c r="BB154" i="118"/>
  <c r="BC154" i="118"/>
  <c r="BD154" i="118"/>
  <c r="BE154" i="118"/>
  <c r="BF154" i="118"/>
  <c r="BG154" i="118"/>
  <c r="BH154" i="118"/>
  <c r="BI154" i="118"/>
  <c r="BJ154" i="118"/>
  <c r="BK154" i="118"/>
  <c r="BL154" i="118"/>
  <c r="BM154" i="118"/>
  <c r="BN154" i="118"/>
  <c r="BO154" i="118"/>
  <c r="BP154" i="118"/>
  <c r="BQ154" i="118"/>
  <c r="BR154" i="118"/>
  <c r="BS154" i="118"/>
  <c r="BT154" i="118"/>
  <c r="BU154" i="118"/>
  <c r="BV154" i="118"/>
  <c r="BW154" i="118"/>
  <c r="BX154" i="118"/>
  <c r="BY154" i="118"/>
  <c r="BZ154" i="118"/>
  <c r="CA154" i="118"/>
  <c r="CB154" i="118"/>
  <c r="CC154" i="118"/>
  <c r="CD154" i="118"/>
  <c r="CE154" i="118"/>
  <c r="CF154" i="118"/>
  <c r="CG154" i="118"/>
  <c r="CH154" i="118"/>
  <c r="CI154" i="118"/>
  <c r="CJ154" i="118"/>
  <c r="CK154" i="118"/>
  <c r="CL154" i="118"/>
  <c r="CM154" i="118"/>
  <c r="CN154" i="118"/>
  <c r="CO154" i="118"/>
  <c r="CP154" i="118"/>
  <c r="CQ154" i="118"/>
  <c r="CR154" i="118"/>
  <c r="CS154" i="118"/>
  <c r="CT154" i="118"/>
  <c r="CU154" i="118"/>
  <c r="CV154" i="118"/>
  <c r="CW154" i="118"/>
  <c r="CX154" i="118"/>
  <c r="CY154" i="118"/>
  <c r="CZ154" i="118"/>
  <c r="DA154" i="118"/>
  <c r="G155" i="118"/>
  <c r="H155" i="118"/>
  <c r="I155" i="118"/>
  <c r="J155" i="118"/>
  <c r="K155" i="118"/>
  <c r="L155" i="118"/>
  <c r="M155" i="118"/>
  <c r="N155" i="118"/>
  <c r="O155" i="118"/>
  <c r="P155" i="118"/>
  <c r="Q155" i="118"/>
  <c r="R155" i="118"/>
  <c r="S155" i="118"/>
  <c r="T155" i="118"/>
  <c r="U155" i="118"/>
  <c r="V155" i="118"/>
  <c r="W155" i="118"/>
  <c r="X155" i="118"/>
  <c r="Y155" i="118"/>
  <c r="Z155" i="118"/>
  <c r="AA155" i="118"/>
  <c r="AB155" i="118"/>
  <c r="AC155" i="118"/>
  <c r="AD155" i="118"/>
  <c r="AE155" i="118"/>
  <c r="AF155" i="118"/>
  <c r="AG155" i="118"/>
  <c r="AH155" i="118"/>
  <c r="AI155" i="118"/>
  <c r="AJ155" i="118"/>
  <c r="AK155" i="118"/>
  <c r="AL155" i="118"/>
  <c r="AM155" i="118"/>
  <c r="AN155" i="118"/>
  <c r="AO155" i="118"/>
  <c r="AP155" i="118"/>
  <c r="AQ155" i="118"/>
  <c r="AR155" i="118"/>
  <c r="AS155" i="118"/>
  <c r="AT155" i="118"/>
  <c r="AU155" i="118"/>
  <c r="AV155" i="118"/>
  <c r="AW155" i="118"/>
  <c r="AX155" i="118"/>
  <c r="AY155" i="118"/>
  <c r="AZ155" i="118"/>
  <c r="BA155" i="118"/>
  <c r="BB155" i="118"/>
  <c r="BC155" i="118"/>
  <c r="BD155" i="118"/>
  <c r="BE155" i="118"/>
  <c r="BF155" i="118"/>
  <c r="BG155" i="118"/>
  <c r="BH155" i="118"/>
  <c r="BI155" i="118"/>
  <c r="BJ155" i="118"/>
  <c r="BK155" i="118"/>
  <c r="BL155" i="118"/>
  <c r="BM155" i="118"/>
  <c r="BN155" i="118"/>
  <c r="BO155" i="118"/>
  <c r="BP155" i="118"/>
  <c r="BQ155" i="118"/>
  <c r="BR155" i="118"/>
  <c r="BS155" i="118"/>
  <c r="BT155" i="118"/>
  <c r="BU155" i="118"/>
  <c r="BV155" i="118"/>
  <c r="BW155" i="118"/>
  <c r="BX155" i="118"/>
  <c r="BY155" i="118"/>
  <c r="BZ155" i="118"/>
  <c r="CA155" i="118"/>
  <c r="CB155" i="118"/>
  <c r="CC155" i="118"/>
  <c r="CD155" i="118"/>
  <c r="CE155" i="118"/>
  <c r="CF155" i="118"/>
  <c r="CG155" i="118"/>
  <c r="CH155" i="118"/>
  <c r="CI155" i="118"/>
  <c r="CJ155" i="118"/>
  <c r="CK155" i="118"/>
  <c r="CL155" i="118"/>
  <c r="CM155" i="118"/>
  <c r="CN155" i="118"/>
  <c r="CO155" i="118"/>
  <c r="CP155" i="118"/>
  <c r="CQ155" i="118"/>
  <c r="CR155" i="118"/>
  <c r="CS155" i="118"/>
  <c r="CT155" i="118"/>
  <c r="CU155" i="118"/>
  <c r="CV155" i="118"/>
  <c r="CW155" i="118"/>
  <c r="CX155" i="118"/>
  <c r="CY155" i="118"/>
  <c r="CZ155" i="118"/>
  <c r="DA155" i="118"/>
  <c r="G156" i="118"/>
  <c r="H156" i="118"/>
  <c r="I156" i="118"/>
  <c r="J156" i="118"/>
  <c r="K156" i="118"/>
  <c r="L156" i="118"/>
  <c r="M156" i="118"/>
  <c r="N156" i="118"/>
  <c r="O156" i="118"/>
  <c r="P156" i="118"/>
  <c r="Q156" i="118"/>
  <c r="R156" i="118"/>
  <c r="S156" i="118"/>
  <c r="T156" i="118"/>
  <c r="U156" i="118"/>
  <c r="V156" i="118"/>
  <c r="W156" i="118"/>
  <c r="X156" i="118"/>
  <c r="Y156" i="118"/>
  <c r="Z156" i="118"/>
  <c r="AA156" i="118"/>
  <c r="AB156" i="118"/>
  <c r="AC156" i="118"/>
  <c r="AD156" i="118"/>
  <c r="AE156" i="118"/>
  <c r="AF156" i="118"/>
  <c r="AG156" i="118"/>
  <c r="AH156" i="118"/>
  <c r="AI156" i="118"/>
  <c r="AJ156" i="118"/>
  <c r="AK156" i="118"/>
  <c r="AL156" i="118"/>
  <c r="AM156" i="118"/>
  <c r="AN156" i="118"/>
  <c r="AO156" i="118"/>
  <c r="AP156" i="118"/>
  <c r="AQ156" i="118"/>
  <c r="AR156" i="118"/>
  <c r="AS156" i="118"/>
  <c r="AT156" i="118"/>
  <c r="AU156" i="118"/>
  <c r="AV156" i="118"/>
  <c r="AW156" i="118"/>
  <c r="AX156" i="118"/>
  <c r="AY156" i="118"/>
  <c r="AZ156" i="118"/>
  <c r="BA156" i="118"/>
  <c r="BB156" i="118"/>
  <c r="BC156" i="118"/>
  <c r="BD156" i="118"/>
  <c r="BE156" i="118"/>
  <c r="BF156" i="118"/>
  <c r="BG156" i="118"/>
  <c r="BH156" i="118"/>
  <c r="BI156" i="118"/>
  <c r="BJ156" i="118"/>
  <c r="BK156" i="118"/>
  <c r="BL156" i="118"/>
  <c r="BM156" i="118"/>
  <c r="BN156" i="118"/>
  <c r="BO156" i="118"/>
  <c r="BP156" i="118"/>
  <c r="BQ156" i="118"/>
  <c r="BR156" i="118"/>
  <c r="BS156" i="118"/>
  <c r="BT156" i="118"/>
  <c r="BU156" i="118"/>
  <c r="BV156" i="118"/>
  <c r="BW156" i="118"/>
  <c r="BX156" i="118"/>
  <c r="BY156" i="118"/>
  <c r="BZ156" i="118"/>
  <c r="CA156" i="118"/>
  <c r="CB156" i="118"/>
  <c r="CC156" i="118"/>
  <c r="CD156" i="118"/>
  <c r="CE156" i="118"/>
  <c r="CF156" i="118"/>
  <c r="CG156" i="118"/>
  <c r="CH156" i="118"/>
  <c r="CI156" i="118"/>
  <c r="CJ156" i="118"/>
  <c r="CK156" i="118"/>
  <c r="CL156" i="118"/>
  <c r="CM156" i="118"/>
  <c r="CN156" i="118"/>
  <c r="CO156" i="118"/>
  <c r="CP156" i="118"/>
  <c r="CQ156" i="118"/>
  <c r="CR156" i="118"/>
  <c r="CS156" i="118"/>
  <c r="CT156" i="118"/>
  <c r="CU156" i="118"/>
  <c r="CV156" i="118"/>
  <c r="CW156" i="118"/>
  <c r="CX156" i="118"/>
  <c r="CY156" i="118"/>
  <c r="CZ156" i="118"/>
  <c r="DA156" i="118"/>
  <c r="G157" i="118"/>
  <c r="H157" i="118"/>
  <c r="I157" i="118"/>
  <c r="J157" i="118"/>
  <c r="K157" i="118"/>
  <c r="L157" i="118"/>
  <c r="M157" i="118"/>
  <c r="N157" i="118"/>
  <c r="O157" i="118"/>
  <c r="P157" i="118"/>
  <c r="Q157" i="118"/>
  <c r="R157" i="118"/>
  <c r="S157" i="118"/>
  <c r="T157" i="118"/>
  <c r="U157" i="118"/>
  <c r="V157" i="118"/>
  <c r="W157" i="118"/>
  <c r="X157" i="118"/>
  <c r="Y157" i="118"/>
  <c r="Z157" i="118"/>
  <c r="AA157" i="118"/>
  <c r="AB157" i="118"/>
  <c r="AC157" i="118"/>
  <c r="AD157" i="118"/>
  <c r="AE157" i="118"/>
  <c r="AF157" i="118"/>
  <c r="AG157" i="118"/>
  <c r="AH157" i="118"/>
  <c r="AI157" i="118"/>
  <c r="AJ157" i="118"/>
  <c r="AK157" i="118"/>
  <c r="AL157" i="118"/>
  <c r="AM157" i="118"/>
  <c r="AN157" i="118"/>
  <c r="AO157" i="118"/>
  <c r="AP157" i="118"/>
  <c r="AQ157" i="118"/>
  <c r="AR157" i="118"/>
  <c r="AS157" i="118"/>
  <c r="AT157" i="118"/>
  <c r="AU157" i="118"/>
  <c r="AV157" i="118"/>
  <c r="AW157" i="118"/>
  <c r="AX157" i="118"/>
  <c r="AY157" i="118"/>
  <c r="AZ157" i="118"/>
  <c r="BA157" i="118"/>
  <c r="BB157" i="118"/>
  <c r="BC157" i="118"/>
  <c r="BD157" i="118"/>
  <c r="BE157" i="118"/>
  <c r="BF157" i="118"/>
  <c r="BG157" i="118"/>
  <c r="BH157" i="118"/>
  <c r="BI157" i="118"/>
  <c r="BJ157" i="118"/>
  <c r="BK157" i="118"/>
  <c r="BL157" i="118"/>
  <c r="BM157" i="118"/>
  <c r="BN157" i="118"/>
  <c r="BO157" i="118"/>
  <c r="BP157" i="118"/>
  <c r="BQ157" i="118"/>
  <c r="BR157" i="118"/>
  <c r="BS157" i="118"/>
  <c r="BT157" i="118"/>
  <c r="BU157" i="118"/>
  <c r="BV157" i="118"/>
  <c r="BW157" i="118"/>
  <c r="BX157" i="118"/>
  <c r="BY157" i="118"/>
  <c r="BZ157" i="118"/>
  <c r="CA157" i="118"/>
  <c r="CB157" i="118"/>
  <c r="CC157" i="118"/>
  <c r="CD157" i="118"/>
  <c r="CE157" i="118"/>
  <c r="CF157" i="118"/>
  <c r="CG157" i="118"/>
  <c r="CH157" i="118"/>
  <c r="CI157" i="118"/>
  <c r="CJ157" i="118"/>
  <c r="CK157" i="118"/>
  <c r="CL157" i="118"/>
  <c r="CM157" i="118"/>
  <c r="CN157" i="118"/>
  <c r="CO157" i="118"/>
  <c r="CP157" i="118"/>
  <c r="CQ157" i="118"/>
  <c r="CR157" i="118"/>
  <c r="CS157" i="118"/>
  <c r="CT157" i="118"/>
  <c r="CU157" i="118"/>
  <c r="CV157" i="118"/>
  <c r="CW157" i="118"/>
  <c r="CX157" i="118"/>
  <c r="CY157" i="118"/>
  <c r="CZ157" i="118"/>
  <c r="DA157" i="118"/>
  <c r="G158" i="118"/>
  <c r="H158" i="118"/>
  <c r="I158" i="118"/>
  <c r="J158" i="118"/>
  <c r="K158" i="118"/>
  <c r="L158" i="118"/>
  <c r="M158" i="118"/>
  <c r="N158" i="118"/>
  <c r="O158" i="118"/>
  <c r="P158" i="118"/>
  <c r="Q158" i="118"/>
  <c r="R158" i="118"/>
  <c r="S158" i="118"/>
  <c r="T158" i="118"/>
  <c r="U158" i="118"/>
  <c r="V158" i="118"/>
  <c r="W158" i="118"/>
  <c r="X158" i="118"/>
  <c r="Y158" i="118"/>
  <c r="Z158" i="118"/>
  <c r="AA158" i="118"/>
  <c r="AB158" i="118"/>
  <c r="AC158" i="118"/>
  <c r="AD158" i="118"/>
  <c r="AE158" i="118"/>
  <c r="AF158" i="118"/>
  <c r="AG158" i="118"/>
  <c r="AH158" i="118"/>
  <c r="AI158" i="118"/>
  <c r="AJ158" i="118"/>
  <c r="AK158" i="118"/>
  <c r="AL158" i="118"/>
  <c r="AM158" i="118"/>
  <c r="AN158" i="118"/>
  <c r="AO158" i="118"/>
  <c r="AP158" i="118"/>
  <c r="AQ158" i="118"/>
  <c r="AR158" i="118"/>
  <c r="AS158" i="118"/>
  <c r="AT158" i="118"/>
  <c r="AU158" i="118"/>
  <c r="AV158" i="118"/>
  <c r="AW158" i="118"/>
  <c r="AX158" i="118"/>
  <c r="AY158" i="118"/>
  <c r="AZ158" i="118"/>
  <c r="BA158" i="118"/>
  <c r="BB158" i="118"/>
  <c r="BC158" i="118"/>
  <c r="BD158" i="118"/>
  <c r="BE158" i="118"/>
  <c r="BF158" i="118"/>
  <c r="BG158" i="118"/>
  <c r="BH158" i="118"/>
  <c r="BI158" i="118"/>
  <c r="BJ158" i="118"/>
  <c r="BK158" i="118"/>
  <c r="BL158" i="118"/>
  <c r="BM158" i="118"/>
  <c r="BN158" i="118"/>
  <c r="BO158" i="118"/>
  <c r="BP158" i="118"/>
  <c r="BQ158" i="118"/>
  <c r="BR158" i="118"/>
  <c r="BS158" i="118"/>
  <c r="BT158" i="118"/>
  <c r="BU158" i="118"/>
  <c r="BV158" i="118"/>
  <c r="BW158" i="118"/>
  <c r="BX158" i="118"/>
  <c r="BY158" i="118"/>
  <c r="BZ158" i="118"/>
  <c r="CA158" i="118"/>
  <c r="CB158" i="118"/>
  <c r="CC158" i="118"/>
  <c r="CD158" i="118"/>
  <c r="CE158" i="118"/>
  <c r="CF158" i="118"/>
  <c r="CG158" i="118"/>
  <c r="CH158" i="118"/>
  <c r="CI158" i="118"/>
  <c r="CJ158" i="118"/>
  <c r="CK158" i="118"/>
  <c r="CL158" i="118"/>
  <c r="CM158" i="118"/>
  <c r="CN158" i="118"/>
  <c r="CO158" i="118"/>
  <c r="CP158" i="118"/>
  <c r="CQ158" i="118"/>
  <c r="CR158" i="118"/>
  <c r="CS158" i="118"/>
  <c r="CT158" i="118"/>
  <c r="CU158" i="118"/>
  <c r="CV158" i="118"/>
  <c r="CW158" i="118"/>
  <c r="CX158" i="118"/>
  <c r="CY158" i="118"/>
  <c r="CZ158" i="118"/>
  <c r="DA158" i="118"/>
  <c r="G159" i="118"/>
  <c r="H159" i="118"/>
  <c r="I159" i="118"/>
  <c r="J159" i="118"/>
  <c r="K159" i="118"/>
  <c r="L159" i="118"/>
  <c r="M159" i="118"/>
  <c r="N159" i="118"/>
  <c r="O159" i="118"/>
  <c r="P159" i="118"/>
  <c r="Q159" i="118"/>
  <c r="R159" i="118"/>
  <c r="S159" i="118"/>
  <c r="T159" i="118"/>
  <c r="U159" i="118"/>
  <c r="V159" i="118"/>
  <c r="W159" i="118"/>
  <c r="X159" i="118"/>
  <c r="Y159" i="118"/>
  <c r="Z159" i="118"/>
  <c r="AA159" i="118"/>
  <c r="AB159" i="118"/>
  <c r="AC159" i="118"/>
  <c r="AD159" i="118"/>
  <c r="AE159" i="118"/>
  <c r="AF159" i="118"/>
  <c r="AG159" i="118"/>
  <c r="AH159" i="118"/>
  <c r="AI159" i="118"/>
  <c r="AJ159" i="118"/>
  <c r="AK159" i="118"/>
  <c r="AL159" i="118"/>
  <c r="AM159" i="118"/>
  <c r="AN159" i="118"/>
  <c r="AO159" i="118"/>
  <c r="AP159" i="118"/>
  <c r="AQ159" i="118"/>
  <c r="AR159" i="118"/>
  <c r="AS159" i="118"/>
  <c r="AT159" i="118"/>
  <c r="AU159" i="118"/>
  <c r="AV159" i="118"/>
  <c r="AW159" i="118"/>
  <c r="AX159" i="118"/>
  <c r="AY159" i="118"/>
  <c r="AZ159" i="118"/>
  <c r="BA159" i="118"/>
  <c r="BB159" i="118"/>
  <c r="BC159" i="118"/>
  <c r="BD159" i="118"/>
  <c r="BE159" i="118"/>
  <c r="BF159" i="118"/>
  <c r="BG159" i="118"/>
  <c r="BH159" i="118"/>
  <c r="BI159" i="118"/>
  <c r="BJ159" i="118"/>
  <c r="BK159" i="118"/>
  <c r="BL159" i="118"/>
  <c r="BM159" i="118"/>
  <c r="BN159" i="118"/>
  <c r="BO159" i="118"/>
  <c r="BP159" i="118"/>
  <c r="BQ159" i="118"/>
  <c r="BR159" i="118"/>
  <c r="BS159" i="118"/>
  <c r="BT159" i="118"/>
  <c r="BU159" i="118"/>
  <c r="BV159" i="118"/>
  <c r="BW159" i="118"/>
  <c r="BX159" i="118"/>
  <c r="BY159" i="118"/>
  <c r="BZ159" i="118"/>
  <c r="CA159" i="118"/>
  <c r="CB159" i="118"/>
  <c r="CC159" i="118"/>
  <c r="CD159" i="118"/>
  <c r="CE159" i="118"/>
  <c r="CF159" i="118"/>
  <c r="CG159" i="118"/>
  <c r="CH159" i="118"/>
  <c r="CI159" i="118"/>
  <c r="CJ159" i="118"/>
  <c r="CK159" i="118"/>
  <c r="CL159" i="118"/>
  <c r="CM159" i="118"/>
  <c r="CN159" i="118"/>
  <c r="CO159" i="118"/>
  <c r="CP159" i="118"/>
  <c r="CQ159" i="118"/>
  <c r="CR159" i="118"/>
  <c r="CS159" i="118"/>
  <c r="CT159" i="118"/>
  <c r="CU159" i="118"/>
  <c r="CV159" i="118"/>
  <c r="CW159" i="118"/>
  <c r="CX159" i="118"/>
  <c r="CY159" i="118"/>
  <c r="CZ159" i="118"/>
  <c r="DA159" i="118"/>
  <c r="F159" i="118"/>
  <c r="F158" i="118"/>
  <c r="F157" i="118"/>
  <c r="F156" i="118"/>
  <c r="F155" i="118"/>
  <c r="F154" i="118"/>
  <c r="F153" i="118"/>
  <c r="F152" i="118"/>
  <c r="F116" i="118" l="1"/>
  <c r="F129" i="118" s="1"/>
  <c r="F139" i="118" s="1"/>
  <c r="G116" i="118"/>
  <c r="G129" i="118" s="1"/>
  <c r="G139" i="118" s="1"/>
  <c r="H116" i="118"/>
  <c r="H129" i="118" s="1"/>
  <c r="H139" i="118" s="1"/>
  <c r="I116" i="118"/>
  <c r="I129" i="118" s="1"/>
  <c r="I139" i="118" s="1"/>
  <c r="F117" i="118"/>
  <c r="F130" i="118" s="1"/>
  <c r="F140" i="118" s="1"/>
  <c r="G117" i="118"/>
  <c r="G130" i="118" s="1"/>
  <c r="G140" i="118" s="1"/>
  <c r="H117" i="118"/>
  <c r="H130" i="118" s="1"/>
  <c r="H140" i="118" s="1"/>
  <c r="I117" i="118"/>
  <c r="I130" i="118" s="1"/>
  <c r="I140" i="118" s="1"/>
  <c r="F118" i="118"/>
  <c r="F131" i="118" s="1"/>
  <c r="F141" i="118" s="1"/>
  <c r="G118" i="118"/>
  <c r="G131" i="118" s="1"/>
  <c r="G141" i="118" s="1"/>
  <c r="H118" i="118"/>
  <c r="H131" i="118" s="1"/>
  <c r="H141" i="118" s="1"/>
  <c r="I118" i="118"/>
  <c r="I131" i="118" s="1"/>
  <c r="I141" i="118" s="1"/>
  <c r="F119" i="118"/>
  <c r="F132" i="118" s="1"/>
  <c r="F142" i="118" s="1"/>
  <c r="G119" i="118"/>
  <c r="G132" i="118" s="1"/>
  <c r="G142" i="118" s="1"/>
  <c r="H119" i="118"/>
  <c r="H132" i="118" s="1"/>
  <c r="H142" i="118" s="1"/>
  <c r="I119" i="118"/>
  <c r="I132" i="118" s="1"/>
  <c r="I142" i="118" s="1"/>
  <c r="F120" i="118"/>
  <c r="F133" i="118" s="1"/>
  <c r="F143" i="118" s="1"/>
  <c r="G120" i="118"/>
  <c r="G133" i="118" s="1"/>
  <c r="G143" i="118" s="1"/>
  <c r="H120" i="118"/>
  <c r="H133" i="118" s="1"/>
  <c r="H143" i="118" s="1"/>
  <c r="I120" i="118"/>
  <c r="I133" i="118" s="1"/>
  <c r="I143" i="118" s="1"/>
  <c r="F121" i="118"/>
  <c r="F134" i="118" s="1"/>
  <c r="F144" i="118" s="1"/>
  <c r="G121" i="118"/>
  <c r="G134" i="118" s="1"/>
  <c r="G144" i="118" s="1"/>
  <c r="H121" i="118"/>
  <c r="H134" i="118" s="1"/>
  <c r="H144" i="118" s="1"/>
  <c r="I121" i="118"/>
  <c r="I134" i="118" s="1"/>
  <c r="I144" i="118" s="1"/>
  <c r="F122" i="118"/>
  <c r="F135" i="118" s="1"/>
  <c r="F145" i="118" s="1"/>
  <c r="G122" i="118"/>
  <c r="G135" i="118" s="1"/>
  <c r="G145" i="118" s="1"/>
  <c r="H122" i="118"/>
  <c r="H135" i="118" s="1"/>
  <c r="H145" i="118" s="1"/>
  <c r="I122" i="118"/>
  <c r="I135" i="118" s="1"/>
  <c r="I145" i="118" s="1"/>
  <c r="F123" i="118"/>
  <c r="F136" i="118" s="1"/>
  <c r="F146" i="118" s="1"/>
  <c r="G123" i="118"/>
  <c r="G136" i="118" s="1"/>
  <c r="G146" i="118" s="1"/>
  <c r="H123" i="118"/>
  <c r="H136" i="118" s="1"/>
  <c r="H146" i="118" s="1"/>
  <c r="I123" i="118"/>
  <c r="I136" i="118" s="1"/>
  <c r="I146" i="118" s="1"/>
  <c r="E11" i="107"/>
  <c r="DA116" i="118" l="1"/>
  <c r="DA129" i="118" s="1"/>
  <c r="DA139" i="118" s="1"/>
  <c r="DA117" i="118"/>
  <c r="DA130" i="118" s="1"/>
  <c r="DA140" i="118" s="1"/>
  <c r="DA118" i="118"/>
  <c r="DA131" i="118" s="1"/>
  <c r="DA141" i="118" s="1"/>
  <c r="DA119" i="118"/>
  <c r="DA132" i="118" s="1"/>
  <c r="DA142" i="118" s="1"/>
  <c r="DA120" i="118"/>
  <c r="DA133" i="118" s="1"/>
  <c r="DA143" i="118" s="1"/>
  <c r="DA121" i="118"/>
  <c r="DA134" i="118" s="1"/>
  <c r="DA144" i="118" s="1"/>
  <c r="DA122" i="118"/>
  <c r="DA135" i="118" s="1"/>
  <c r="DA145" i="118" s="1"/>
  <c r="DA123" i="118"/>
  <c r="DA136" i="118" s="1"/>
  <c r="DA146" i="118" s="1"/>
  <c r="CS116" i="118"/>
  <c r="CS129" i="118" s="1"/>
  <c r="CS139" i="118" s="1"/>
  <c r="CT116" i="118"/>
  <c r="CT129" i="118" s="1"/>
  <c r="CT139" i="118" s="1"/>
  <c r="CU116" i="118"/>
  <c r="CU129" i="118" s="1"/>
  <c r="CU139" i="118" s="1"/>
  <c r="CV116" i="118"/>
  <c r="CV129" i="118" s="1"/>
  <c r="CV139" i="118" s="1"/>
  <c r="CW116" i="118"/>
  <c r="CW129" i="118" s="1"/>
  <c r="CW139" i="118" s="1"/>
  <c r="CX116" i="118"/>
  <c r="CX129" i="118" s="1"/>
  <c r="CX139" i="118" s="1"/>
  <c r="CY116" i="118"/>
  <c r="CY129" i="118" s="1"/>
  <c r="CY139" i="118" s="1"/>
  <c r="CZ116" i="118"/>
  <c r="CZ129" i="118" s="1"/>
  <c r="CZ139" i="118" s="1"/>
  <c r="CS117" i="118"/>
  <c r="CS130" i="118" s="1"/>
  <c r="CS140" i="118" s="1"/>
  <c r="CT117" i="118"/>
  <c r="CT130" i="118" s="1"/>
  <c r="CT140" i="118" s="1"/>
  <c r="CU117" i="118"/>
  <c r="CU130" i="118" s="1"/>
  <c r="CU140" i="118" s="1"/>
  <c r="CV117" i="118"/>
  <c r="CV130" i="118" s="1"/>
  <c r="CV140" i="118" s="1"/>
  <c r="CW117" i="118"/>
  <c r="CW130" i="118" s="1"/>
  <c r="CW140" i="118" s="1"/>
  <c r="CX117" i="118"/>
  <c r="CX130" i="118" s="1"/>
  <c r="CX140" i="118" s="1"/>
  <c r="CY117" i="118"/>
  <c r="CY130" i="118" s="1"/>
  <c r="CY140" i="118" s="1"/>
  <c r="CZ117" i="118"/>
  <c r="CZ130" i="118" s="1"/>
  <c r="CZ140" i="118" s="1"/>
  <c r="CS118" i="118"/>
  <c r="CS131" i="118" s="1"/>
  <c r="CS141" i="118" s="1"/>
  <c r="CT118" i="118"/>
  <c r="CT131" i="118" s="1"/>
  <c r="CT141" i="118" s="1"/>
  <c r="CU118" i="118"/>
  <c r="CU131" i="118" s="1"/>
  <c r="CU141" i="118" s="1"/>
  <c r="CV118" i="118"/>
  <c r="CV131" i="118" s="1"/>
  <c r="CV141" i="118" s="1"/>
  <c r="CW118" i="118"/>
  <c r="CW131" i="118" s="1"/>
  <c r="CW141" i="118" s="1"/>
  <c r="CX118" i="118"/>
  <c r="CX131" i="118" s="1"/>
  <c r="CX141" i="118" s="1"/>
  <c r="CY118" i="118"/>
  <c r="CY131" i="118" s="1"/>
  <c r="CY141" i="118" s="1"/>
  <c r="CZ118" i="118"/>
  <c r="CZ131" i="118" s="1"/>
  <c r="CZ141" i="118" s="1"/>
  <c r="CS119" i="118"/>
  <c r="CS132" i="118" s="1"/>
  <c r="CS142" i="118" s="1"/>
  <c r="CT119" i="118"/>
  <c r="CT132" i="118" s="1"/>
  <c r="CT142" i="118" s="1"/>
  <c r="CU119" i="118"/>
  <c r="CU132" i="118" s="1"/>
  <c r="CU142" i="118" s="1"/>
  <c r="CV119" i="118"/>
  <c r="CV132" i="118" s="1"/>
  <c r="CV142" i="118" s="1"/>
  <c r="CW119" i="118"/>
  <c r="CW132" i="118" s="1"/>
  <c r="CW142" i="118" s="1"/>
  <c r="CX119" i="118"/>
  <c r="CX132" i="118" s="1"/>
  <c r="CX142" i="118" s="1"/>
  <c r="CY119" i="118"/>
  <c r="CY132" i="118" s="1"/>
  <c r="CY142" i="118" s="1"/>
  <c r="CZ119" i="118"/>
  <c r="CZ132" i="118" s="1"/>
  <c r="CZ142" i="118" s="1"/>
  <c r="CS120" i="118"/>
  <c r="CS133" i="118" s="1"/>
  <c r="CS143" i="118" s="1"/>
  <c r="CT120" i="118"/>
  <c r="CT133" i="118" s="1"/>
  <c r="CT143" i="118" s="1"/>
  <c r="CU120" i="118"/>
  <c r="CU133" i="118" s="1"/>
  <c r="CU143" i="118" s="1"/>
  <c r="CV120" i="118"/>
  <c r="CV133" i="118" s="1"/>
  <c r="CV143" i="118" s="1"/>
  <c r="CW120" i="118"/>
  <c r="CW133" i="118" s="1"/>
  <c r="CW143" i="118" s="1"/>
  <c r="CX120" i="118"/>
  <c r="CX133" i="118" s="1"/>
  <c r="CX143" i="118" s="1"/>
  <c r="CY120" i="118"/>
  <c r="CY133" i="118" s="1"/>
  <c r="CY143" i="118" s="1"/>
  <c r="CZ120" i="118"/>
  <c r="CZ133" i="118" s="1"/>
  <c r="CZ143" i="118" s="1"/>
  <c r="CS121" i="118"/>
  <c r="CS134" i="118" s="1"/>
  <c r="CS144" i="118" s="1"/>
  <c r="CT121" i="118"/>
  <c r="CT134" i="118" s="1"/>
  <c r="CT144" i="118" s="1"/>
  <c r="CU121" i="118"/>
  <c r="CU134" i="118" s="1"/>
  <c r="CU144" i="118" s="1"/>
  <c r="CV121" i="118"/>
  <c r="CV134" i="118" s="1"/>
  <c r="CV144" i="118" s="1"/>
  <c r="CW121" i="118"/>
  <c r="CW134" i="118" s="1"/>
  <c r="CW144" i="118" s="1"/>
  <c r="CX121" i="118"/>
  <c r="CX134" i="118" s="1"/>
  <c r="CX144" i="118" s="1"/>
  <c r="CY121" i="118"/>
  <c r="CY134" i="118" s="1"/>
  <c r="CY144" i="118" s="1"/>
  <c r="CZ121" i="118"/>
  <c r="CZ134" i="118" s="1"/>
  <c r="CZ144" i="118" s="1"/>
  <c r="CS122" i="118"/>
  <c r="CS135" i="118" s="1"/>
  <c r="CS145" i="118" s="1"/>
  <c r="CT122" i="118"/>
  <c r="CT135" i="118" s="1"/>
  <c r="CT145" i="118" s="1"/>
  <c r="CU122" i="118"/>
  <c r="CU135" i="118" s="1"/>
  <c r="CU145" i="118" s="1"/>
  <c r="CV122" i="118"/>
  <c r="CV135" i="118" s="1"/>
  <c r="CV145" i="118" s="1"/>
  <c r="CW122" i="118"/>
  <c r="CW135" i="118" s="1"/>
  <c r="CW145" i="118" s="1"/>
  <c r="CX122" i="118"/>
  <c r="CX135" i="118" s="1"/>
  <c r="CX145" i="118" s="1"/>
  <c r="CY122" i="118"/>
  <c r="CY135" i="118" s="1"/>
  <c r="CY145" i="118" s="1"/>
  <c r="CZ122" i="118"/>
  <c r="CZ135" i="118" s="1"/>
  <c r="CZ145" i="118" s="1"/>
  <c r="CS123" i="118"/>
  <c r="CS136" i="118" s="1"/>
  <c r="CS146" i="118" s="1"/>
  <c r="CT123" i="118"/>
  <c r="CT136" i="118" s="1"/>
  <c r="CT146" i="118" s="1"/>
  <c r="CU123" i="118"/>
  <c r="CU136" i="118" s="1"/>
  <c r="CU146" i="118" s="1"/>
  <c r="CV123" i="118"/>
  <c r="CV136" i="118" s="1"/>
  <c r="CV146" i="118" s="1"/>
  <c r="CW123" i="118"/>
  <c r="CW136" i="118" s="1"/>
  <c r="CW146" i="118" s="1"/>
  <c r="CX123" i="118"/>
  <c r="CX136" i="118" s="1"/>
  <c r="CX146" i="118" s="1"/>
  <c r="CY123" i="118"/>
  <c r="CY136" i="118" s="1"/>
  <c r="CY146" i="118" s="1"/>
  <c r="CZ123" i="118"/>
  <c r="CZ136" i="118" s="1"/>
  <c r="CZ146" i="118" s="1"/>
  <c r="AY116" i="118"/>
  <c r="AY129" i="118" s="1"/>
  <c r="AY139" i="118" s="1"/>
  <c r="AZ116" i="118"/>
  <c r="AZ129" i="118" s="1"/>
  <c r="AZ139" i="118" s="1"/>
  <c r="BA116" i="118"/>
  <c r="BA129" i="118" s="1"/>
  <c r="BA139" i="118" s="1"/>
  <c r="BB116" i="118"/>
  <c r="BB129" i="118" s="1"/>
  <c r="BB139" i="118" s="1"/>
  <c r="BC116" i="118"/>
  <c r="BC129" i="118" s="1"/>
  <c r="BC139" i="118" s="1"/>
  <c r="BD116" i="118"/>
  <c r="BD129" i="118" s="1"/>
  <c r="BD139" i="118" s="1"/>
  <c r="BE116" i="118"/>
  <c r="BE129" i="118" s="1"/>
  <c r="BE139" i="118" s="1"/>
  <c r="BF116" i="118"/>
  <c r="BF129" i="118" s="1"/>
  <c r="BF139" i="118" s="1"/>
  <c r="BG116" i="118"/>
  <c r="BG129" i="118" s="1"/>
  <c r="BG139" i="118" s="1"/>
  <c r="BH116" i="118"/>
  <c r="BH129" i="118" s="1"/>
  <c r="BH139" i="118" s="1"/>
  <c r="BI116" i="118"/>
  <c r="BI129" i="118" s="1"/>
  <c r="BI139" i="118" s="1"/>
  <c r="BJ116" i="118"/>
  <c r="BJ129" i="118" s="1"/>
  <c r="BJ139" i="118" s="1"/>
  <c r="BK116" i="118"/>
  <c r="BK129" i="118" s="1"/>
  <c r="BK139" i="118" s="1"/>
  <c r="BL116" i="118"/>
  <c r="BL129" i="118" s="1"/>
  <c r="BL139" i="118" s="1"/>
  <c r="BM116" i="118"/>
  <c r="BM129" i="118" s="1"/>
  <c r="BM139" i="118" s="1"/>
  <c r="BN116" i="118"/>
  <c r="BN129" i="118" s="1"/>
  <c r="BN139" i="118" s="1"/>
  <c r="BO116" i="118"/>
  <c r="BO129" i="118" s="1"/>
  <c r="BO139" i="118" s="1"/>
  <c r="BP116" i="118"/>
  <c r="BP129" i="118" s="1"/>
  <c r="BP139" i="118" s="1"/>
  <c r="BQ116" i="118"/>
  <c r="BQ129" i="118" s="1"/>
  <c r="BQ139" i="118" s="1"/>
  <c r="BR116" i="118"/>
  <c r="BR129" i="118" s="1"/>
  <c r="BR139" i="118" s="1"/>
  <c r="BS116" i="118"/>
  <c r="BS129" i="118" s="1"/>
  <c r="BS139" i="118" s="1"/>
  <c r="BT116" i="118"/>
  <c r="BT129" i="118" s="1"/>
  <c r="BT139" i="118" s="1"/>
  <c r="BU116" i="118"/>
  <c r="BU129" i="118" s="1"/>
  <c r="BU139" i="118" s="1"/>
  <c r="BV116" i="118"/>
  <c r="BV129" i="118" s="1"/>
  <c r="BV139" i="118" s="1"/>
  <c r="BW116" i="118"/>
  <c r="BW129" i="118" s="1"/>
  <c r="BW139" i="118" s="1"/>
  <c r="BX116" i="118"/>
  <c r="BX129" i="118" s="1"/>
  <c r="BX139" i="118" s="1"/>
  <c r="BY116" i="118"/>
  <c r="BY129" i="118" s="1"/>
  <c r="BY139" i="118" s="1"/>
  <c r="BZ116" i="118"/>
  <c r="BZ129" i="118" s="1"/>
  <c r="BZ139" i="118" s="1"/>
  <c r="CA116" i="118"/>
  <c r="CA129" i="118" s="1"/>
  <c r="CA139" i="118" s="1"/>
  <c r="CB116" i="118"/>
  <c r="CB129" i="118" s="1"/>
  <c r="CB139" i="118" s="1"/>
  <c r="CC116" i="118"/>
  <c r="CC129" i="118" s="1"/>
  <c r="CC139" i="118" s="1"/>
  <c r="CD116" i="118"/>
  <c r="CD129" i="118" s="1"/>
  <c r="CD139" i="118" s="1"/>
  <c r="CE116" i="118"/>
  <c r="CE129" i="118" s="1"/>
  <c r="CE139" i="118" s="1"/>
  <c r="CF116" i="118"/>
  <c r="CF129" i="118" s="1"/>
  <c r="CF139" i="118" s="1"/>
  <c r="CG116" i="118"/>
  <c r="CG129" i="118" s="1"/>
  <c r="CG139" i="118" s="1"/>
  <c r="CH116" i="118"/>
  <c r="CH129" i="118" s="1"/>
  <c r="CH139" i="118" s="1"/>
  <c r="CI116" i="118"/>
  <c r="CI129" i="118" s="1"/>
  <c r="CI139" i="118" s="1"/>
  <c r="CJ116" i="118"/>
  <c r="CJ129" i="118" s="1"/>
  <c r="CJ139" i="118" s="1"/>
  <c r="CK116" i="118"/>
  <c r="CK129" i="118" s="1"/>
  <c r="CK139" i="118" s="1"/>
  <c r="CL116" i="118"/>
  <c r="CL129" i="118" s="1"/>
  <c r="CL139" i="118" s="1"/>
  <c r="CM116" i="118"/>
  <c r="CM129" i="118" s="1"/>
  <c r="CM139" i="118" s="1"/>
  <c r="CN116" i="118"/>
  <c r="CN129" i="118" s="1"/>
  <c r="CN139" i="118" s="1"/>
  <c r="CO116" i="118"/>
  <c r="CO129" i="118" s="1"/>
  <c r="CO139" i="118" s="1"/>
  <c r="CP116" i="118"/>
  <c r="CP129" i="118" s="1"/>
  <c r="CP139" i="118" s="1"/>
  <c r="CQ116" i="118"/>
  <c r="CQ129" i="118" s="1"/>
  <c r="CQ139" i="118" s="1"/>
  <c r="CR116" i="118"/>
  <c r="CR129" i="118" s="1"/>
  <c r="CR139" i="118" s="1"/>
  <c r="AY117" i="118"/>
  <c r="AY130" i="118" s="1"/>
  <c r="AY140" i="118" s="1"/>
  <c r="AZ117" i="118"/>
  <c r="AZ130" i="118" s="1"/>
  <c r="AZ140" i="118" s="1"/>
  <c r="BA117" i="118"/>
  <c r="BA130" i="118" s="1"/>
  <c r="BA140" i="118" s="1"/>
  <c r="BB117" i="118"/>
  <c r="BB130" i="118" s="1"/>
  <c r="BB140" i="118" s="1"/>
  <c r="BC117" i="118"/>
  <c r="BC130" i="118" s="1"/>
  <c r="BC140" i="118" s="1"/>
  <c r="BD117" i="118"/>
  <c r="BD130" i="118" s="1"/>
  <c r="BD140" i="118" s="1"/>
  <c r="BE117" i="118"/>
  <c r="BE130" i="118" s="1"/>
  <c r="BE140" i="118" s="1"/>
  <c r="BF117" i="118"/>
  <c r="BF130" i="118" s="1"/>
  <c r="BF140" i="118" s="1"/>
  <c r="BG117" i="118"/>
  <c r="BG130" i="118" s="1"/>
  <c r="BG140" i="118" s="1"/>
  <c r="BH117" i="118"/>
  <c r="BH130" i="118" s="1"/>
  <c r="BH140" i="118" s="1"/>
  <c r="BI117" i="118"/>
  <c r="BI130" i="118" s="1"/>
  <c r="BI140" i="118" s="1"/>
  <c r="BJ117" i="118"/>
  <c r="BJ130" i="118" s="1"/>
  <c r="BJ140" i="118" s="1"/>
  <c r="BK117" i="118"/>
  <c r="BK130" i="118" s="1"/>
  <c r="BK140" i="118" s="1"/>
  <c r="BL117" i="118"/>
  <c r="BL130" i="118" s="1"/>
  <c r="BL140" i="118" s="1"/>
  <c r="BM117" i="118"/>
  <c r="BM130" i="118" s="1"/>
  <c r="BM140" i="118" s="1"/>
  <c r="BN117" i="118"/>
  <c r="BN130" i="118" s="1"/>
  <c r="BN140" i="118" s="1"/>
  <c r="BO117" i="118"/>
  <c r="BO130" i="118" s="1"/>
  <c r="BO140" i="118" s="1"/>
  <c r="BP117" i="118"/>
  <c r="BP130" i="118" s="1"/>
  <c r="BP140" i="118" s="1"/>
  <c r="BQ117" i="118"/>
  <c r="BQ130" i="118" s="1"/>
  <c r="BQ140" i="118" s="1"/>
  <c r="BR117" i="118"/>
  <c r="BR130" i="118" s="1"/>
  <c r="BR140" i="118" s="1"/>
  <c r="BS117" i="118"/>
  <c r="BS130" i="118" s="1"/>
  <c r="BS140" i="118" s="1"/>
  <c r="BT117" i="118"/>
  <c r="BT130" i="118" s="1"/>
  <c r="BT140" i="118" s="1"/>
  <c r="BU117" i="118"/>
  <c r="BU130" i="118" s="1"/>
  <c r="BU140" i="118" s="1"/>
  <c r="BV117" i="118"/>
  <c r="BV130" i="118" s="1"/>
  <c r="BV140" i="118" s="1"/>
  <c r="BW117" i="118"/>
  <c r="BW130" i="118" s="1"/>
  <c r="BW140" i="118" s="1"/>
  <c r="BX117" i="118"/>
  <c r="BX130" i="118" s="1"/>
  <c r="BX140" i="118" s="1"/>
  <c r="BY117" i="118"/>
  <c r="BY130" i="118" s="1"/>
  <c r="BY140" i="118" s="1"/>
  <c r="BZ117" i="118"/>
  <c r="BZ130" i="118" s="1"/>
  <c r="BZ140" i="118" s="1"/>
  <c r="CA117" i="118"/>
  <c r="CA130" i="118" s="1"/>
  <c r="CA140" i="118" s="1"/>
  <c r="CB117" i="118"/>
  <c r="CB130" i="118" s="1"/>
  <c r="CB140" i="118" s="1"/>
  <c r="CC117" i="118"/>
  <c r="CC130" i="118" s="1"/>
  <c r="CC140" i="118" s="1"/>
  <c r="CD117" i="118"/>
  <c r="CD130" i="118" s="1"/>
  <c r="CD140" i="118" s="1"/>
  <c r="CE117" i="118"/>
  <c r="CE130" i="118" s="1"/>
  <c r="CE140" i="118" s="1"/>
  <c r="CF117" i="118"/>
  <c r="CF130" i="118" s="1"/>
  <c r="CF140" i="118" s="1"/>
  <c r="CG117" i="118"/>
  <c r="CG130" i="118" s="1"/>
  <c r="CG140" i="118" s="1"/>
  <c r="CH117" i="118"/>
  <c r="CH130" i="118" s="1"/>
  <c r="CH140" i="118" s="1"/>
  <c r="CI117" i="118"/>
  <c r="CI130" i="118" s="1"/>
  <c r="CI140" i="118" s="1"/>
  <c r="CJ117" i="118"/>
  <c r="CJ130" i="118" s="1"/>
  <c r="CJ140" i="118" s="1"/>
  <c r="CK117" i="118"/>
  <c r="CK130" i="118" s="1"/>
  <c r="CK140" i="118" s="1"/>
  <c r="CL117" i="118"/>
  <c r="CL130" i="118" s="1"/>
  <c r="CL140" i="118" s="1"/>
  <c r="CM117" i="118"/>
  <c r="CM130" i="118" s="1"/>
  <c r="CM140" i="118" s="1"/>
  <c r="CN117" i="118"/>
  <c r="CN130" i="118" s="1"/>
  <c r="CN140" i="118" s="1"/>
  <c r="CO117" i="118"/>
  <c r="CO130" i="118" s="1"/>
  <c r="CO140" i="118" s="1"/>
  <c r="CP117" i="118"/>
  <c r="CP130" i="118" s="1"/>
  <c r="CP140" i="118" s="1"/>
  <c r="CQ117" i="118"/>
  <c r="CQ130" i="118" s="1"/>
  <c r="CQ140" i="118" s="1"/>
  <c r="CR117" i="118"/>
  <c r="CR130" i="118" s="1"/>
  <c r="CR140" i="118" s="1"/>
  <c r="AY118" i="118"/>
  <c r="AY131" i="118" s="1"/>
  <c r="AY141" i="118" s="1"/>
  <c r="AZ118" i="118"/>
  <c r="AZ131" i="118" s="1"/>
  <c r="AZ141" i="118" s="1"/>
  <c r="BA118" i="118"/>
  <c r="BA131" i="118" s="1"/>
  <c r="BA141" i="118" s="1"/>
  <c r="BB118" i="118"/>
  <c r="BB131" i="118" s="1"/>
  <c r="BB141" i="118" s="1"/>
  <c r="BC118" i="118"/>
  <c r="BC131" i="118" s="1"/>
  <c r="BC141" i="118" s="1"/>
  <c r="BD118" i="118"/>
  <c r="BD131" i="118" s="1"/>
  <c r="BD141" i="118" s="1"/>
  <c r="BE118" i="118"/>
  <c r="BE131" i="118" s="1"/>
  <c r="BE141" i="118" s="1"/>
  <c r="BF118" i="118"/>
  <c r="BF131" i="118" s="1"/>
  <c r="BF141" i="118" s="1"/>
  <c r="BG118" i="118"/>
  <c r="BG131" i="118" s="1"/>
  <c r="BG141" i="118" s="1"/>
  <c r="BH118" i="118"/>
  <c r="BH131" i="118" s="1"/>
  <c r="BH141" i="118" s="1"/>
  <c r="BI118" i="118"/>
  <c r="BI131" i="118" s="1"/>
  <c r="BI141" i="118" s="1"/>
  <c r="BJ118" i="118"/>
  <c r="BJ131" i="118" s="1"/>
  <c r="BJ141" i="118" s="1"/>
  <c r="BK118" i="118"/>
  <c r="BK131" i="118" s="1"/>
  <c r="BK141" i="118" s="1"/>
  <c r="BL118" i="118"/>
  <c r="BL131" i="118" s="1"/>
  <c r="BL141" i="118" s="1"/>
  <c r="BM118" i="118"/>
  <c r="BM131" i="118" s="1"/>
  <c r="BM141" i="118" s="1"/>
  <c r="BN118" i="118"/>
  <c r="BN131" i="118" s="1"/>
  <c r="BN141" i="118" s="1"/>
  <c r="BO118" i="118"/>
  <c r="BO131" i="118" s="1"/>
  <c r="BO141" i="118" s="1"/>
  <c r="BP118" i="118"/>
  <c r="BP131" i="118" s="1"/>
  <c r="BP141" i="118" s="1"/>
  <c r="BQ118" i="118"/>
  <c r="BQ131" i="118" s="1"/>
  <c r="BQ141" i="118" s="1"/>
  <c r="BR118" i="118"/>
  <c r="BR131" i="118" s="1"/>
  <c r="BR141" i="118" s="1"/>
  <c r="BS118" i="118"/>
  <c r="BS131" i="118" s="1"/>
  <c r="BS141" i="118" s="1"/>
  <c r="BT118" i="118"/>
  <c r="BT131" i="118" s="1"/>
  <c r="BT141" i="118" s="1"/>
  <c r="BU118" i="118"/>
  <c r="BU131" i="118" s="1"/>
  <c r="BU141" i="118" s="1"/>
  <c r="BV118" i="118"/>
  <c r="BV131" i="118" s="1"/>
  <c r="BV141" i="118" s="1"/>
  <c r="BW118" i="118"/>
  <c r="BW131" i="118" s="1"/>
  <c r="BW141" i="118" s="1"/>
  <c r="BX118" i="118"/>
  <c r="BX131" i="118" s="1"/>
  <c r="BX141" i="118" s="1"/>
  <c r="BY118" i="118"/>
  <c r="BY131" i="118" s="1"/>
  <c r="BY141" i="118" s="1"/>
  <c r="BZ118" i="118"/>
  <c r="BZ131" i="118" s="1"/>
  <c r="BZ141" i="118" s="1"/>
  <c r="CA118" i="118"/>
  <c r="CA131" i="118" s="1"/>
  <c r="CA141" i="118" s="1"/>
  <c r="CB118" i="118"/>
  <c r="CB131" i="118" s="1"/>
  <c r="CB141" i="118" s="1"/>
  <c r="CC118" i="118"/>
  <c r="CC131" i="118" s="1"/>
  <c r="CC141" i="118" s="1"/>
  <c r="CD118" i="118"/>
  <c r="CD131" i="118" s="1"/>
  <c r="CD141" i="118" s="1"/>
  <c r="CE118" i="118"/>
  <c r="CE131" i="118" s="1"/>
  <c r="CE141" i="118" s="1"/>
  <c r="CF118" i="118"/>
  <c r="CF131" i="118" s="1"/>
  <c r="CF141" i="118" s="1"/>
  <c r="CG118" i="118"/>
  <c r="CG131" i="118" s="1"/>
  <c r="CG141" i="118" s="1"/>
  <c r="CH118" i="118"/>
  <c r="CH131" i="118" s="1"/>
  <c r="CH141" i="118" s="1"/>
  <c r="CI118" i="118"/>
  <c r="CI131" i="118" s="1"/>
  <c r="CI141" i="118" s="1"/>
  <c r="CJ118" i="118"/>
  <c r="CJ131" i="118" s="1"/>
  <c r="CJ141" i="118" s="1"/>
  <c r="CK118" i="118"/>
  <c r="CK131" i="118" s="1"/>
  <c r="CK141" i="118" s="1"/>
  <c r="CL118" i="118"/>
  <c r="CL131" i="118" s="1"/>
  <c r="CL141" i="118" s="1"/>
  <c r="CM118" i="118"/>
  <c r="CM131" i="118" s="1"/>
  <c r="CM141" i="118" s="1"/>
  <c r="CN118" i="118"/>
  <c r="CN131" i="118" s="1"/>
  <c r="CN141" i="118" s="1"/>
  <c r="CO118" i="118"/>
  <c r="CO131" i="118" s="1"/>
  <c r="CO141" i="118" s="1"/>
  <c r="CP118" i="118"/>
  <c r="CP131" i="118" s="1"/>
  <c r="CP141" i="118" s="1"/>
  <c r="CQ118" i="118"/>
  <c r="CQ131" i="118" s="1"/>
  <c r="CQ141" i="118" s="1"/>
  <c r="CR118" i="118"/>
  <c r="CR131" i="118" s="1"/>
  <c r="CR141" i="118" s="1"/>
  <c r="AY119" i="118"/>
  <c r="AY132" i="118" s="1"/>
  <c r="AY142" i="118" s="1"/>
  <c r="AZ119" i="118"/>
  <c r="AZ132" i="118" s="1"/>
  <c r="AZ142" i="118" s="1"/>
  <c r="BA119" i="118"/>
  <c r="BA132" i="118" s="1"/>
  <c r="BA142" i="118" s="1"/>
  <c r="BB119" i="118"/>
  <c r="BB132" i="118" s="1"/>
  <c r="BB142" i="118" s="1"/>
  <c r="BC119" i="118"/>
  <c r="BC132" i="118" s="1"/>
  <c r="BC142" i="118" s="1"/>
  <c r="BD119" i="118"/>
  <c r="BD132" i="118" s="1"/>
  <c r="BD142" i="118" s="1"/>
  <c r="BE119" i="118"/>
  <c r="BE132" i="118" s="1"/>
  <c r="BE142" i="118" s="1"/>
  <c r="BF119" i="118"/>
  <c r="BF132" i="118" s="1"/>
  <c r="BF142" i="118" s="1"/>
  <c r="BG119" i="118"/>
  <c r="BG132" i="118" s="1"/>
  <c r="BG142" i="118" s="1"/>
  <c r="BH119" i="118"/>
  <c r="BH132" i="118" s="1"/>
  <c r="BH142" i="118" s="1"/>
  <c r="BI119" i="118"/>
  <c r="BI132" i="118" s="1"/>
  <c r="BI142" i="118" s="1"/>
  <c r="BJ119" i="118"/>
  <c r="BJ132" i="118" s="1"/>
  <c r="BJ142" i="118" s="1"/>
  <c r="BK119" i="118"/>
  <c r="BK132" i="118" s="1"/>
  <c r="BK142" i="118" s="1"/>
  <c r="BL119" i="118"/>
  <c r="BL132" i="118" s="1"/>
  <c r="BL142" i="118" s="1"/>
  <c r="BM119" i="118"/>
  <c r="BM132" i="118" s="1"/>
  <c r="BM142" i="118" s="1"/>
  <c r="BN119" i="118"/>
  <c r="BN132" i="118" s="1"/>
  <c r="BN142" i="118" s="1"/>
  <c r="BO119" i="118"/>
  <c r="BO132" i="118" s="1"/>
  <c r="BO142" i="118" s="1"/>
  <c r="BP119" i="118"/>
  <c r="BP132" i="118" s="1"/>
  <c r="BP142" i="118" s="1"/>
  <c r="BQ119" i="118"/>
  <c r="BQ132" i="118" s="1"/>
  <c r="BQ142" i="118" s="1"/>
  <c r="BR119" i="118"/>
  <c r="BR132" i="118" s="1"/>
  <c r="BR142" i="118" s="1"/>
  <c r="BS119" i="118"/>
  <c r="BS132" i="118" s="1"/>
  <c r="BS142" i="118" s="1"/>
  <c r="BT119" i="118"/>
  <c r="BT132" i="118" s="1"/>
  <c r="BT142" i="118" s="1"/>
  <c r="BU119" i="118"/>
  <c r="BU132" i="118" s="1"/>
  <c r="BU142" i="118" s="1"/>
  <c r="BV119" i="118"/>
  <c r="BV132" i="118" s="1"/>
  <c r="BV142" i="118" s="1"/>
  <c r="BW119" i="118"/>
  <c r="BW132" i="118" s="1"/>
  <c r="BW142" i="118" s="1"/>
  <c r="BX119" i="118"/>
  <c r="BX132" i="118" s="1"/>
  <c r="BX142" i="118" s="1"/>
  <c r="BY119" i="118"/>
  <c r="BY132" i="118" s="1"/>
  <c r="BY142" i="118" s="1"/>
  <c r="BZ119" i="118"/>
  <c r="BZ132" i="118" s="1"/>
  <c r="BZ142" i="118" s="1"/>
  <c r="CA119" i="118"/>
  <c r="CA132" i="118" s="1"/>
  <c r="CA142" i="118" s="1"/>
  <c r="CB119" i="118"/>
  <c r="CB132" i="118" s="1"/>
  <c r="CB142" i="118" s="1"/>
  <c r="CC119" i="118"/>
  <c r="CC132" i="118" s="1"/>
  <c r="CC142" i="118" s="1"/>
  <c r="CD119" i="118"/>
  <c r="CD132" i="118" s="1"/>
  <c r="CD142" i="118" s="1"/>
  <c r="CE119" i="118"/>
  <c r="CE132" i="118" s="1"/>
  <c r="CE142" i="118" s="1"/>
  <c r="CF119" i="118"/>
  <c r="CF132" i="118" s="1"/>
  <c r="CF142" i="118" s="1"/>
  <c r="CG119" i="118"/>
  <c r="CG132" i="118" s="1"/>
  <c r="CG142" i="118" s="1"/>
  <c r="CH119" i="118"/>
  <c r="CH132" i="118" s="1"/>
  <c r="CH142" i="118" s="1"/>
  <c r="CI119" i="118"/>
  <c r="CI132" i="118" s="1"/>
  <c r="CI142" i="118" s="1"/>
  <c r="CJ119" i="118"/>
  <c r="CJ132" i="118" s="1"/>
  <c r="CJ142" i="118" s="1"/>
  <c r="CK119" i="118"/>
  <c r="CK132" i="118" s="1"/>
  <c r="CK142" i="118" s="1"/>
  <c r="CL119" i="118"/>
  <c r="CL132" i="118" s="1"/>
  <c r="CL142" i="118" s="1"/>
  <c r="CM119" i="118"/>
  <c r="CM132" i="118" s="1"/>
  <c r="CM142" i="118" s="1"/>
  <c r="CN119" i="118"/>
  <c r="CN132" i="118" s="1"/>
  <c r="CN142" i="118" s="1"/>
  <c r="CO119" i="118"/>
  <c r="CO132" i="118" s="1"/>
  <c r="CO142" i="118" s="1"/>
  <c r="CP119" i="118"/>
  <c r="CP132" i="118" s="1"/>
  <c r="CP142" i="118" s="1"/>
  <c r="CQ119" i="118"/>
  <c r="CQ132" i="118" s="1"/>
  <c r="CQ142" i="118" s="1"/>
  <c r="CR119" i="118"/>
  <c r="CR132" i="118" s="1"/>
  <c r="CR142" i="118" s="1"/>
  <c r="AY120" i="118"/>
  <c r="AY133" i="118" s="1"/>
  <c r="AY143" i="118" s="1"/>
  <c r="AZ120" i="118"/>
  <c r="AZ133" i="118" s="1"/>
  <c r="AZ143" i="118" s="1"/>
  <c r="BA120" i="118"/>
  <c r="BA133" i="118" s="1"/>
  <c r="BA143" i="118" s="1"/>
  <c r="BB120" i="118"/>
  <c r="BB133" i="118" s="1"/>
  <c r="BB143" i="118" s="1"/>
  <c r="BC120" i="118"/>
  <c r="BC133" i="118" s="1"/>
  <c r="BC143" i="118" s="1"/>
  <c r="BD120" i="118"/>
  <c r="BD133" i="118" s="1"/>
  <c r="BD143" i="118" s="1"/>
  <c r="BE120" i="118"/>
  <c r="BE133" i="118" s="1"/>
  <c r="BE143" i="118" s="1"/>
  <c r="BF120" i="118"/>
  <c r="BF133" i="118" s="1"/>
  <c r="BF143" i="118" s="1"/>
  <c r="BG120" i="118"/>
  <c r="BG133" i="118" s="1"/>
  <c r="BG143" i="118" s="1"/>
  <c r="BH120" i="118"/>
  <c r="BH133" i="118" s="1"/>
  <c r="BH143" i="118" s="1"/>
  <c r="BI120" i="118"/>
  <c r="BI133" i="118" s="1"/>
  <c r="BI143" i="118" s="1"/>
  <c r="BJ120" i="118"/>
  <c r="BJ133" i="118" s="1"/>
  <c r="BJ143" i="118" s="1"/>
  <c r="BK120" i="118"/>
  <c r="BK133" i="118" s="1"/>
  <c r="BK143" i="118" s="1"/>
  <c r="BL120" i="118"/>
  <c r="BL133" i="118" s="1"/>
  <c r="BL143" i="118" s="1"/>
  <c r="BM120" i="118"/>
  <c r="BM133" i="118" s="1"/>
  <c r="BM143" i="118" s="1"/>
  <c r="BN120" i="118"/>
  <c r="BN133" i="118" s="1"/>
  <c r="BN143" i="118" s="1"/>
  <c r="BO120" i="118"/>
  <c r="BO133" i="118" s="1"/>
  <c r="BO143" i="118" s="1"/>
  <c r="BP120" i="118"/>
  <c r="BP133" i="118" s="1"/>
  <c r="BP143" i="118" s="1"/>
  <c r="BQ120" i="118"/>
  <c r="BQ133" i="118" s="1"/>
  <c r="BQ143" i="118" s="1"/>
  <c r="BR120" i="118"/>
  <c r="BR133" i="118" s="1"/>
  <c r="BR143" i="118" s="1"/>
  <c r="BS120" i="118"/>
  <c r="BS133" i="118" s="1"/>
  <c r="BS143" i="118" s="1"/>
  <c r="BT120" i="118"/>
  <c r="BT133" i="118" s="1"/>
  <c r="BT143" i="118" s="1"/>
  <c r="BU120" i="118"/>
  <c r="BU133" i="118" s="1"/>
  <c r="BU143" i="118" s="1"/>
  <c r="BV120" i="118"/>
  <c r="BV133" i="118" s="1"/>
  <c r="BV143" i="118" s="1"/>
  <c r="BW120" i="118"/>
  <c r="BW133" i="118" s="1"/>
  <c r="BW143" i="118" s="1"/>
  <c r="BX120" i="118"/>
  <c r="BX133" i="118" s="1"/>
  <c r="BX143" i="118" s="1"/>
  <c r="BY120" i="118"/>
  <c r="BY133" i="118" s="1"/>
  <c r="BY143" i="118" s="1"/>
  <c r="BZ120" i="118"/>
  <c r="BZ133" i="118" s="1"/>
  <c r="BZ143" i="118" s="1"/>
  <c r="CA120" i="118"/>
  <c r="CA133" i="118" s="1"/>
  <c r="CA143" i="118" s="1"/>
  <c r="CB120" i="118"/>
  <c r="CB133" i="118" s="1"/>
  <c r="CB143" i="118" s="1"/>
  <c r="CC120" i="118"/>
  <c r="CC133" i="118" s="1"/>
  <c r="CC143" i="118" s="1"/>
  <c r="CD120" i="118"/>
  <c r="CD133" i="118" s="1"/>
  <c r="CD143" i="118" s="1"/>
  <c r="CE120" i="118"/>
  <c r="CE133" i="118" s="1"/>
  <c r="CE143" i="118" s="1"/>
  <c r="CF120" i="118"/>
  <c r="CF133" i="118" s="1"/>
  <c r="CF143" i="118" s="1"/>
  <c r="CG120" i="118"/>
  <c r="CG133" i="118" s="1"/>
  <c r="CG143" i="118" s="1"/>
  <c r="CH120" i="118"/>
  <c r="CH133" i="118" s="1"/>
  <c r="CH143" i="118" s="1"/>
  <c r="CI120" i="118"/>
  <c r="CI133" i="118" s="1"/>
  <c r="CI143" i="118" s="1"/>
  <c r="CJ120" i="118"/>
  <c r="CJ133" i="118" s="1"/>
  <c r="CJ143" i="118" s="1"/>
  <c r="CK120" i="118"/>
  <c r="CK133" i="118" s="1"/>
  <c r="CK143" i="118" s="1"/>
  <c r="CL120" i="118"/>
  <c r="CL133" i="118" s="1"/>
  <c r="CL143" i="118" s="1"/>
  <c r="CM120" i="118"/>
  <c r="CM133" i="118" s="1"/>
  <c r="CM143" i="118" s="1"/>
  <c r="CN120" i="118"/>
  <c r="CN133" i="118" s="1"/>
  <c r="CN143" i="118" s="1"/>
  <c r="CO120" i="118"/>
  <c r="CO133" i="118" s="1"/>
  <c r="CO143" i="118" s="1"/>
  <c r="CP120" i="118"/>
  <c r="CP133" i="118" s="1"/>
  <c r="CP143" i="118" s="1"/>
  <c r="CQ120" i="118"/>
  <c r="CQ133" i="118" s="1"/>
  <c r="CQ143" i="118" s="1"/>
  <c r="CR120" i="118"/>
  <c r="CR133" i="118" s="1"/>
  <c r="CR143" i="118" s="1"/>
  <c r="AY121" i="118"/>
  <c r="AY134" i="118" s="1"/>
  <c r="AY144" i="118" s="1"/>
  <c r="AZ121" i="118"/>
  <c r="AZ134" i="118" s="1"/>
  <c r="AZ144" i="118" s="1"/>
  <c r="BA121" i="118"/>
  <c r="BA134" i="118" s="1"/>
  <c r="BA144" i="118" s="1"/>
  <c r="BB121" i="118"/>
  <c r="BB134" i="118" s="1"/>
  <c r="BB144" i="118" s="1"/>
  <c r="BC121" i="118"/>
  <c r="BC134" i="118" s="1"/>
  <c r="BC144" i="118" s="1"/>
  <c r="BD121" i="118"/>
  <c r="BD134" i="118" s="1"/>
  <c r="BD144" i="118" s="1"/>
  <c r="BE121" i="118"/>
  <c r="BE134" i="118" s="1"/>
  <c r="BE144" i="118" s="1"/>
  <c r="BF121" i="118"/>
  <c r="BF134" i="118" s="1"/>
  <c r="BF144" i="118" s="1"/>
  <c r="BG121" i="118"/>
  <c r="BG134" i="118" s="1"/>
  <c r="BG144" i="118" s="1"/>
  <c r="BH121" i="118"/>
  <c r="BH134" i="118" s="1"/>
  <c r="BH144" i="118" s="1"/>
  <c r="BI121" i="118"/>
  <c r="BI134" i="118" s="1"/>
  <c r="BI144" i="118" s="1"/>
  <c r="BJ121" i="118"/>
  <c r="BJ134" i="118" s="1"/>
  <c r="BJ144" i="118" s="1"/>
  <c r="BK121" i="118"/>
  <c r="BK134" i="118" s="1"/>
  <c r="BK144" i="118" s="1"/>
  <c r="BL121" i="118"/>
  <c r="BL134" i="118" s="1"/>
  <c r="BL144" i="118" s="1"/>
  <c r="BM121" i="118"/>
  <c r="BM134" i="118" s="1"/>
  <c r="BM144" i="118" s="1"/>
  <c r="BN121" i="118"/>
  <c r="BN134" i="118" s="1"/>
  <c r="BN144" i="118" s="1"/>
  <c r="BO121" i="118"/>
  <c r="BO134" i="118" s="1"/>
  <c r="BO144" i="118" s="1"/>
  <c r="BP121" i="118"/>
  <c r="BP134" i="118" s="1"/>
  <c r="BP144" i="118" s="1"/>
  <c r="BQ121" i="118"/>
  <c r="BQ134" i="118" s="1"/>
  <c r="BQ144" i="118" s="1"/>
  <c r="BR121" i="118"/>
  <c r="BR134" i="118" s="1"/>
  <c r="BR144" i="118" s="1"/>
  <c r="BS121" i="118"/>
  <c r="BS134" i="118" s="1"/>
  <c r="BS144" i="118" s="1"/>
  <c r="BT121" i="118"/>
  <c r="BT134" i="118" s="1"/>
  <c r="BT144" i="118" s="1"/>
  <c r="BU121" i="118"/>
  <c r="BU134" i="118" s="1"/>
  <c r="BU144" i="118" s="1"/>
  <c r="BV121" i="118"/>
  <c r="BV134" i="118" s="1"/>
  <c r="BV144" i="118" s="1"/>
  <c r="BW121" i="118"/>
  <c r="BW134" i="118" s="1"/>
  <c r="BW144" i="118" s="1"/>
  <c r="BX121" i="118"/>
  <c r="BX134" i="118" s="1"/>
  <c r="BX144" i="118" s="1"/>
  <c r="BY121" i="118"/>
  <c r="BY134" i="118" s="1"/>
  <c r="BY144" i="118" s="1"/>
  <c r="BZ121" i="118"/>
  <c r="BZ134" i="118" s="1"/>
  <c r="BZ144" i="118" s="1"/>
  <c r="CA121" i="118"/>
  <c r="CA134" i="118" s="1"/>
  <c r="CA144" i="118" s="1"/>
  <c r="CB121" i="118"/>
  <c r="CB134" i="118" s="1"/>
  <c r="CB144" i="118" s="1"/>
  <c r="CC121" i="118"/>
  <c r="CC134" i="118" s="1"/>
  <c r="CC144" i="118" s="1"/>
  <c r="CD121" i="118"/>
  <c r="CD134" i="118" s="1"/>
  <c r="CD144" i="118" s="1"/>
  <c r="CE121" i="118"/>
  <c r="CE134" i="118" s="1"/>
  <c r="CE144" i="118" s="1"/>
  <c r="CF121" i="118"/>
  <c r="CF134" i="118" s="1"/>
  <c r="CF144" i="118" s="1"/>
  <c r="CG121" i="118"/>
  <c r="CG134" i="118" s="1"/>
  <c r="CG144" i="118" s="1"/>
  <c r="CH121" i="118"/>
  <c r="CH134" i="118" s="1"/>
  <c r="CH144" i="118" s="1"/>
  <c r="CI121" i="118"/>
  <c r="CI134" i="118" s="1"/>
  <c r="CI144" i="118" s="1"/>
  <c r="CJ121" i="118"/>
  <c r="CJ134" i="118" s="1"/>
  <c r="CJ144" i="118" s="1"/>
  <c r="CK121" i="118"/>
  <c r="CK134" i="118" s="1"/>
  <c r="CK144" i="118" s="1"/>
  <c r="CL121" i="118"/>
  <c r="CL134" i="118" s="1"/>
  <c r="CL144" i="118" s="1"/>
  <c r="CM121" i="118"/>
  <c r="CM134" i="118" s="1"/>
  <c r="CM144" i="118" s="1"/>
  <c r="CN121" i="118"/>
  <c r="CN134" i="118" s="1"/>
  <c r="CN144" i="118" s="1"/>
  <c r="CO121" i="118"/>
  <c r="CO134" i="118" s="1"/>
  <c r="CO144" i="118" s="1"/>
  <c r="CP121" i="118"/>
  <c r="CP134" i="118" s="1"/>
  <c r="CP144" i="118" s="1"/>
  <c r="CQ121" i="118"/>
  <c r="CQ134" i="118" s="1"/>
  <c r="CQ144" i="118" s="1"/>
  <c r="CR121" i="118"/>
  <c r="CR134" i="118" s="1"/>
  <c r="CR144" i="118" s="1"/>
  <c r="AY122" i="118"/>
  <c r="AY135" i="118" s="1"/>
  <c r="AY145" i="118" s="1"/>
  <c r="AZ122" i="118"/>
  <c r="AZ135" i="118" s="1"/>
  <c r="AZ145" i="118" s="1"/>
  <c r="BA122" i="118"/>
  <c r="BA135" i="118" s="1"/>
  <c r="BA145" i="118" s="1"/>
  <c r="BB122" i="118"/>
  <c r="BB135" i="118" s="1"/>
  <c r="BB145" i="118" s="1"/>
  <c r="BC122" i="118"/>
  <c r="BC135" i="118" s="1"/>
  <c r="BC145" i="118" s="1"/>
  <c r="BD122" i="118"/>
  <c r="BD135" i="118" s="1"/>
  <c r="BD145" i="118" s="1"/>
  <c r="BE122" i="118"/>
  <c r="BE135" i="118" s="1"/>
  <c r="BE145" i="118" s="1"/>
  <c r="BF122" i="118"/>
  <c r="BF135" i="118" s="1"/>
  <c r="BF145" i="118" s="1"/>
  <c r="BG122" i="118"/>
  <c r="BG135" i="118" s="1"/>
  <c r="BG145" i="118" s="1"/>
  <c r="BH122" i="118"/>
  <c r="BH135" i="118" s="1"/>
  <c r="BH145" i="118" s="1"/>
  <c r="BI122" i="118"/>
  <c r="BI135" i="118" s="1"/>
  <c r="BI145" i="118" s="1"/>
  <c r="BJ122" i="118"/>
  <c r="BJ135" i="118" s="1"/>
  <c r="BJ145" i="118" s="1"/>
  <c r="BK122" i="118"/>
  <c r="BK135" i="118" s="1"/>
  <c r="BK145" i="118" s="1"/>
  <c r="BL122" i="118"/>
  <c r="BL135" i="118" s="1"/>
  <c r="BL145" i="118" s="1"/>
  <c r="BM122" i="118"/>
  <c r="BM135" i="118" s="1"/>
  <c r="BM145" i="118" s="1"/>
  <c r="BN122" i="118"/>
  <c r="BN135" i="118" s="1"/>
  <c r="BN145" i="118" s="1"/>
  <c r="BO122" i="118"/>
  <c r="BO135" i="118" s="1"/>
  <c r="BO145" i="118" s="1"/>
  <c r="BP122" i="118"/>
  <c r="BP135" i="118" s="1"/>
  <c r="BP145" i="118" s="1"/>
  <c r="BQ122" i="118"/>
  <c r="BQ135" i="118" s="1"/>
  <c r="BQ145" i="118" s="1"/>
  <c r="BR122" i="118"/>
  <c r="BR135" i="118" s="1"/>
  <c r="BR145" i="118" s="1"/>
  <c r="BS122" i="118"/>
  <c r="BS135" i="118" s="1"/>
  <c r="BS145" i="118" s="1"/>
  <c r="BT122" i="118"/>
  <c r="BT135" i="118" s="1"/>
  <c r="BT145" i="118" s="1"/>
  <c r="BU122" i="118"/>
  <c r="BU135" i="118" s="1"/>
  <c r="BU145" i="118" s="1"/>
  <c r="BV122" i="118"/>
  <c r="BV135" i="118" s="1"/>
  <c r="BV145" i="118" s="1"/>
  <c r="BW122" i="118"/>
  <c r="BW135" i="118" s="1"/>
  <c r="BW145" i="118" s="1"/>
  <c r="BX122" i="118"/>
  <c r="BX135" i="118" s="1"/>
  <c r="BX145" i="118" s="1"/>
  <c r="BY122" i="118"/>
  <c r="BY135" i="118" s="1"/>
  <c r="BY145" i="118" s="1"/>
  <c r="BZ122" i="118"/>
  <c r="BZ135" i="118" s="1"/>
  <c r="BZ145" i="118" s="1"/>
  <c r="CA122" i="118"/>
  <c r="CA135" i="118" s="1"/>
  <c r="CA145" i="118" s="1"/>
  <c r="CB122" i="118"/>
  <c r="CB135" i="118" s="1"/>
  <c r="CB145" i="118" s="1"/>
  <c r="CC122" i="118"/>
  <c r="CC135" i="118" s="1"/>
  <c r="CC145" i="118" s="1"/>
  <c r="CD122" i="118"/>
  <c r="CD135" i="118" s="1"/>
  <c r="CD145" i="118" s="1"/>
  <c r="CE122" i="118"/>
  <c r="CE135" i="118" s="1"/>
  <c r="CE145" i="118" s="1"/>
  <c r="CF122" i="118"/>
  <c r="CF135" i="118" s="1"/>
  <c r="CF145" i="118" s="1"/>
  <c r="CG122" i="118"/>
  <c r="CG135" i="118" s="1"/>
  <c r="CG145" i="118" s="1"/>
  <c r="CH122" i="118"/>
  <c r="CH135" i="118" s="1"/>
  <c r="CH145" i="118" s="1"/>
  <c r="CI122" i="118"/>
  <c r="CI135" i="118" s="1"/>
  <c r="CI145" i="118" s="1"/>
  <c r="CJ122" i="118"/>
  <c r="CJ135" i="118" s="1"/>
  <c r="CJ145" i="118" s="1"/>
  <c r="CK122" i="118"/>
  <c r="CK135" i="118" s="1"/>
  <c r="CK145" i="118" s="1"/>
  <c r="CL122" i="118"/>
  <c r="CL135" i="118" s="1"/>
  <c r="CL145" i="118" s="1"/>
  <c r="CM122" i="118"/>
  <c r="CM135" i="118" s="1"/>
  <c r="CM145" i="118" s="1"/>
  <c r="CN122" i="118"/>
  <c r="CN135" i="118" s="1"/>
  <c r="CN145" i="118" s="1"/>
  <c r="CO122" i="118"/>
  <c r="CO135" i="118" s="1"/>
  <c r="CO145" i="118" s="1"/>
  <c r="CP122" i="118"/>
  <c r="CP135" i="118" s="1"/>
  <c r="CP145" i="118" s="1"/>
  <c r="CQ122" i="118"/>
  <c r="CQ135" i="118" s="1"/>
  <c r="CQ145" i="118" s="1"/>
  <c r="CR122" i="118"/>
  <c r="CR135" i="118" s="1"/>
  <c r="CR145" i="118" s="1"/>
  <c r="AY123" i="118"/>
  <c r="AY136" i="118" s="1"/>
  <c r="AY146" i="118" s="1"/>
  <c r="AZ123" i="118"/>
  <c r="AZ136" i="118" s="1"/>
  <c r="AZ146" i="118" s="1"/>
  <c r="BA123" i="118"/>
  <c r="BA136" i="118" s="1"/>
  <c r="BA146" i="118" s="1"/>
  <c r="BB123" i="118"/>
  <c r="BB136" i="118" s="1"/>
  <c r="BB146" i="118" s="1"/>
  <c r="BC123" i="118"/>
  <c r="BC136" i="118" s="1"/>
  <c r="BC146" i="118" s="1"/>
  <c r="BD123" i="118"/>
  <c r="BD136" i="118" s="1"/>
  <c r="BD146" i="118" s="1"/>
  <c r="BE123" i="118"/>
  <c r="BE136" i="118" s="1"/>
  <c r="BE146" i="118" s="1"/>
  <c r="BF123" i="118"/>
  <c r="BF136" i="118" s="1"/>
  <c r="BF146" i="118" s="1"/>
  <c r="BG123" i="118"/>
  <c r="BG136" i="118" s="1"/>
  <c r="BG146" i="118" s="1"/>
  <c r="BH123" i="118"/>
  <c r="BH136" i="118" s="1"/>
  <c r="BH146" i="118" s="1"/>
  <c r="BI123" i="118"/>
  <c r="BI136" i="118" s="1"/>
  <c r="BI146" i="118" s="1"/>
  <c r="BJ123" i="118"/>
  <c r="BJ136" i="118" s="1"/>
  <c r="BJ146" i="118" s="1"/>
  <c r="BK123" i="118"/>
  <c r="BK136" i="118" s="1"/>
  <c r="BK146" i="118" s="1"/>
  <c r="BL123" i="118"/>
  <c r="BL136" i="118" s="1"/>
  <c r="BL146" i="118" s="1"/>
  <c r="BM123" i="118"/>
  <c r="BM136" i="118" s="1"/>
  <c r="BM146" i="118" s="1"/>
  <c r="BN123" i="118"/>
  <c r="BN136" i="118" s="1"/>
  <c r="BN146" i="118" s="1"/>
  <c r="BO123" i="118"/>
  <c r="BO136" i="118" s="1"/>
  <c r="BO146" i="118" s="1"/>
  <c r="BP123" i="118"/>
  <c r="BP136" i="118" s="1"/>
  <c r="BP146" i="118" s="1"/>
  <c r="BQ123" i="118"/>
  <c r="BQ136" i="118" s="1"/>
  <c r="BQ146" i="118" s="1"/>
  <c r="BR123" i="118"/>
  <c r="BR136" i="118" s="1"/>
  <c r="BR146" i="118" s="1"/>
  <c r="BS123" i="118"/>
  <c r="BS136" i="118" s="1"/>
  <c r="BS146" i="118" s="1"/>
  <c r="BT123" i="118"/>
  <c r="BT136" i="118" s="1"/>
  <c r="BT146" i="118" s="1"/>
  <c r="BU123" i="118"/>
  <c r="BU136" i="118" s="1"/>
  <c r="BU146" i="118" s="1"/>
  <c r="BV123" i="118"/>
  <c r="BV136" i="118" s="1"/>
  <c r="BV146" i="118" s="1"/>
  <c r="BW123" i="118"/>
  <c r="BW136" i="118" s="1"/>
  <c r="BW146" i="118" s="1"/>
  <c r="BX123" i="118"/>
  <c r="BX136" i="118" s="1"/>
  <c r="BX146" i="118" s="1"/>
  <c r="BY123" i="118"/>
  <c r="BY136" i="118" s="1"/>
  <c r="BY146" i="118" s="1"/>
  <c r="BZ123" i="118"/>
  <c r="BZ136" i="118" s="1"/>
  <c r="BZ146" i="118" s="1"/>
  <c r="CA123" i="118"/>
  <c r="CA136" i="118" s="1"/>
  <c r="CA146" i="118" s="1"/>
  <c r="CB123" i="118"/>
  <c r="CB136" i="118" s="1"/>
  <c r="CB146" i="118" s="1"/>
  <c r="CC123" i="118"/>
  <c r="CC136" i="118" s="1"/>
  <c r="CC146" i="118" s="1"/>
  <c r="CD123" i="118"/>
  <c r="CD136" i="118" s="1"/>
  <c r="CD146" i="118" s="1"/>
  <c r="CE123" i="118"/>
  <c r="CE136" i="118" s="1"/>
  <c r="CE146" i="118" s="1"/>
  <c r="CF123" i="118"/>
  <c r="CF136" i="118" s="1"/>
  <c r="CF146" i="118" s="1"/>
  <c r="CG123" i="118"/>
  <c r="CG136" i="118" s="1"/>
  <c r="CG146" i="118" s="1"/>
  <c r="CH123" i="118"/>
  <c r="CH136" i="118" s="1"/>
  <c r="CH146" i="118" s="1"/>
  <c r="CI123" i="118"/>
  <c r="CI136" i="118" s="1"/>
  <c r="CI146" i="118" s="1"/>
  <c r="CJ123" i="118"/>
  <c r="CJ136" i="118" s="1"/>
  <c r="CJ146" i="118" s="1"/>
  <c r="CK123" i="118"/>
  <c r="CK136" i="118" s="1"/>
  <c r="CK146" i="118" s="1"/>
  <c r="CL123" i="118"/>
  <c r="CL136" i="118" s="1"/>
  <c r="CL146" i="118" s="1"/>
  <c r="CM123" i="118"/>
  <c r="CM136" i="118" s="1"/>
  <c r="CM146" i="118" s="1"/>
  <c r="CN123" i="118"/>
  <c r="CN136" i="118" s="1"/>
  <c r="CN146" i="118" s="1"/>
  <c r="CO123" i="118"/>
  <c r="CO136" i="118" s="1"/>
  <c r="CO146" i="118" s="1"/>
  <c r="CP123" i="118"/>
  <c r="CP136" i="118" s="1"/>
  <c r="CP146" i="118" s="1"/>
  <c r="CQ123" i="118"/>
  <c r="CQ136" i="118" s="1"/>
  <c r="CQ146" i="118" s="1"/>
  <c r="CR123" i="118"/>
  <c r="CR136" i="118" s="1"/>
  <c r="CR146" i="118" s="1"/>
  <c r="AD116" i="118"/>
  <c r="AD129" i="118" s="1"/>
  <c r="AD139" i="118" s="1"/>
  <c r="AE116" i="118"/>
  <c r="AE129" i="118" s="1"/>
  <c r="AE139" i="118" s="1"/>
  <c r="AF116" i="118"/>
  <c r="AF129" i="118" s="1"/>
  <c r="AF139" i="118" s="1"/>
  <c r="AG116" i="118"/>
  <c r="AG129" i="118" s="1"/>
  <c r="AG139" i="118" s="1"/>
  <c r="AH116" i="118"/>
  <c r="AH129" i="118" s="1"/>
  <c r="AH139" i="118" s="1"/>
  <c r="AI116" i="118"/>
  <c r="AI129" i="118" s="1"/>
  <c r="AI139" i="118" s="1"/>
  <c r="AJ116" i="118"/>
  <c r="AJ129" i="118" s="1"/>
  <c r="AJ139" i="118" s="1"/>
  <c r="AK116" i="118"/>
  <c r="AK129" i="118" s="1"/>
  <c r="AK139" i="118" s="1"/>
  <c r="AL116" i="118"/>
  <c r="AL129" i="118" s="1"/>
  <c r="AL139" i="118" s="1"/>
  <c r="AM116" i="118"/>
  <c r="AM129" i="118" s="1"/>
  <c r="AM139" i="118" s="1"/>
  <c r="AN116" i="118"/>
  <c r="AN129" i="118" s="1"/>
  <c r="AN139" i="118" s="1"/>
  <c r="AO116" i="118"/>
  <c r="AO129" i="118" s="1"/>
  <c r="AO139" i="118" s="1"/>
  <c r="AP116" i="118"/>
  <c r="AP129" i="118" s="1"/>
  <c r="AP139" i="118" s="1"/>
  <c r="AQ116" i="118"/>
  <c r="AQ129" i="118" s="1"/>
  <c r="AQ139" i="118" s="1"/>
  <c r="AR116" i="118"/>
  <c r="AR129" i="118" s="1"/>
  <c r="AR139" i="118" s="1"/>
  <c r="AS116" i="118"/>
  <c r="AS129" i="118" s="1"/>
  <c r="AS139" i="118" s="1"/>
  <c r="AT116" i="118"/>
  <c r="AT129" i="118" s="1"/>
  <c r="AT139" i="118" s="1"/>
  <c r="AU116" i="118"/>
  <c r="AU129" i="118" s="1"/>
  <c r="AU139" i="118" s="1"/>
  <c r="AV116" i="118"/>
  <c r="AV129" i="118" s="1"/>
  <c r="AV139" i="118" s="1"/>
  <c r="AW116" i="118"/>
  <c r="AW129" i="118" s="1"/>
  <c r="AW139" i="118" s="1"/>
  <c r="AX116" i="118"/>
  <c r="AX129" i="118" s="1"/>
  <c r="AX139" i="118" s="1"/>
  <c r="AD117" i="118"/>
  <c r="AD130" i="118" s="1"/>
  <c r="AD140" i="118" s="1"/>
  <c r="AE117" i="118"/>
  <c r="AE130" i="118" s="1"/>
  <c r="AE140" i="118" s="1"/>
  <c r="AF117" i="118"/>
  <c r="AF130" i="118" s="1"/>
  <c r="AF140" i="118" s="1"/>
  <c r="AG117" i="118"/>
  <c r="AG130" i="118" s="1"/>
  <c r="AG140" i="118" s="1"/>
  <c r="AH117" i="118"/>
  <c r="AH130" i="118" s="1"/>
  <c r="AH140" i="118" s="1"/>
  <c r="AI117" i="118"/>
  <c r="AI130" i="118" s="1"/>
  <c r="AI140" i="118" s="1"/>
  <c r="AJ117" i="118"/>
  <c r="AJ130" i="118" s="1"/>
  <c r="AJ140" i="118" s="1"/>
  <c r="AK117" i="118"/>
  <c r="AK130" i="118" s="1"/>
  <c r="AK140" i="118" s="1"/>
  <c r="AL117" i="118"/>
  <c r="AL130" i="118" s="1"/>
  <c r="AL140" i="118" s="1"/>
  <c r="AM117" i="118"/>
  <c r="AM130" i="118" s="1"/>
  <c r="AM140" i="118" s="1"/>
  <c r="AN117" i="118"/>
  <c r="AN130" i="118" s="1"/>
  <c r="AN140" i="118" s="1"/>
  <c r="AO117" i="118"/>
  <c r="AO130" i="118" s="1"/>
  <c r="AO140" i="118" s="1"/>
  <c r="AP117" i="118"/>
  <c r="AP130" i="118" s="1"/>
  <c r="AP140" i="118" s="1"/>
  <c r="AQ117" i="118"/>
  <c r="AQ130" i="118" s="1"/>
  <c r="AQ140" i="118" s="1"/>
  <c r="AR117" i="118"/>
  <c r="AR130" i="118" s="1"/>
  <c r="AR140" i="118" s="1"/>
  <c r="AS117" i="118"/>
  <c r="AS130" i="118" s="1"/>
  <c r="AS140" i="118" s="1"/>
  <c r="AT117" i="118"/>
  <c r="AT130" i="118" s="1"/>
  <c r="AT140" i="118" s="1"/>
  <c r="AU117" i="118"/>
  <c r="AU130" i="118" s="1"/>
  <c r="AU140" i="118" s="1"/>
  <c r="AV117" i="118"/>
  <c r="AV130" i="118" s="1"/>
  <c r="AV140" i="118" s="1"/>
  <c r="AW117" i="118"/>
  <c r="AW130" i="118" s="1"/>
  <c r="AW140" i="118" s="1"/>
  <c r="AX117" i="118"/>
  <c r="AX130" i="118" s="1"/>
  <c r="AX140" i="118" s="1"/>
  <c r="AD118" i="118"/>
  <c r="AD131" i="118" s="1"/>
  <c r="AD141" i="118" s="1"/>
  <c r="AE118" i="118"/>
  <c r="AE131" i="118" s="1"/>
  <c r="AE141" i="118" s="1"/>
  <c r="AF118" i="118"/>
  <c r="AF131" i="118" s="1"/>
  <c r="AF141" i="118" s="1"/>
  <c r="AG118" i="118"/>
  <c r="AG131" i="118" s="1"/>
  <c r="AG141" i="118" s="1"/>
  <c r="AH118" i="118"/>
  <c r="AH131" i="118" s="1"/>
  <c r="AH141" i="118" s="1"/>
  <c r="AI118" i="118"/>
  <c r="AI131" i="118" s="1"/>
  <c r="AI141" i="118" s="1"/>
  <c r="AJ118" i="118"/>
  <c r="AJ131" i="118" s="1"/>
  <c r="AJ141" i="118" s="1"/>
  <c r="AK118" i="118"/>
  <c r="AK131" i="118" s="1"/>
  <c r="AK141" i="118" s="1"/>
  <c r="AL118" i="118"/>
  <c r="AL131" i="118" s="1"/>
  <c r="AL141" i="118" s="1"/>
  <c r="AM118" i="118"/>
  <c r="AM131" i="118" s="1"/>
  <c r="AM141" i="118" s="1"/>
  <c r="AN118" i="118"/>
  <c r="AN131" i="118" s="1"/>
  <c r="AN141" i="118" s="1"/>
  <c r="AO118" i="118"/>
  <c r="AO131" i="118" s="1"/>
  <c r="AO141" i="118" s="1"/>
  <c r="AP118" i="118"/>
  <c r="AP131" i="118" s="1"/>
  <c r="AP141" i="118" s="1"/>
  <c r="AQ118" i="118"/>
  <c r="AQ131" i="118" s="1"/>
  <c r="AQ141" i="118" s="1"/>
  <c r="AR118" i="118"/>
  <c r="AR131" i="118" s="1"/>
  <c r="AR141" i="118" s="1"/>
  <c r="AS118" i="118"/>
  <c r="AS131" i="118" s="1"/>
  <c r="AS141" i="118" s="1"/>
  <c r="AT118" i="118"/>
  <c r="AT131" i="118" s="1"/>
  <c r="AT141" i="118" s="1"/>
  <c r="AU118" i="118"/>
  <c r="AU131" i="118" s="1"/>
  <c r="AU141" i="118" s="1"/>
  <c r="AV118" i="118"/>
  <c r="AV131" i="118" s="1"/>
  <c r="AV141" i="118" s="1"/>
  <c r="AW118" i="118"/>
  <c r="AW131" i="118" s="1"/>
  <c r="AW141" i="118" s="1"/>
  <c r="AX118" i="118"/>
  <c r="AX131" i="118" s="1"/>
  <c r="AX141" i="118" s="1"/>
  <c r="AD119" i="118"/>
  <c r="AD132" i="118" s="1"/>
  <c r="AD142" i="118" s="1"/>
  <c r="AE119" i="118"/>
  <c r="AE132" i="118" s="1"/>
  <c r="AE142" i="118" s="1"/>
  <c r="AF119" i="118"/>
  <c r="AF132" i="118" s="1"/>
  <c r="AF142" i="118" s="1"/>
  <c r="AG119" i="118"/>
  <c r="AG132" i="118" s="1"/>
  <c r="AG142" i="118" s="1"/>
  <c r="AH119" i="118"/>
  <c r="AH132" i="118" s="1"/>
  <c r="AH142" i="118" s="1"/>
  <c r="AI119" i="118"/>
  <c r="AI132" i="118" s="1"/>
  <c r="AI142" i="118" s="1"/>
  <c r="AJ119" i="118"/>
  <c r="AJ132" i="118" s="1"/>
  <c r="AJ142" i="118" s="1"/>
  <c r="AK119" i="118"/>
  <c r="AK132" i="118" s="1"/>
  <c r="AK142" i="118" s="1"/>
  <c r="AL119" i="118"/>
  <c r="AL132" i="118" s="1"/>
  <c r="AL142" i="118" s="1"/>
  <c r="AM119" i="118"/>
  <c r="AM132" i="118" s="1"/>
  <c r="AM142" i="118" s="1"/>
  <c r="AN119" i="118"/>
  <c r="AN132" i="118" s="1"/>
  <c r="AN142" i="118" s="1"/>
  <c r="AO119" i="118"/>
  <c r="AO132" i="118" s="1"/>
  <c r="AO142" i="118" s="1"/>
  <c r="AP119" i="118"/>
  <c r="AP132" i="118" s="1"/>
  <c r="AP142" i="118" s="1"/>
  <c r="AQ119" i="118"/>
  <c r="AQ132" i="118" s="1"/>
  <c r="AQ142" i="118" s="1"/>
  <c r="AR119" i="118"/>
  <c r="AR132" i="118" s="1"/>
  <c r="AR142" i="118" s="1"/>
  <c r="AS119" i="118"/>
  <c r="AS132" i="118" s="1"/>
  <c r="AS142" i="118" s="1"/>
  <c r="AT119" i="118"/>
  <c r="AT132" i="118" s="1"/>
  <c r="AT142" i="118" s="1"/>
  <c r="AU119" i="118"/>
  <c r="AU132" i="118" s="1"/>
  <c r="AU142" i="118" s="1"/>
  <c r="AV119" i="118"/>
  <c r="AV132" i="118" s="1"/>
  <c r="AV142" i="118" s="1"/>
  <c r="AW119" i="118"/>
  <c r="AW132" i="118" s="1"/>
  <c r="AW142" i="118" s="1"/>
  <c r="AX119" i="118"/>
  <c r="AX132" i="118" s="1"/>
  <c r="AX142" i="118" s="1"/>
  <c r="AD120" i="118"/>
  <c r="AD133" i="118" s="1"/>
  <c r="AD143" i="118" s="1"/>
  <c r="AE120" i="118"/>
  <c r="AE133" i="118" s="1"/>
  <c r="AE143" i="118" s="1"/>
  <c r="AF120" i="118"/>
  <c r="AF133" i="118" s="1"/>
  <c r="AF143" i="118" s="1"/>
  <c r="AG120" i="118"/>
  <c r="AG133" i="118" s="1"/>
  <c r="AG143" i="118" s="1"/>
  <c r="AH120" i="118"/>
  <c r="AH133" i="118" s="1"/>
  <c r="AH143" i="118" s="1"/>
  <c r="AI120" i="118"/>
  <c r="AI133" i="118" s="1"/>
  <c r="AI143" i="118" s="1"/>
  <c r="AJ120" i="118"/>
  <c r="AJ133" i="118" s="1"/>
  <c r="AJ143" i="118" s="1"/>
  <c r="AK120" i="118"/>
  <c r="AK133" i="118" s="1"/>
  <c r="AK143" i="118" s="1"/>
  <c r="AL120" i="118"/>
  <c r="AL133" i="118" s="1"/>
  <c r="AL143" i="118" s="1"/>
  <c r="AM120" i="118"/>
  <c r="AM133" i="118" s="1"/>
  <c r="AM143" i="118" s="1"/>
  <c r="AN120" i="118"/>
  <c r="AN133" i="118" s="1"/>
  <c r="AN143" i="118" s="1"/>
  <c r="AO120" i="118"/>
  <c r="AO133" i="118" s="1"/>
  <c r="AO143" i="118" s="1"/>
  <c r="AP120" i="118"/>
  <c r="AP133" i="118" s="1"/>
  <c r="AP143" i="118" s="1"/>
  <c r="AQ120" i="118"/>
  <c r="AQ133" i="118" s="1"/>
  <c r="AQ143" i="118" s="1"/>
  <c r="AR120" i="118"/>
  <c r="AR133" i="118" s="1"/>
  <c r="AR143" i="118" s="1"/>
  <c r="AS120" i="118"/>
  <c r="AS133" i="118" s="1"/>
  <c r="AS143" i="118" s="1"/>
  <c r="AT120" i="118"/>
  <c r="AT133" i="118" s="1"/>
  <c r="AT143" i="118" s="1"/>
  <c r="AU120" i="118"/>
  <c r="AU133" i="118" s="1"/>
  <c r="AU143" i="118" s="1"/>
  <c r="AV120" i="118"/>
  <c r="AV133" i="118" s="1"/>
  <c r="AV143" i="118" s="1"/>
  <c r="AW120" i="118"/>
  <c r="AW133" i="118" s="1"/>
  <c r="AW143" i="118" s="1"/>
  <c r="AX120" i="118"/>
  <c r="AX133" i="118" s="1"/>
  <c r="AX143" i="118" s="1"/>
  <c r="AD121" i="118"/>
  <c r="AD134" i="118" s="1"/>
  <c r="AD144" i="118" s="1"/>
  <c r="AE121" i="118"/>
  <c r="AE134" i="118" s="1"/>
  <c r="AE144" i="118" s="1"/>
  <c r="AF121" i="118"/>
  <c r="AF134" i="118" s="1"/>
  <c r="AF144" i="118" s="1"/>
  <c r="AG121" i="118"/>
  <c r="AG134" i="118" s="1"/>
  <c r="AG144" i="118" s="1"/>
  <c r="AH121" i="118"/>
  <c r="AH134" i="118" s="1"/>
  <c r="AH144" i="118" s="1"/>
  <c r="AI121" i="118"/>
  <c r="AI134" i="118" s="1"/>
  <c r="AI144" i="118" s="1"/>
  <c r="AJ121" i="118"/>
  <c r="AJ134" i="118" s="1"/>
  <c r="AJ144" i="118" s="1"/>
  <c r="AK121" i="118"/>
  <c r="AK134" i="118" s="1"/>
  <c r="AK144" i="118" s="1"/>
  <c r="AL121" i="118"/>
  <c r="AL134" i="118" s="1"/>
  <c r="AL144" i="118" s="1"/>
  <c r="AM121" i="118"/>
  <c r="AM134" i="118" s="1"/>
  <c r="AM144" i="118" s="1"/>
  <c r="AN121" i="118"/>
  <c r="AN134" i="118" s="1"/>
  <c r="AN144" i="118" s="1"/>
  <c r="AO121" i="118"/>
  <c r="AO134" i="118" s="1"/>
  <c r="AO144" i="118" s="1"/>
  <c r="AP121" i="118"/>
  <c r="AP134" i="118" s="1"/>
  <c r="AP144" i="118" s="1"/>
  <c r="AQ121" i="118"/>
  <c r="AQ134" i="118" s="1"/>
  <c r="AQ144" i="118" s="1"/>
  <c r="AR121" i="118"/>
  <c r="AR134" i="118" s="1"/>
  <c r="AR144" i="118" s="1"/>
  <c r="AS121" i="118"/>
  <c r="AS134" i="118" s="1"/>
  <c r="AS144" i="118" s="1"/>
  <c r="AT121" i="118"/>
  <c r="AT134" i="118" s="1"/>
  <c r="AT144" i="118" s="1"/>
  <c r="AU121" i="118"/>
  <c r="AU134" i="118" s="1"/>
  <c r="AU144" i="118" s="1"/>
  <c r="AV121" i="118"/>
  <c r="AV134" i="118" s="1"/>
  <c r="AV144" i="118" s="1"/>
  <c r="AW121" i="118"/>
  <c r="AW134" i="118" s="1"/>
  <c r="AW144" i="118" s="1"/>
  <c r="AX121" i="118"/>
  <c r="AX134" i="118" s="1"/>
  <c r="AX144" i="118" s="1"/>
  <c r="AD122" i="118"/>
  <c r="AD135" i="118" s="1"/>
  <c r="AD145" i="118" s="1"/>
  <c r="AE122" i="118"/>
  <c r="AE135" i="118" s="1"/>
  <c r="AE145" i="118" s="1"/>
  <c r="AF122" i="118"/>
  <c r="AF135" i="118" s="1"/>
  <c r="AF145" i="118" s="1"/>
  <c r="AG122" i="118"/>
  <c r="AG135" i="118" s="1"/>
  <c r="AG145" i="118" s="1"/>
  <c r="AH122" i="118"/>
  <c r="AH135" i="118" s="1"/>
  <c r="AH145" i="118" s="1"/>
  <c r="AI122" i="118"/>
  <c r="AI135" i="118" s="1"/>
  <c r="AI145" i="118" s="1"/>
  <c r="AJ122" i="118"/>
  <c r="AJ135" i="118" s="1"/>
  <c r="AJ145" i="118" s="1"/>
  <c r="AK122" i="118"/>
  <c r="AK135" i="118" s="1"/>
  <c r="AK145" i="118" s="1"/>
  <c r="AL122" i="118"/>
  <c r="AL135" i="118" s="1"/>
  <c r="AL145" i="118" s="1"/>
  <c r="AM122" i="118"/>
  <c r="AM135" i="118" s="1"/>
  <c r="AM145" i="118" s="1"/>
  <c r="AN122" i="118"/>
  <c r="AN135" i="118" s="1"/>
  <c r="AN145" i="118" s="1"/>
  <c r="AO122" i="118"/>
  <c r="AO135" i="118" s="1"/>
  <c r="AO145" i="118" s="1"/>
  <c r="AP122" i="118"/>
  <c r="AP135" i="118" s="1"/>
  <c r="AP145" i="118" s="1"/>
  <c r="AQ122" i="118"/>
  <c r="AQ135" i="118" s="1"/>
  <c r="AQ145" i="118" s="1"/>
  <c r="AR122" i="118"/>
  <c r="AR135" i="118" s="1"/>
  <c r="AR145" i="118" s="1"/>
  <c r="AS122" i="118"/>
  <c r="AS135" i="118" s="1"/>
  <c r="AS145" i="118" s="1"/>
  <c r="AT122" i="118"/>
  <c r="AT135" i="118" s="1"/>
  <c r="AT145" i="118" s="1"/>
  <c r="AU122" i="118"/>
  <c r="AU135" i="118" s="1"/>
  <c r="AU145" i="118" s="1"/>
  <c r="AV122" i="118"/>
  <c r="AV135" i="118" s="1"/>
  <c r="AV145" i="118" s="1"/>
  <c r="AW122" i="118"/>
  <c r="AW135" i="118" s="1"/>
  <c r="AW145" i="118" s="1"/>
  <c r="AX122" i="118"/>
  <c r="AX135" i="118" s="1"/>
  <c r="AX145" i="118" s="1"/>
  <c r="AD123" i="118"/>
  <c r="AD136" i="118" s="1"/>
  <c r="AD146" i="118" s="1"/>
  <c r="AE123" i="118"/>
  <c r="AE136" i="118" s="1"/>
  <c r="AE146" i="118" s="1"/>
  <c r="AF123" i="118"/>
  <c r="AF136" i="118" s="1"/>
  <c r="AF146" i="118" s="1"/>
  <c r="AG123" i="118"/>
  <c r="AG136" i="118" s="1"/>
  <c r="AG146" i="118" s="1"/>
  <c r="AH123" i="118"/>
  <c r="AH136" i="118" s="1"/>
  <c r="AH146" i="118" s="1"/>
  <c r="AI123" i="118"/>
  <c r="AI136" i="118" s="1"/>
  <c r="AI146" i="118" s="1"/>
  <c r="AJ123" i="118"/>
  <c r="AJ136" i="118" s="1"/>
  <c r="AJ146" i="118" s="1"/>
  <c r="AK123" i="118"/>
  <c r="AK136" i="118" s="1"/>
  <c r="AK146" i="118" s="1"/>
  <c r="AL123" i="118"/>
  <c r="AL136" i="118" s="1"/>
  <c r="AL146" i="118" s="1"/>
  <c r="AM123" i="118"/>
  <c r="AM136" i="118" s="1"/>
  <c r="AM146" i="118" s="1"/>
  <c r="AN123" i="118"/>
  <c r="AN136" i="118" s="1"/>
  <c r="AN146" i="118" s="1"/>
  <c r="AO123" i="118"/>
  <c r="AO136" i="118" s="1"/>
  <c r="AO146" i="118" s="1"/>
  <c r="AP123" i="118"/>
  <c r="AP136" i="118" s="1"/>
  <c r="AP146" i="118" s="1"/>
  <c r="AQ123" i="118"/>
  <c r="AQ136" i="118" s="1"/>
  <c r="AQ146" i="118" s="1"/>
  <c r="AR123" i="118"/>
  <c r="AR136" i="118" s="1"/>
  <c r="AR146" i="118" s="1"/>
  <c r="AS123" i="118"/>
  <c r="AS136" i="118" s="1"/>
  <c r="AS146" i="118" s="1"/>
  <c r="AT123" i="118"/>
  <c r="AT136" i="118" s="1"/>
  <c r="AT146" i="118" s="1"/>
  <c r="AU123" i="118"/>
  <c r="AU136" i="118" s="1"/>
  <c r="AU146" i="118" s="1"/>
  <c r="AV123" i="118"/>
  <c r="AV136" i="118" s="1"/>
  <c r="AV146" i="118" s="1"/>
  <c r="AW123" i="118"/>
  <c r="AW136" i="118" s="1"/>
  <c r="AW146" i="118" s="1"/>
  <c r="AX123" i="118"/>
  <c r="AX136" i="118" s="1"/>
  <c r="AX146" i="118" s="1"/>
  <c r="J116" i="118"/>
  <c r="J129" i="118" s="1"/>
  <c r="J139" i="118" s="1"/>
  <c r="K116" i="118"/>
  <c r="K129" i="118" s="1"/>
  <c r="K139" i="118" s="1"/>
  <c r="L116" i="118"/>
  <c r="L129" i="118" s="1"/>
  <c r="L139" i="118" s="1"/>
  <c r="M116" i="118"/>
  <c r="M129" i="118" s="1"/>
  <c r="M139" i="118" s="1"/>
  <c r="N116" i="118"/>
  <c r="N129" i="118" s="1"/>
  <c r="N139" i="118" s="1"/>
  <c r="O116" i="118"/>
  <c r="O129" i="118" s="1"/>
  <c r="O139" i="118" s="1"/>
  <c r="P116" i="118"/>
  <c r="P129" i="118" s="1"/>
  <c r="P139" i="118" s="1"/>
  <c r="Q116" i="118"/>
  <c r="Q129" i="118" s="1"/>
  <c r="Q139" i="118" s="1"/>
  <c r="R116" i="118"/>
  <c r="R129" i="118" s="1"/>
  <c r="R139" i="118" s="1"/>
  <c r="S116" i="118"/>
  <c r="S129" i="118" s="1"/>
  <c r="S139" i="118" s="1"/>
  <c r="T116" i="118"/>
  <c r="T129" i="118" s="1"/>
  <c r="T139" i="118" s="1"/>
  <c r="U116" i="118"/>
  <c r="U129" i="118" s="1"/>
  <c r="U139" i="118" s="1"/>
  <c r="V116" i="118"/>
  <c r="V129" i="118" s="1"/>
  <c r="V139" i="118" s="1"/>
  <c r="W116" i="118"/>
  <c r="W129" i="118" s="1"/>
  <c r="W139" i="118" s="1"/>
  <c r="X116" i="118"/>
  <c r="X129" i="118" s="1"/>
  <c r="X139" i="118" s="1"/>
  <c r="Y116" i="118"/>
  <c r="Y129" i="118" s="1"/>
  <c r="Y139" i="118" s="1"/>
  <c r="Z116" i="118"/>
  <c r="Z129" i="118" s="1"/>
  <c r="Z139" i="118" s="1"/>
  <c r="AA116" i="118"/>
  <c r="AA129" i="118" s="1"/>
  <c r="AA139" i="118" s="1"/>
  <c r="AB116" i="118"/>
  <c r="AB129" i="118" s="1"/>
  <c r="AB139" i="118" s="1"/>
  <c r="AC116" i="118"/>
  <c r="AC129" i="118" s="1"/>
  <c r="AC139" i="118" s="1"/>
  <c r="J117" i="118"/>
  <c r="J130" i="118" s="1"/>
  <c r="J140" i="118" s="1"/>
  <c r="K117" i="118"/>
  <c r="K130" i="118" s="1"/>
  <c r="K140" i="118" s="1"/>
  <c r="L117" i="118"/>
  <c r="L130" i="118" s="1"/>
  <c r="L140" i="118" s="1"/>
  <c r="M117" i="118"/>
  <c r="M130" i="118" s="1"/>
  <c r="M140" i="118" s="1"/>
  <c r="N117" i="118"/>
  <c r="N130" i="118" s="1"/>
  <c r="N140" i="118" s="1"/>
  <c r="O117" i="118"/>
  <c r="O130" i="118" s="1"/>
  <c r="O140" i="118" s="1"/>
  <c r="P117" i="118"/>
  <c r="P130" i="118" s="1"/>
  <c r="P140" i="118" s="1"/>
  <c r="Q117" i="118"/>
  <c r="Q130" i="118" s="1"/>
  <c r="Q140" i="118" s="1"/>
  <c r="R117" i="118"/>
  <c r="R130" i="118" s="1"/>
  <c r="R140" i="118" s="1"/>
  <c r="S117" i="118"/>
  <c r="S130" i="118" s="1"/>
  <c r="S140" i="118" s="1"/>
  <c r="T117" i="118"/>
  <c r="T130" i="118" s="1"/>
  <c r="T140" i="118" s="1"/>
  <c r="U117" i="118"/>
  <c r="U130" i="118" s="1"/>
  <c r="U140" i="118" s="1"/>
  <c r="V117" i="118"/>
  <c r="V130" i="118" s="1"/>
  <c r="V140" i="118" s="1"/>
  <c r="W117" i="118"/>
  <c r="W130" i="118" s="1"/>
  <c r="W140" i="118" s="1"/>
  <c r="X117" i="118"/>
  <c r="X130" i="118" s="1"/>
  <c r="X140" i="118" s="1"/>
  <c r="Y117" i="118"/>
  <c r="Y130" i="118" s="1"/>
  <c r="Y140" i="118" s="1"/>
  <c r="Z117" i="118"/>
  <c r="Z130" i="118" s="1"/>
  <c r="Z140" i="118" s="1"/>
  <c r="AA117" i="118"/>
  <c r="AA130" i="118" s="1"/>
  <c r="AA140" i="118" s="1"/>
  <c r="AB117" i="118"/>
  <c r="AB130" i="118" s="1"/>
  <c r="AB140" i="118" s="1"/>
  <c r="AC117" i="118"/>
  <c r="AC130" i="118" s="1"/>
  <c r="AC140" i="118" s="1"/>
  <c r="J118" i="118"/>
  <c r="J131" i="118" s="1"/>
  <c r="J141" i="118" s="1"/>
  <c r="K118" i="118"/>
  <c r="K131" i="118" s="1"/>
  <c r="K141" i="118" s="1"/>
  <c r="L118" i="118"/>
  <c r="L131" i="118" s="1"/>
  <c r="L141" i="118" s="1"/>
  <c r="M118" i="118"/>
  <c r="M131" i="118" s="1"/>
  <c r="M141" i="118" s="1"/>
  <c r="N118" i="118"/>
  <c r="N131" i="118" s="1"/>
  <c r="N141" i="118" s="1"/>
  <c r="O118" i="118"/>
  <c r="O131" i="118" s="1"/>
  <c r="O141" i="118" s="1"/>
  <c r="P118" i="118"/>
  <c r="P131" i="118" s="1"/>
  <c r="P141" i="118" s="1"/>
  <c r="Q118" i="118"/>
  <c r="Q131" i="118" s="1"/>
  <c r="Q141" i="118" s="1"/>
  <c r="R118" i="118"/>
  <c r="R131" i="118" s="1"/>
  <c r="R141" i="118" s="1"/>
  <c r="S118" i="118"/>
  <c r="S131" i="118" s="1"/>
  <c r="S141" i="118" s="1"/>
  <c r="T118" i="118"/>
  <c r="T131" i="118" s="1"/>
  <c r="T141" i="118" s="1"/>
  <c r="U118" i="118"/>
  <c r="U131" i="118" s="1"/>
  <c r="U141" i="118" s="1"/>
  <c r="V118" i="118"/>
  <c r="V131" i="118" s="1"/>
  <c r="V141" i="118" s="1"/>
  <c r="W118" i="118"/>
  <c r="W131" i="118" s="1"/>
  <c r="W141" i="118" s="1"/>
  <c r="X118" i="118"/>
  <c r="X131" i="118" s="1"/>
  <c r="X141" i="118" s="1"/>
  <c r="Y118" i="118"/>
  <c r="Y131" i="118" s="1"/>
  <c r="Y141" i="118" s="1"/>
  <c r="Z118" i="118"/>
  <c r="Z131" i="118" s="1"/>
  <c r="Z141" i="118" s="1"/>
  <c r="AA118" i="118"/>
  <c r="AA131" i="118" s="1"/>
  <c r="AA141" i="118" s="1"/>
  <c r="AB118" i="118"/>
  <c r="AB131" i="118" s="1"/>
  <c r="AB141" i="118" s="1"/>
  <c r="AC118" i="118"/>
  <c r="AC131" i="118" s="1"/>
  <c r="AC141" i="118" s="1"/>
  <c r="J119" i="118"/>
  <c r="J132" i="118" s="1"/>
  <c r="J142" i="118" s="1"/>
  <c r="K119" i="118"/>
  <c r="K132" i="118" s="1"/>
  <c r="K142" i="118" s="1"/>
  <c r="L119" i="118"/>
  <c r="L132" i="118" s="1"/>
  <c r="L142" i="118" s="1"/>
  <c r="M119" i="118"/>
  <c r="M132" i="118" s="1"/>
  <c r="M142" i="118" s="1"/>
  <c r="N119" i="118"/>
  <c r="N132" i="118" s="1"/>
  <c r="N142" i="118" s="1"/>
  <c r="O119" i="118"/>
  <c r="O132" i="118" s="1"/>
  <c r="O142" i="118" s="1"/>
  <c r="P119" i="118"/>
  <c r="P132" i="118" s="1"/>
  <c r="P142" i="118" s="1"/>
  <c r="Q119" i="118"/>
  <c r="Q132" i="118" s="1"/>
  <c r="Q142" i="118" s="1"/>
  <c r="R119" i="118"/>
  <c r="R132" i="118" s="1"/>
  <c r="R142" i="118" s="1"/>
  <c r="S119" i="118"/>
  <c r="S132" i="118" s="1"/>
  <c r="S142" i="118" s="1"/>
  <c r="T119" i="118"/>
  <c r="T132" i="118" s="1"/>
  <c r="T142" i="118" s="1"/>
  <c r="U119" i="118"/>
  <c r="U132" i="118" s="1"/>
  <c r="U142" i="118" s="1"/>
  <c r="V119" i="118"/>
  <c r="V132" i="118" s="1"/>
  <c r="V142" i="118" s="1"/>
  <c r="W119" i="118"/>
  <c r="W132" i="118" s="1"/>
  <c r="W142" i="118" s="1"/>
  <c r="X119" i="118"/>
  <c r="X132" i="118" s="1"/>
  <c r="X142" i="118" s="1"/>
  <c r="Y119" i="118"/>
  <c r="Y132" i="118" s="1"/>
  <c r="Y142" i="118" s="1"/>
  <c r="Z119" i="118"/>
  <c r="Z132" i="118" s="1"/>
  <c r="Z142" i="118" s="1"/>
  <c r="AA119" i="118"/>
  <c r="AA132" i="118" s="1"/>
  <c r="AA142" i="118" s="1"/>
  <c r="AB119" i="118"/>
  <c r="AB132" i="118" s="1"/>
  <c r="AB142" i="118" s="1"/>
  <c r="AC119" i="118"/>
  <c r="AC132" i="118" s="1"/>
  <c r="AC142" i="118" s="1"/>
  <c r="J120" i="118"/>
  <c r="J133" i="118" s="1"/>
  <c r="J143" i="118" s="1"/>
  <c r="K120" i="118"/>
  <c r="K133" i="118" s="1"/>
  <c r="K143" i="118" s="1"/>
  <c r="L120" i="118"/>
  <c r="L133" i="118" s="1"/>
  <c r="L143" i="118" s="1"/>
  <c r="M120" i="118"/>
  <c r="M133" i="118" s="1"/>
  <c r="M143" i="118" s="1"/>
  <c r="N120" i="118"/>
  <c r="N133" i="118" s="1"/>
  <c r="N143" i="118" s="1"/>
  <c r="O120" i="118"/>
  <c r="O133" i="118" s="1"/>
  <c r="O143" i="118" s="1"/>
  <c r="P120" i="118"/>
  <c r="P133" i="118" s="1"/>
  <c r="P143" i="118" s="1"/>
  <c r="Q120" i="118"/>
  <c r="Q133" i="118" s="1"/>
  <c r="Q143" i="118" s="1"/>
  <c r="R120" i="118"/>
  <c r="R133" i="118" s="1"/>
  <c r="R143" i="118" s="1"/>
  <c r="S120" i="118"/>
  <c r="S133" i="118" s="1"/>
  <c r="S143" i="118" s="1"/>
  <c r="T120" i="118"/>
  <c r="T133" i="118" s="1"/>
  <c r="T143" i="118" s="1"/>
  <c r="U120" i="118"/>
  <c r="U133" i="118" s="1"/>
  <c r="U143" i="118" s="1"/>
  <c r="V120" i="118"/>
  <c r="V133" i="118" s="1"/>
  <c r="V143" i="118" s="1"/>
  <c r="W120" i="118"/>
  <c r="W133" i="118" s="1"/>
  <c r="W143" i="118" s="1"/>
  <c r="X120" i="118"/>
  <c r="X133" i="118" s="1"/>
  <c r="X143" i="118" s="1"/>
  <c r="Y120" i="118"/>
  <c r="Y133" i="118" s="1"/>
  <c r="Y143" i="118" s="1"/>
  <c r="Z120" i="118"/>
  <c r="Z133" i="118" s="1"/>
  <c r="Z143" i="118" s="1"/>
  <c r="AA120" i="118"/>
  <c r="AA133" i="118" s="1"/>
  <c r="AA143" i="118" s="1"/>
  <c r="AB120" i="118"/>
  <c r="AB133" i="118" s="1"/>
  <c r="AB143" i="118" s="1"/>
  <c r="AC120" i="118"/>
  <c r="AC133" i="118" s="1"/>
  <c r="AC143" i="118" s="1"/>
  <c r="J121" i="118"/>
  <c r="J134" i="118" s="1"/>
  <c r="J144" i="118" s="1"/>
  <c r="K121" i="118"/>
  <c r="K134" i="118" s="1"/>
  <c r="K144" i="118" s="1"/>
  <c r="L121" i="118"/>
  <c r="L134" i="118" s="1"/>
  <c r="L144" i="118" s="1"/>
  <c r="M121" i="118"/>
  <c r="M134" i="118" s="1"/>
  <c r="M144" i="118" s="1"/>
  <c r="N121" i="118"/>
  <c r="N134" i="118" s="1"/>
  <c r="N144" i="118" s="1"/>
  <c r="O121" i="118"/>
  <c r="O134" i="118" s="1"/>
  <c r="O144" i="118" s="1"/>
  <c r="P121" i="118"/>
  <c r="P134" i="118" s="1"/>
  <c r="P144" i="118" s="1"/>
  <c r="Q121" i="118"/>
  <c r="Q134" i="118" s="1"/>
  <c r="Q144" i="118" s="1"/>
  <c r="R121" i="118"/>
  <c r="R134" i="118" s="1"/>
  <c r="R144" i="118" s="1"/>
  <c r="S121" i="118"/>
  <c r="S134" i="118" s="1"/>
  <c r="S144" i="118" s="1"/>
  <c r="T121" i="118"/>
  <c r="T134" i="118" s="1"/>
  <c r="T144" i="118" s="1"/>
  <c r="U121" i="118"/>
  <c r="U134" i="118" s="1"/>
  <c r="U144" i="118" s="1"/>
  <c r="V121" i="118"/>
  <c r="V134" i="118" s="1"/>
  <c r="V144" i="118" s="1"/>
  <c r="W121" i="118"/>
  <c r="W134" i="118" s="1"/>
  <c r="W144" i="118" s="1"/>
  <c r="X121" i="118"/>
  <c r="X134" i="118" s="1"/>
  <c r="X144" i="118" s="1"/>
  <c r="Y121" i="118"/>
  <c r="Y134" i="118" s="1"/>
  <c r="Y144" i="118" s="1"/>
  <c r="Z121" i="118"/>
  <c r="Z134" i="118" s="1"/>
  <c r="Z144" i="118" s="1"/>
  <c r="AA121" i="118"/>
  <c r="AA134" i="118" s="1"/>
  <c r="AA144" i="118" s="1"/>
  <c r="AB121" i="118"/>
  <c r="AB134" i="118" s="1"/>
  <c r="AB144" i="118" s="1"/>
  <c r="AC121" i="118"/>
  <c r="AC134" i="118" s="1"/>
  <c r="AC144" i="118" s="1"/>
  <c r="J122" i="118"/>
  <c r="J135" i="118" s="1"/>
  <c r="J145" i="118" s="1"/>
  <c r="K122" i="118"/>
  <c r="K135" i="118" s="1"/>
  <c r="K145" i="118" s="1"/>
  <c r="L122" i="118"/>
  <c r="L135" i="118" s="1"/>
  <c r="L145" i="118" s="1"/>
  <c r="M122" i="118"/>
  <c r="M135" i="118" s="1"/>
  <c r="M145" i="118" s="1"/>
  <c r="N122" i="118"/>
  <c r="N135" i="118" s="1"/>
  <c r="N145" i="118" s="1"/>
  <c r="O122" i="118"/>
  <c r="O135" i="118" s="1"/>
  <c r="O145" i="118" s="1"/>
  <c r="P122" i="118"/>
  <c r="P135" i="118" s="1"/>
  <c r="P145" i="118" s="1"/>
  <c r="Q122" i="118"/>
  <c r="Q135" i="118" s="1"/>
  <c r="Q145" i="118" s="1"/>
  <c r="R122" i="118"/>
  <c r="R135" i="118" s="1"/>
  <c r="R145" i="118" s="1"/>
  <c r="S122" i="118"/>
  <c r="S135" i="118" s="1"/>
  <c r="S145" i="118" s="1"/>
  <c r="T122" i="118"/>
  <c r="T135" i="118" s="1"/>
  <c r="T145" i="118" s="1"/>
  <c r="U122" i="118"/>
  <c r="U135" i="118" s="1"/>
  <c r="U145" i="118" s="1"/>
  <c r="V122" i="118"/>
  <c r="V135" i="118" s="1"/>
  <c r="V145" i="118" s="1"/>
  <c r="W122" i="118"/>
  <c r="W135" i="118" s="1"/>
  <c r="W145" i="118" s="1"/>
  <c r="X122" i="118"/>
  <c r="X135" i="118" s="1"/>
  <c r="X145" i="118" s="1"/>
  <c r="Y122" i="118"/>
  <c r="Y135" i="118" s="1"/>
  <c r="Y145" i="118" s="1"/>
  <c r="Z122" i="118"/>
  <c r="Z135" i="118" s="1"/>
  <c r="Z145" i="118" s="1"/>
  <c r="AA122" i="118"/>
  <c r="AA135" i="118" s="1"/>
  <c r="AA145" i="118" s="1"/>
  <c r="AB122" i="118"/>
  <c r="AB135" i="118" s="1"/>
  <c r="AB145" i="118" s="1"/>
  <c r="AC122" i="118"/>
  <c r="AC135" i="118" s="1"/>
  <c r="AC145" i="118" s="1"/>
  <c r="J123" i="118"/>
  <c r="J136" i="118" s="1"/>
  <c r="J146" i="118" s="1"/>
  <c r="K123" i="118"/>
  <c r="K136" i="118" s="1"/>
  <c r="K146" i="118" s="1"/>
  <c r="L123" i="118"/>
  <c r="L136" i="118" s="1"/>
  <c r="L146" i="118" s="1"/>
  <c r="M123" i="118"/>
  <c r="M136" i="118" s="1"/>
  <c r="M146" i="118" s="1"/>
  <c r="N123" i="118"/>
  <c r="N136" i="118" s="1"/>
  <c r="N146" i="118" s="1"/>
  <c r="O123" i="118"/>
  <c r="O136" i="118" s="1"/>
  <c r="O146" i="118" s="1"/>
  <c r="P123" i="118"/>
  <c r="P136" i="118" s="1"/>
  <c r="P146" i="118" s="1"/>
  <c r="Q123" i="118"/>
  <c r="Q136" i="118" s="1"/>
  <c r="Q146" i="118" s="1"/>
  <c r="R123" i="118"/>
  <c r="R136" i="118" s="1"/>
  <c r="R146" i="118" s="1"/>
  <c r="S123" i="118"/>
  <c r="S136" i="118" s="1"/>
  <c r="S146" i="118" s="1"/>
  <c r="T123" i="118"/>
  <c r="T136" i="118" s="1"/>
  <c r="T146" i="118" s="1"/>
  <c r="U123" i="118"/>
  <c r="U136" i="118" s="1"/>
  <c r="U146" i="118" s="1"/>
  <c r="V123" i="118"/>
  <c r="V136" i="118" s="1"/>
  <c r="V146" i="118" s="1"/>
  <c r="W123" i="118"/>
  <c r="W136" i="118" s="1"/>
  <c r="W146" i="118" s="1"/>
  <c r="X123" i="118"/>
  <c r="X136" i="118" s="1"/>
  <c r="X146" i="118" s="1"/>
  <c r="Y123" i="118"/>
  <c r="Y136" i="118" s="1"/>
  <c r="Y146" i="118" s="1"/>
  <c r="Z123" i="118"/>
  <c r="Z136" i="118" s="1"/>
  <c r="Z146" i="118" s="1"/>
  <c r="AA123" i="118"/>
  <c r="AA136" i="118" s="1"/>
  <c r="AA146" i="118" s="1"/>
  <c r="AB123" i="118"/>
  <c r="AB136" i="118" s="1"/>
  <c r="AB146" i="118" s="1"/>
  <c r="AC123" i="118"/>
  <c r="AC136" i="118" s="1"/>
  <c r="AC146" i="118" s="1"/>
  <c r="C136" i="118"/>
  <c r="D136" i="118" s="1"/>
  <c r="C135" i="118"/>
  <c r="D135" i="118" s="1"/>
  <c r="C134" i="118"/>
  <c r="D134" i="118" s="1"/>
  <c r="C133" i="118"/>
  <c r="D133" i="118" s="1"/>
  <c r="C132" i="118"/>
  <c r="D132" i="118" s="1"/>
  <c r="C131" i="118"/>
  <c r="D131" i="118" s="1"/>
  <c r="C130" i="118"/>
  <c r="D130" i="118" s="1"/>
  <c r="C129" i="118"/>
  <c r="D129" i="118" s="1"/>
  <c r="C122" i="118"/>
  <c r="D122" i="118" s="1"/>
  <c r="C123" i="118"/>
  <c r="D123" i="118" s="1"/>
  <c r="H150" i="118" l="1"/>
  <c r="F162" i="118"/>
  <c r="H149" i="118"/>
  <c r="F150" i="118"/>
  <c r="J150" i="118"/>
  <c r="N150" i="118"/>
  <c r="R150" i="118"/>
  <c r="V150" i="118"/>
  <c r="Z150" i="118"/>
  <c r="AD150" i="118"/>
  <c r="AH150" i="118"/>
  <c r="AL150" i="118"/>
  <c r="AP150" i="118"/>
  <c r="AT150" i="118"/>
  <c r="AX150" i="118"/>
  <c r="BB150" i="118"/>
  <c r="BF150" i="118"/>
  <c r="BJ150" i="118"/>
  <c r="BN150" i="118"/>
  <c r="BR150" i="118"/>
  <c r="BV150" i="118"/>
  <c r="BZ150" i="118"/>
  <c r="CD150" i="118"/>
  <c r="CH150" i="118"/>
  <c r="CL150" i="118"/>
  <c r="CP150" i="118"/>
  <c r="CT150" i="118"/>
  <c r="CX150" i="118"/>
  <c r="J161" i="118"/>
  <c r="Z161" i="118"/>
  <c r="AH161" i="118"/>
  <c r="AP161" i="118"/>
  <c r="AX161" i="118"/>
  <c r="BF161" i="118"/>
  <c r="BN161" i="118"/>
  <c r="BV161" i="118"/>
  <c r="CD161" i="118"/>
  <c r="CL161" i="118"/>
  <c r="CT161" i="118"/>
  <c r="K162" i="118"/>
  <c r="S162" i="118"/>
  <c r="AA162" i="118"/>
  <c r="AI162" i="118"/>
  <c r="AQ162" i="118"/>
  <c r="AY162" i="118"/>
  <c r="BG162" i="118"/>
  <c r="BO162" i="118"/>
  <c r="BW162" i="118"/>
  <c r="CE162" i="118"/>
  <c r="CM162" i="118"/>
  <c r="CU162" i="118"/>
  <c r="J149" i="118"/>
  <c r="N149" i="118"/>
  <c r="R149" i="118"/>
  <c r="V149" i="118"/>
  <c r="Z149" i="118"/>
  <c r="AD149" i="118"/>
  <c r="AH149" i="118"/>
  <c r="AL149" i="118"/>
  <c r="AP149" i="118"/>
  <c r="AT149" i="118"/>
  <c r="AX149" i="118"/>
  <c r="BB149" i="118"/>
  <c r="BF149" i="118"/>
  <c r="BJ149" i="118"/>
  <c r="BN149" i="118"/>
  <c r="BR149" i="118"/>
  <c r="BV149" i="118"/>
  <c r="BZ149" i="118"/>
  <c r="CD149" i="118"/>
  <c r="CH149" i="118"/>
  <c r="CL149" i="118"/>
  <c r="CP149" i="118"/>
  <c r="CT149" i="118"/>
  <c r="CX149" i="118"/>
  <c r="AU149" i="118"/>
  <c r="AY149" i="118"/>
  <c r="BC149" i="118"/>
  <c r="BG149" i="118"/>
  <c r="BK149" i="118"/>
  <c r="BO149" i="118"/>
  <c r="BS149" i="118"/>
  <c r="BW149" i="118"/>
  <c r="CA149" i="118"/>
  <c r="CE149" i="118"/>
  <c r="CI149" i="118"/>
  <c r="CM149" i="118"/>
  <c r="K150" i="118"/>
  <c r="O150" i="118"/>
  <c r="S150" i="118"/>
  <c r="W150" i="118"/>
  <c r="AA150" i="118"/>
  <c r="AE150" i="118"/>
  <c r="AI150" i="118"/>
  <c r="AM150" i="118"/>
  <c r="AQ150" i="118"/>
  <c r="AU150" i="118"/>
  <c r="AY150" i="118"/>
  <c r="BC150" i="118"/>
  <c r="BG150" i="118"/>
  <c r="BK150" i="118"/>
  <c r="BO150" i="118"/>
  <c r="BS150" i="118"/>
  <c r="BW150" i="118"/>
  <c r="CA150" i="118"/>
  <c r="CE150" i="118"/>
  <c r="CI150" i="118"/>
  <c r="CM150" i="118"/>
  <c r="CQ150" i="118"/>
  <c r="CU150" i="118"/>
  <c r="CY150" i="118"/>
  <c r="N161" i="118"/>
  <c r="AB161" i="118"/>
  <c r="AJ161" i="118"/>
  <c r="AR161" i="118"/>
  <c r="AZ161" i="118"/>
  <c r="BH161" i="118"/>
  <c r="BP161" i="118"/>
  <c r="BX161" i="118"/>
  <c r="CF161" i="118"/>
  <c r="CN161" i="118"/>
  <c r="CV161" i="118"/>
  <c r="M162" i="118"/>
  <c r="U162" i="118"/>
  <c r="AC162" i="118"/>
  <c r="AK162" i="118"/>
  <c r="AS162" i="118"/>
  <c r="BA162" i="118"/>
  <c r="BI162" i="118"/>
  <c r="BQ162" i="118"/>
  <c r="BY162" i="118"/>
  <c r="CG162" i="118"/>
  <c r="CO162" i="118"/>
  <c r="CW162" i="118"/>
  <c r="K149" i="118"/>
  <c r="O149" i="118"/>
  <c r="S149" i="118"/>
  <c r="W149" i="118"/>
  <c r="AA149" i="118"/>
  <c r="AE149" i="118"/>
  <c r="AI149" i="118"/>
  <c r="AM149" i="118"/>
  <c r="AQ149" i="118"/>
  <c r="L150" i="118"/>
  <c r="P150" i="118"/>
  <c r="T150" i="118"/>
  <c r="X150" i="118"/>
  <c r="AB150" i="118"/>
  <c r="AF150" i="118"/>
  <c r="AJ150" i="118"/>
  <c r="AN150" i="118"/>
  <c r="AR150" i="118"/>
  <c r="AV150" i="118"/>
  <c r="AZ150" i="118"/>
  <c r="BD150" i="118"/>
  <c r="BH150" i="118"/>
  <c r="BL150" i="118"/>
  <c r="BP150" i="118"/>
  <c r="BT150" i="118"/>
  <c r="BX150" i="118"/>
  <c r="CB150" i="118"/>
  <c r="CF150" i="118"/>
  <c r="CJ150" i="118"/>
  <c r="CN150" i="118"/>
  <c r="CR150" i="118"/>
  <c r="CV150" i="118"/>
  <c r="CZ150" i="118"/>
  <c r="R161" i="118"/>
  <c r="AD161" i="118"/>
  <c r="AL161" i="118"/>
  <c r="AT161" i="118"/>
  <c r="BB161" i="118"/>
  <c r="BJ161" i="118"/>
  <c r="BR161" i="118"/>
  <c r="BZ161" i="118"/>
  <c r="CH161" i="118"/>
  <c r="CP161" i="118"/>
  <c r="CX161" i="118"/>
  <c r="O162" i="118"/>
  <c r="W162" i="118"/>
  <c r="AE162" i="118"/>
  <c r="AM162" i="118"/>
  <c r="AU162" i="118"/>
  <c r="BC162" i="118"/>
  <c r="BK162" i="118"/>
  <c r="BS162" i="118"/>
  <c r="CA162" i="118"/>
  <c r="CI162" i="118"/>
  <c r="CQ162" i="118"/>
  <c r="CY162" i="118"/>
  <c r="L149" i="118"/>
  <c r="P149" i="118"/>
  <c r="T149" i="118"/>
  <c r="X149" i="118"/>
  <c r="AB149" i="118"/>
  <c r="AF149" i="118"/>
  <c r="AJ149" i="118"/>
  <c r="AN149" i="118"/>
  <c r="AR149" i="118"/>
  <c r="AV149" i="118"/>
  <c r="AZ149" i="118"/>
  <c r="BD149" i="118"/>
  <c r="BH149" i="118"/>
  <c r="BL149" i="118"/>
  <c r="BP149" i="118"/>
  <c r="BT149" i="118"/>
  <c r="BX149" i="118"/>
  <c r="CB149" i="118"/>
  <c r="CF149" i="118"/>
  <c r="CJ149" i="118"/>
  <c r="CN149" i="118"/>
  <c r="CR149" i="118"/>
  <c r="CV149" i="118"/>
  <c r="CZ149" i="118"/>
  <c r="M150" i="118"/>
  <c r="Q150" i="118"/>
  <c r="U150" i="118"/>
  <c r="Y150" i="118"/>
  <c r="AC150" i="118"/>
  <c r="AG150" i="118"/>
  <c r="AK150" i="118"/>
  <c r="AO150" i="118"/>
  <c r="AS150" i="118"/>
  <c r="AW150" i="118"/>
  <c r="BA150" i="118"/>
  <c r="BE150" i="118"/>
  <c r="BI150" i="118"/>
  <c r="BM150" i="118"/>
  <c r="BQ150" i="118"/>
  <c r="CG150" i="118"/>
  <c r="CW150" i="118"/>
  <c r="AN161" i="118"/>
  <c r="BT161" i="118"/>
  <c r="CZ161" i="118"/>
  <c r="AO162" i="118"/>
  <c r="BU162" i="118"/>
  <c r="DA162" i="118"/>
  <c r="Y149" i="118"/>
  <c r="AO149" i="118"/>
  <c r="BE149" i="118"/>
  <c r="BU149" i="118"/>
  <c r="CK149" i="118"/>
  <c r="CU149" i="118"/>
  <c r="BU150" i="118"/>
  <c r="CK150" i="118"/>
  <c r="DA150" i="118"/>
  <c r="AV161" i="118"/>
  <c r="CB161" i="118"/>
  <c r="AW162" i="118"/>
  <c r="BY150" i="118"/>
  <c r="V161" i="118"/>
  <c r="CJ161" i="118"/>
  <c r="AG162" i="118"/>
  <c r="CK162" i="118"/>
  <c r="U149" i="118"/>
  <c r="AS149" i="118"/>
  <c r="BM149" i="118"/>
  <c r="CG149" i="118"/>
  <c r="CW149" i="118"/>
  <c r="BL161" i="118"/>
  <c r="BI149" i="118"/>
  <c r="CC149" i="118"/>
  <c r="CC150" i="118"/>
  <c r="AF161" i="118"/>
  <c r="CR161" i="118"/>
  <c r="BE162" i="118"/>
  <c r="CS162" i="118"/>
  <c r="AC149" i="118"/>
  <c r="AW149" i="118"/>
  <c r="BQ149" i="118"/>
  <c r="CO149" i="118"/>
  <c r="CY149" i="118"/>
  <c r="CC162" i="118"/>
  <c r="Q149" i="118"/>
  <c r="CO150" i="118"/>
  <c r="BD161" i="118"/>
  <c r="Q162" i="118"/>
  <c r="BM162" i="118"/>
  <c r="M149" i="118"/>
  <c r="AG149" i="118"/>
  <c r="BA149" i="118"/>
  <c r="BY149" i="118"/>
  <c r="CQ149" i="118"/>
  <c r="DA149" i="118"/>
  <c r="CS150" i="118"/>
  <c r="Y162" i="118"/>
  <c r="AK149" i="118"/>
  <c r="CS149" i="118"/>
  <c r="CZ162" i="118"/>
  <c r="CJ162" i="118"/>
  <c r="T161" i="118"/>
  <c r="DA161" i="118"/>
  <c r="CK161" i="118"/>
  <c r="BU161" i="118"/>
  <c r="BE161" i="118"/>
  <c r="AO161" i="118"/>
  <c r="Y161" i="118"/>
  <c r="I161" i="118"/>
  <c r="AJ162" i="118"/>
  <c r="CY161" i="118"/>
  <c r="BS161" i="118"/>
  <c r="AM161" i="118"/>
  <c r="CX162" i="118"/>
  <c r="CD162" i="118"/>
  <c r="BN162" i="118"/>
  <c r="AX162" i="118"/>
  <c r="AH162" i="118"/>
  <c r="R162" i="118"/>
  <c r="AV162" i="118"/>
  <c r="L162" i="118"/>
  <c r="BW161" i="118"/>
  <c r="AQ161" i="118"/>
  <c r="K161" i="118"/>
  <c r="BP162" i="118"/>
  <c r="I162" i="118"/>
  <c r="H161" i="118"/>
  <c r="CO161" i="118"/>
  <c r="AS161" i="118"/>
  <c r="P162" i="118"/>
  <c r="O161" i="118"/>
  <c r="BB162" i="118"/>
  <c r="BH162" i="118"/>
  <c r="AY161" i="118"/>
  <c r="G161" i="118"/>
  <c r="CV162" i="118"/>
  <c r="CF162" i="118"/>
  <c r="P161" i="118"/>
  <c r="CW161" i="118"/>
  <c r="CG161" i="118"/>
  <c r="BQ161" i="118"/>
  <c r="BA161" i="118"/>
  <c r="AK161" i="118"/>
  <c r="U161" i="118"/>
  <c r="BD162" i="118"/>
  <c r="AB162" i="118"/>
  <c r="CQ161" i="118"/>
  <c r="BK161" i="118"/>
  <c r="AE161" i="118"/>
  <c r="CT162" i="118"/>
  <c r="BZ162" i="118"/>
  <c r="BJ162" i="118"/>
  <c r="AT162" i="118"/>
  <c r="AD162" i="118"/>
  <c r="N162" i="118"/>
  <c r="AN162" i="118"/>
  <c r="CU161" i="118"/>
  <c r="BO161" i="118"/>
  <c r="AI161" i="118"/>
  <c r="CH162" i="118"/>
  <c r="BL162" i="118"/>
  <c r="F161" i="118"/>
  <c r="X161" i="118"/>
  <c r="BY161" i="118"/>
  <c r="AC161" i="118"/>
  <c r="AR162" i="118"/>
  <c r="AU161" i="118"/>
  <c r="BR162" i="118"/>
  <c r="V162" i="118"/>
  <c r="CE161" i="118"/>
  <c r="BT162" i="118"/>
  <c r="CR162" i="118"/>
  <c r="CB162" i="118"/>
  <c r="L161" i="118"/>
  <c r="CS161" i="118"/>
  <c r="CC161" i="118"/>
  <c r="BM161" i="118"/>
  <c r="AW161" i="118"/>
  <c r="AG161" i="118"/>
  <c r="Q161" i="118"/>
  <c r="AZ162" i="118"/>
  <c r="X162" i="118"/>
  <c r="CI161" i="118"/>
  <c r="BC161" i="118"/>
  <c r="W161" i="118"/>
  <c r="CP162" i="118"/>
  <c r="BV162" i="118"/>
  <c r="BF162" i="118"/>
  <c r="AP162" i="118"/>
  <c r="Z162" i="118"/>
  <c r="J162" i="118"/>
  <c r="AF162" i="118"/>
  <c r="CM161" i="118"/>
  <c r="BG161" i="118"/>
  <c r="AA161" i="118"/>
  <c r="BX162" i="118"/>
  <c r="H162" i="118"/>
  <c r="G162" i="118"/>
  <c r="CN162" i="118"/>
  <c r="BI161" i="118"/>
  <c r="M161" i="118"/>
  <c r="CA161" i="118"/>
  <c r="CL162" i="118"/>
  <c r="AL162" i="118"/>
  <c r="T162" i="118"/>
  <c r="S161" i="118"/>
  <c r="F149" i="118"/>
  <c r="G149" i="118"/>
  <c r="I149" i="118"/>
  <c r="G150" i="118"/>
  <c r="I150" i="118"/>
  <c r="C121" i="118"/>
  <c r="D121" i="118" s="1"/>
  <c r="C120" i="118"/>
  <c r="D120" i="118" s="1"/>
  <c r="C119" i="118"/>
  <c r="D119" i="118" s="1"/>
  <c r="C118" i="118"/>
  <c r="D118" i="118" s="1"/>
  <c r="C117" i="118"/>
  <c r="D117" i="118" s="1"/>
  <c r="C116" i="118"/>
  <c r="D116" i="118" s="1"/>
  <c r="C17" i="118"/>
  <c r="D17" i="118" s="1"/>
  <c r="C18" i="118"/>
  <c r="C19" i="118"/>
  <c r="C20" i="118"/>
  <c r="D20" i="118" s="1"/>
  <c r="C21" i="118"/>
  <c r="D21" i="118" s="1"/>
  <c r="C22" i="118"/>
  <c r="D22" i="118" s="1"/>
  <c r="C23" i="118"/>
  <c r="D23" i="118" s="1"/>
  <c r="C24" i="118"/>
  <c r="D24" i="118" s="1"/>
  <c r="C25" i="118"/>
  <c r="D25" i="118" s="1"/>
  <c r="C26" i="118"/>
  <c r="D26" i="118" s="1"/>
  <c r="C27" i="118"/>
  <c r="D27" i="118" s="1"/>
  <c r="C28" i="118"/>
  <c r="D28" i="118" s="1"/>
  <c r="C29" i="118"/>
  <c r="D29" i="118" s="1"/>
  <c r="C30" i="118"/>
  <c r="D30" i="118" s="1"/>
  <c r="C31" i="118"/>
  <c r="D31" i="118" s="1"/>
  <c r="C32" i="118"/>
  <c r="D32" i="118" s="1"/>
  <c r="C33" i="118"/>
  <c r="D33" i="118" s="1"/>
  <c r="C34" i="118"/>
  <c r="D34" i="118" s="1"/>
  <c r="C35" i="118"/>
  <c r="D35" i="118" s="1"/>
  <c r="C36" i="118"/>
  <c r="D36" i="118" s="1"/>
  <c r="C37" i="118"/>
  <c r="D37" i="118" s="1"/>
  <c r="C38" i="118"/>
  <c r="D38" i="118" s="1"/>
  <c r="C39" i="118"/>
  <c r="D39" i="118" s="1"/>
  <c r="C40" i="118"/>
  <c r="D40" i="118" s="1"/>
  <c r="C41" i="118"/>
  <c r="D41" i="118" s="1"/>
  <c r="C42" i="118"/>
  <c r="D42" i="118" s="1"/>
  <c r="C43" i="118"/>
  <c r="D43" i="118" s="1"/>
  <c r="C44" i="118"/>
  <c r="D44" i="118" s="1"/>
  <c r="C45" i="118"/>
  <c r="D45" i="118" s="1"/>
  <c r="C46" i="118"/>
  <c r="D46" i="118" s="1"/>
  <c r="C47" i="118"/>
  <c r="D47" i="118" s="1"/>
  <c r="C48" i="118"/>
  <c r="D48" i="118" s="1"/>
  <c r="C49" i="118"/>
  <c r="D49" i="118" s="1"/>
  <c r="C50" i="118"/>
  <c r="D50" i="118" s="1"/>
  <c r="C51" i="118"/>
  <c r="D51" i="118" s="1"/>
  <c r="C52" i="118"/>
  <c r="C53" i="118"/>
  <c r="D53" i="118" s="1"/>
  <c r="C54" i="118"/>
  <c r="D54" i="118" s="1"/>
  <c r="C55" i="118"/>
  <c r="D55" i="118" s="1"/>
  <c r="C56" i="118"/>
  <c r="D56" i="118" s="1"/>
  <c r="C57" i="118"/>
  <c r="D57" i="118" s="1"/>
  <c r="C58" i="118"/>
  <c r="D58" i="118" s="1"/>
  <c r="C59" i="118"/>
  <c r="D59" i="118" s="1"/>
  <c r="C60" i="118"/>
  <c r="D60" i="118" s="1"/>
  <c r="C61" i="118"/>
  <c r="D61" i="118" s="1"/>
  <c r="C62" i="118"/>
  <c r="D62" i="118" s="1"/>
  <c r="C63" i="118"/>
  <c r="D63" i="118" s="1"/>
  <c r="C64" i="118"/>
  <c r="D64" i="118" s="1"/>
  <c r="C65" i="118"/>
  <c r="D65" i="118" s="1"/>
  <c r="C66" i="118"/>
  <c r="D66" i="118" s="1"/>
  <c r="C67" i="118"/>
  <c r="D67" i="118" s="1"/>
  <c r="C68" i="118"/>
  <c r="D68" i="118" s="1"/>
  <c r="C69" i="118"/>
  <c r="D69" i="118" s="1"/>
  <c r="C70" i="118"/>
  <c r="D70" i="118" s="1"/>
  <c r="C71" i="118"/>
  <c r="D71" i="118" s="1"/>
  <c r="C72" i="118"/>
  <c r="D72" i="118" s="1"/>
  <c r="C73" i="118"/>
  <c r="D73" i="118" s="1"/>
  <c r="C74" i="118"/>
  <c r="D74" i="118" s="1"/>
  <c r="C75" i="118"/>
  <c r="D75" i="118" s="1"/>
  <c r="C76" i="118"/>
  <c r="D76" i="118" s="1"/>
  <c r="C77" i="118"/>
  <c r="D77" i="118" s="1"/>
  <c r="C78" i="118"/>
  <c r="D78" i="118" s="1"/>
  <c r="C79" i="118"/>
  <c r="D79" i="118" s="1"/>
  <c r="C80" i="118"/>
  <c r="D80" i="118" s="1"/>
  <c r="C81" i="118"/>
  <c r="D81" i="118" s="1"/>
  <c r="C82" i="118"/>
  <c r="D82" i="118" s="1"/>
  <c r="C83" i="118"/>
  <c r="D83" i="118" s="1"/>
  <c r="C84" i="118"/>
  <c r="D84" i="118" s="1"/>
  <c r="C85" i="118"/>
  <c r="D85" i="118" s="1"/>
  <c r="C86" i="118"/>
  <c r="D86" i="118" s="1"/>
  <c r="C87" i="118"/>
  <c r="D87" i="118" s="1"/>
  <c r="C88" i="118"/>
  <c r="D88" i="118" s="1"/>
  <c r="C89" i="118"/>
  <c r="D89" i="118" s="1"/>
  <c r="C90" i="118"/>
  <c r="D90" i="118" s="1"/>
  <c r="C91" i="118"/>
  <c r="D91" i="118" s="1"/>
  <c r="C92" i="118"/>
  <c r="D92" i="118" s="1"/>
  <c r="C93" i="118"/>
  <c r="D93" i="118" s="1"/>
  <c r="C94" i="118"/>
  <c r="D94" i="118" s="1"/>
  <c r="C95" i="118"/>
  <c r="D95" i="118" s="1"/>
  <c r="C96" i="118"/>
  <c r="D96" i="118" s="1"/>
  <c r="C97" i="118"/>
  <c r="D97" i="118" s="1"/>
  <c r="C98" i="118"/>
  <c r="D98" i="118" s="1"/>
  <c r="C99" i="118"/>
  <c r="D99" i="118" s="1"/>
  <c r="C100" i="118"/>
  <c r="D100" i="118" s="1"/>
  <c r="C101" i="118"/>
  <c r="D101" i="118" s="1"/>
  <c r="C102" i="118"/>
  <c r="D102" i="118" s="1"/>
  <c r="C103" i="118"/>
  <c r="D103" i="118" s="1"/>
  <c r="C104" i="118"/>
  <c r="D104" i="118" s="1"/>
  <c r="C105" i="118"/>
  <c r="D105" i="118" s="1"/>
  <c r="C106" i="118"/>
  <c r="D106" i="118" s="1"/>
  <c r="C107" i="118"/>
  <c r="D107" i="118" s="1"/>
  <c r="C108" i="118"/>
  <c r="D108" i="118" s="1"/>
  <c r="C109" i="118"/>
  <c r="D109" i="118" s="1"/>
  <c r="C110" i="118"/>
  <c r="D110" i="118" s="1"/>
  <c r="C111" i="118"/>
  <c r="D111" i="118" s="1"/>
  <c r="D52" i="118"/>
  <c r="C16" i="118"/>
  <c r="D16" i="118" s="1"/>
  <c r="D18" i="118"/>
  <c r="D19" i="118"/>
  <c r="F181" i="118" l="1"/>
  <c r="I172" i="118"/>
  <c r="H264" i="118"/>
  <c r="CN174" i="118"/>
  <c r="H246" i="118"/>
  <c r="BV174" i="118"/>
  <c r="H250" i="118"/>
  <c r="BZ174" i="118"/>
  <c r="H254" i="118"/>
  <c r="CD174" i="118"/>
  <c r="G205" i="118"/>
  <c r="AG173" i="118"/>
  <c r="G201" i="118"/>
  <c r="AC173" i="118"/>
  <c r="G217" i="118"/>
  <c r="AS173" i="118"/>
  <c r="F245" i="118"/>
  <c r="BU172" i="118"/>
  <c r="F205" i="118"/>
  <c r="AG172" i="118"/>
  <c r="G252" i="118"/>
  <c r="CB173" i="118"/>
  <c r="G204" i="118"/>
  <c r="AF173" i="118"/>
  <c r="H227" i="118"/>
  <c r="BC174" i="118"/>
  <c r="F248" i="118"/>
  <c r="BX172" i="118"/>
  <c r="F216" i="118"/>
  <c r="AR172" i="118"/>
  <c r="F184" i="118"/>
  <c r="L172" i="118"/>
  <c r="H257" i="118"/>
  <c r="CG174" i="118"/>
  <c r="F263" i="118"/>
  <c r="CM172" i="118"/>
  <c r="F215" i="118"/>
  <c r="AQ172" i="118"/>
  <c r="G251" i="118"/>
  <c r="CA173" i="118"/>
  <c r="G262" i="118"/>
  <c r="CL173" i="118"/>
  <c r="G214" i="118"/>
  <c r="AP173" i="118"/>
  <c r="H247" i="118"/>
  <c r="BW174" i="118"/>
  <c r="H215" i="118"/>
  <c r="AQ174" i="118"/>
  <c r="AL172" i="118"/>
  <c r="F210" i="118"/>
  <c r="H196" i="118"/>
  <c r="X174" i="118"/>
  <c r="H200" i="118"/>
  <c r="AB174" i="118"/>
  <c r="F265" i="118"/>
  <c r="CO172" i="118"/>
  <c r="F173" i="118"/>
  <c r="G178" i="118"/>
  <c r="J174" i="118"/>
  <c r="H182" i="118"/>
  <c r="H190" i="118"/>
  <c r="R174" i="118"/>
  <c r="G269" i="118"/>
  <c r="CS173" i="118"/>
  <c r="G275" i="118"/>
  <c r="I275" i="118" s="1"/>
  <c r="CY173" i="118"/>
  <c r="G229" i="118"/>
  <c r="BE173" i="118"/>
  <c r="F237" i="118"/>
  <c r="BM172" i="118"/>
  <c r="F189" i="118"/>
  <c r="Q172" i="118"/>
  <c r="G236" i="118"/>
  <c r="BL173" i="118"/>
  <c r="P173" i="118"/>
  <c r="G188" i="118"/>
  <c r="F232" i="118"/>
  <c r="BH172" i="118"/>
  <c r="G203" i="118"/>
  <c r="AE173" i="118"/>
  <c r="H193" i="118"/>
  <c r="U174" i="118"/>
  <c r="F231" i="118"/>
  <c r="BG172" i="118"/>
  <c r="F183" i="118"/>
  <c r="K172" i="118"/>
  <c r="G219" i="118"/>
  <c r="AU173" i="118"/>
  <c r="G246" i="118"/>
  <c r="I246" i="118" s="1"/>
  <c r="BV173" i="118"/>
  <c r="J173" i="118"/>
  <c r="G182" i="118"/>
  <c r="H183" i="118"/>
  <c r="K174" i="118"/>
  <c r="CX172" i="118"/>
  <c r="F274" i="118"/>
  <c r="BR172" i="118"/>
  <c r="F242" i="118"/>
  <c r="F194" i="118"/>
  <c r="V172" i="118"/>
  <c r="F179" i="118"/>
  <c r="G172" i="118"/>
  <c r="G174" i="118"/>
  <c r="H179" i="118"/>
  <c r="H266" i="118"/>
  <c r="CP174" i="118"/>
  <c r="H216" i="118"/>
  <c r="AR174" i="118"/>
  <c r="H202" i="118"/>
  <c r="AD174" i="118"/>
  <c r="H181" i="118"/>
  <c r="I174" i="118"/>
  <c r="H274" i="118"/>
  <c r="CX174" i="118"/>
  <c r="G209" i="118"/>
  <c r="AK173" i="118"/>
  <c r="M173" i="118"/>
  <c r="G185" i="118"/>
  <c r="H269" i="118"/>
  <c r="CS174" i="118"/>
  <c r="G273" i="118"/>
  <c r="CW173" i="118"/>
  <c r="CU173" i="118"/>
  <c r="G271" i="118"/>
  <c r="H251" i="118"/>
  <c r="CA174" i="118"/>
  <c r="H219" i="118"/>
  <c r="AU174" i="118"/>
  <c r="F276" i="118"/>
  <c r="CZ172" i="118"/>
  <c r="F244" i="118"/>
  <c r="BT172" i="118"/>
  <c r="F212" i="118"/>
  <c r="AN172" i="118"/>
  <c r="G215" i="118"/>
  <c r="I215" i="118" s="1"/>
  <c r="AQ173" i="118"/>
  <c r="K173" i="118"/>
  <c r="G183" i="118"/>
  <c r="I183" i="118" s="1"/>
  <c r="H217" i="118"/>
  <c r="AS174" i="118"/>
  <c r="F259" i="118"/>
  <c r="CI172" i="118"/>
  <c r="F227" i="118"/>
  <c r="BC172" i="118"/>
  <c r="W172" i="118"/>
  <c r="F195" i="118"/>
  <c r="CM173" i="118"/>
  <c r="G263" i="118"/>
  <c r="I263" i="118" s="1"/>
  <c r="G231" i="118"/>
  <c r="I231" i="118" s="1"/>
  <c r="BG173" i="118"/>
  <c r="G258" i="118"/>
  <c r="CH173" i="118"/>
  <c r="G226" i="118"/>
  <c r="I226" i="118" s="1"/>
  <c r="BB173" i="118"/>
  <c r="V173" i="118"/>
  <c r="G194" i="118"/>
  <c r="I194" i="118" s="1"/>
  <c r="H239" i="118"/>
  <c r="BO174" i="118"/>
  <c r="F238" i="118"/>
  <c r="BN172" i="118"/>
  <c r="F206" i="118"/>
  <c r="AH172" i="118"/>
  <c r="F190" i="118"/>
  <c r="R172" i="118"/>
  <c r="I173" i="118"/>
  <c r="G181" i="118"/>
  <c r="H192" i="118"/>
  <c r="T174" i="118"/>
  <c r="H180" i="118"/>
  <c r="H174" i="118"/>
  <c r="H214" i="118"/>
  <c r="AP174" i="118"/>
  <c r="H224" i="118"/>
  <c r="AZ174" i="118"/>
  <c r="CB174" i="118"/>
  <c r="H252" i="118"/>
  <c r="H194" i="118"/>
  <c r="V174" i="118"/>
  <c r="BL174" i="118"/>
  <c r="H236" i="118"/>
  <c r="H218" i="118"/>
  <c r="AT174" i="118"/>
  <c r="BD174" i="118"/>
  <c r="H228" i="118"/>
  <c r="H256" i="118"/>
  <c r="CF174" i="118"/>
  <c r="H232" i="118"/>
  <c r="BH174" i="118"/>
  <c r="H240" i="118"/>
  <c r="BP174" i="118"/>
  <c r="H184" i="118"/>
  <c r="L174" i="118"/>
  <c r="H222" i="118"/>
  <c r="AX174" i="118"/>
  <c r="CJ174" i="118"/>
  <c r="H260" i="118"/>
  <c r="Y174" i="118"/>
  <c r="H197" i="118"/>
  <c r="G249" i="118"/>
  <c r="BY173" i="118"/>
  <c r="H237" i="118"/>
  <c r="BM174" i="118"/>
  <c r="G189" i="118"/>
  <c r="Q173" i="118"/>
  <c r="G241" i="118"/>
  <c r="I241" i="118" s="1"/>
  <c r="BQ173" i="118"/>
  <c r="H229" i="118"/>
  <c r="BE174" i="118"/>
  <c r="G253" i="118"/>
  <c r="CC173" i="118"/>
  <c r="G257" i="118"/>
  <c r="CG173" i="118"/>
  <c r="H261" i="118"/>
  <c r="CK174" i="118"/>
  <c r="F249" i="118"/>
  <c r="BY172" i="118"/>
  <c r="F277" i="118"/>
  <c r="DA172" i="118"/>
  <c r="G261" i="118"/>
  <c r="CK173" i="118"/>
  <c r="G197" i="118"/>
  <c r="Y173" i="118"/>
  <c r="F257" i="118"/>
  <c r="CG172" i="118"/>
  <c r="F229" i="118"/>
  <c r="BE172" i="118"/>
  <c r="F213" i="118"/>
  <c r="AO172" i="118"/>
  <c r="F197" i="118"/>
  <c r="Y172" i="118"/>
  <c r="G276" i="118"/>
  <c r="CZ173" i="118"/>
  <c r="G260" i="118"/>
  <c r="CJ173" i="118"/>
  <c r="G244" i="118"/>
  <c r="BT173" i="118"/>
  <c r="G228" i="118"/>
  <c r="BD173" i="118"/>
  <c r="G212" i="118"/>
  <c r="AN173" i="118"/>
  <c r="X173" i="118"/>
  <c r="G196" i="118"/>
  <c r="I196" i="118" s="1"/>
  <c r="H275" i="118"/>
  <c r="CY174" i="118"/>
  <c r="H243" i="118"/>
  <c r="BS174" i="118"/>
  <c r="H211" i="118"/>
  <c r="AM174" i="118"/>
  <c r="F272" i="118"/>
  <c r="CV172" i="118"/>
  <c r="F256" i="118"/>
  <c r="CF172" i="118"/>
  <c r="F240" i="118"/>
  <c r="BP172" i="118"/>
  <c r="F224" i="118"/>
  <c r="AZ172" i="118"/>
  <c r="F208" i="118"/>
  <c r="AJ172" i="118"/>
  <c r="F192" i="118"/>
  <c r="T172" i="118"/>
  <c r="G211" i="118"/>
  <c r="I211" i="118" s="1"/>
  <c r="AM173" i="118"/>
  <c r="G195" i="118"/>
  <c r="W173" i="118"/>
  <c r="H273" i="118"/>
  <c r="CW174" i="118"/>
  <c r="H241" i="118"/>
  <c r="BQ174" i="118"/>
  <c r="H209" i="118"/>
  <c r="AK174" i="118"/>
  <c r="F271" i="118"/>
  <c r="CU172" i="118"/>
  <c r="F255" i="118"/>
  <c r="CE172" i="118"/>
  <c r="F239" i="118"/>
  <c r="BO172" i="118"/>
  <c r="F223" i="118"/>
  <c r="AY172" i="118"/>
  <c r="F207" i="118"/>
  <c r="AI172" i="118"/>
  <c r="F191" i="118"/>
  <c r="S172" i="118"/>
  <c r="G259" i="118"/>
  <c r="CI173" i="118"/>
  <c r="G243" i="118"/>
  <c r="I243" i="118" s="1"/>
  <c r="BS173" i="118"/>
  <c r="G227" i="118"/>
  <c r="BC173" i="118"/>
  <c r="G270" i="118"/>
  <c r="I270" i="118" s="1"/>
  <c r="CT173" i="118"/>
  <c r="G254" i="118"/>
  <c r="CD173" i="118"/>
  <c r="G238" i="118"/>
  <c r="I238" i="118" s="1"/>
  <c r="BN173" i="118"/>
  <c r="G222" i="118"/>
  <c r="AX173" i="118"/>
  <c r="G206" i="118"/>
  <c r="I206" i="118" s="1"/>
  <c r="AH173" i="118"/>
  <c r="R173" i="118"/>
  <c r="G190" i="118"/>
  <c r="I190" i="118" s="1"/>
  <c r="H263" i="118"/>
  <c r="CM174" i="118"/>
  <c r="H231" i="118"/>
  <c r="BG174" i="118"/>
  <c r="H199" i="118"/>
  <c r="AA174" i="118"/>
  <c r="F266" i="118"/>
  <c r="CP172" i="118"/>
  <c r="BZ172" i="118"/>
  <c r="F250" i="118"/>
  <c r="F234" i="118"/>
  <c r="BJ172" i="118"/>
  <c r="AT172" i="118"/>
  <c r="F218" i="118"/>
  <c r="F202" i="118"/>
  <c r="AD172" i="118"/>
  <c r="F186" i="118"/>
  <c r="N172" i="118"/>
  <c r="H178" i="118"/>
  <c r="F174" i="118"/>
  <c r="H262" i="118"/>
  <c r="CL174" i="118"/>
  <c r="BT174" i="118"/>
  <c r="H244" i="118"/>
  <c r="N174" i="118"/>
  <c r="H186" i="118"/>
  <c r="G277" i="118"/>
  <c r="DA173" i="118"/>
  <c r="H245" i="118"/>
  <c r="BU174" i="118"/>
  <c r="F221" i="118"/>
  <c r="AW172" i="118"/>
  <c r="G268" i="118"/>
  <c r="CR173" i="118"/>
  <c r="G220" i="118"/>
  <c r="AV173" i="118"/>
  <c r="H259" i="118"/>
  <c r="CI174" i="118"/>
  <c r="H195" i="118"/>
  <c r="W174" i="118"/>
  <c r="F264" i="118"/>
  <c r="CN172" i="118"/>
  <c r="F200" i="118"/>
  <c r="AB172" i="118"/>
  <c r="O173" i="118"/>
  <c r="G187" i="118"/>
  <c r="I187" i="118" s="1"/>
  <c r="H225" i="118"/>
  <c r="BA174" i="118"/>
  <c r="F247" i="118"/>
  <c r="BW172" i="118"/>
  <c r="F199" i="118"/>
  <c r="AA172" i="118"/>
  <c r="G235" i="118"/>
  <c r="BK173" i="118"/>
  <c r="G230" i="118"/>
  <c r="BF173" i="118"/>
  <c r="G198" i="118"/>
  <c r="Z173" i="118"/>
  <c r="CH172" i="118"/>
  <c r="F258" i="118"/>
  <c r="BB172" i="118"/>
  <c r="F226" i="118"/>
  <c r="F178" i="118"/>
  <c r="F172" i="118"/>
  <c r="Z174" i="118"/>
  <c r="H198" i="118"/>
  <c r="H270" i="118"/>
  <c r="CT174" i="118"/>
  <c r="H188" i="118"/>
  <c r="P174" i="118"/>
  <c r="H206" i="118"/>
  <c r="AH174" i="118"/>
  <c r="H208" i="118"/>
  <c r="AJ174" i="118"/>
  <c r="G267" i="118"/>
  <c r="CQ173" i="118"/>
  <c r="G265" i="118"/>
  <c r="CO173" i="118"/>
  <c r="F253" i="118"/>
  <c r="CC172" i="118"/>
  <c r="G193" i="118"/>
  <c r="I193" i="118" s="1"/>
  <c r="U173" i="118"/>
  <c r="G213" i="118"/>
  <c r="AO173" i="118"/>
  <c r="H213" i="118"/>
  <c r="AO174" i="118"/>
  <c r="F273" i="118"/>
  <c r="CW172" i="118"/>
  <c r="F233" i="118"/>
  <c r="BI172" i="118"/>
  <c r="F217" i="118"/>
  <c r="AS172" i="118"/>
  <c r="F201" i="118"/>
  <c r="AC172" i="118"/>
  <c r="F185" i="118"/>
  <c r="M172" i="118"/>
  <c r="G264" i="118"/>
  <c r="I264" i="118" s="1"/>
  <c r="CN173" i="118"/>
  <c r="G248" i="118"/>
  <c r="BX173" i="118"/>
  <c r="G232" i="118"/>
  <c r="I232" i="118" s="1"/>
  <c r="BH173" i="118"/>
  <c r="G216" i="118"/>
  <c r="I216" i="118" s="1"/>
  <c r="AR173" i="118"/>
  <c r="G200" i="118"/>
  <c r="I200" i="118" s="1"/>
  <c r="AB173" i="118"/>
  <c r="L173" i="118"/>
  <c r="G184" i="118"/>
  <c r="I184" i="118" s="1"/>
  <c r="H187" i="118"/>
  <c r="O174" i="118"/>
  <c r="F260" i="118"/>
  <c r="CJ172" i="118"/>
  <c r="F228" i="118"/>
  <c r="BD172" i="118"/>
  <c r="F196" i="118"/>
  <c r="X172" i="118"/>
  <c r="G199" i="118"/>
  <c r="I199" i="118" s="1"/>
  <c r="AA173" i="118"/>
  <c r="H249" i="118"/>
  <c r="BY174" i="118"/>
  <c r="H185" i="118"/>
  <c r="M174" i="118"/>
  <c r="F275" i="118"/>
  <c r="CY172" i="118"/>
  <c r="F243" i="118"/>
  <c r="BS172" i="118"/>
  <c r="F211" i="118"/>
  <c r="AM172" i="118"/>
  <c r="BW173" i="118"/>
  <c r="G247" i="118"/>
  <c r="I247" i="118" s="1"/>
  <c r="G274" i="118"/>
  <c r="CX173" i="118"/>
  <c r="G242" i="118"/>
  <c r="BR173" i="118"/>
  <c r="G210" i="118"/>
  <c r="AL173" i="118"/>
  <c r="H271" i="118"/>
  <c r="CU174" i="118"/>
  <c r="H207" i="118"/>
  <c r="AI174" i="118"/>
  <c r="F270" i="118"/>
  <c r="CT172" i="118"/>
  <c r="F254" i="118"/>
  <c r="CD172" i="118"/>
  <c r="F222" i="118"/>
  <c r="AX172" i="118"/>
  <c r="H173" i="118"/>
  <c r="G180" i="118"/>
  <c r="I180" i="118" s="1"/>
  <c r="G179" i="118"/>
  <c r="G173" i="118"/>
  <c r="H210" i="118"/>
  <c r="AL174" i="118"/>
  <c r="H248" i="118"/>
  <c r="BX174" i="118"/>
  <c r="AF174" i="118"/>
  <c r="H204" i="118"/>
  <c r="H230" i="118"/>
  <c r="BF174" i="118"/>
  <c r="CR174" i="118"/>
  <c r="H268" i="118"/>
  <c r="H242" i="118"/>
  <c r="BR174" i="118"/>
  <c r="H258" i="118"/>
  <c r="CH174" i="118"/>
  <c r="AN174" i="118"/>
  <c r="H212" i="118"/>
  <c r="H234" i="118"/>
  <c r="BJ174" i="118"/>
  <c r="H272" i="118"/>
  <c r="CV174" i="118"/>
  <c r="H226" i="118"/>
  <c r="BB174" i="118"/>
  <c r="AV174" i="118"/>
  <c r="H220" i="118"/>
  <c r="H238" i="118"/>
  <c r="BN174" i="118"/>
  <c r="CZ174" i="118"/>
  <c r="H276" i="118"/>
  <c r="F269" i="118"/>
  <c r="CS172" i="118"/>
  <c r="G225" i="118"/>
  <c r="I225" i="118" s="1"/>
  <c r="BA173" i="118"/>
  <c r="H189" i="118"/>
  <c r="Q174" i="118"/>
  <c r="H253" i="118"/>
  <c r="CC174" i="118"/>
  <c r="G221" i="118"/>
  <c r="AW173" i="118"/>
  <c r="G233" i="118"/>
  <c r="I233" i="118" s="1"/>
  <c r="BI173" i="118"/>
  <c r="G237" i="118"/>
  <c r="BM173" i="118"/>
  <c r="H205" i="118"/>
  <c r="AG174" i="118"/>
  <c r="H221" i="118"/>
  <c r="AW174" i="118"/>
  <c r="F261" i="118"/>
  <c r="CK172" i="118"/>
  <c r="G245" i="118"/>
  <c r="BU173" i="118"/>
  <c r="H277" i="118"/>
  <c r="DA174" i="118"/>
  <c r="F241" i="118"/>
  <c r="BQ172" i="118"/>
  <c r="F225" i="118"/>
  <c r="BA172" i="118"/>
  <c r="F209" i="118"/>
  <c r="AK172" i="118"/>
  <c r="F193" i="118"/>
  <c r="U172" i="118"/>
  <c r="G272" i="118"/>
  <c r="CV173" i="118"/>
  <c r="G256" i="118"/>
  <c r="I256" i="118" s="1"/>
  <c r="CF173" i="118"/>
  <c r="G240" i="118"/>
  <c r="BP173" i="118"/>
  <c r="G224" i="118"/>
  <c r="I224" i="118" s="1"/>
  <c r="AZ173" i="118"/>
  <c r="G208" i="118"/>
  <c r="AJ173" i="118"/>
  <c r="T173" i="118"/>
  <c r="G192" i="118"/>
  <c r="I192" i="118" s="1"/>
  <c r="H267" i="118"/>
  <c r="CQ174" i="118"/>
  <c r="H235" i="118"/>
  <c r="BK174" i="118"/>
  <c r="H203" i="118"/>
  <c r="AE174" i="118"/>
  <c r="F268" i="118"/>
  <c r="CR172" i="118"/>
  <c r="F252" i="118"/>
  <c r="CB172" i="118"/>
  <c r="F236" i="118"/>
  <c r="BL172" i="118"/>
  <c r="F220" i="118"/>
  <c r="AV172" i="118"/>
  <c r="F204" i="118"/>
  <c r="AF172" i="118"/>
  <c r="F188" i="118"/>
  <c r="P172" i="118"/>
  <c r="G207" i="118"/>
  <c r="I207" i="118" s="1"/>
  <c r="AI173" i="118"/>
  <c r="G191" i="118"/>
  <c r="S173" i="118"/>
  <c r="H265" i="118"/>
  <c r="CO174" i="118"/>
  <c r="H233" i="118"/>
  <c r="BI174" i="118"/>
  <c r="H201" i="118"/>
  <c r="AC174" i="118"/>
  <c r="F267" i="118"/>
  <c r="CQ172" i="118"/>
  <c r="F251" i="118"/>
  <c r="CA172" i="118"/>
  <c r="F235" i="118"/>
  <c r="BK172" i="118"/>
  <c r="F219" i="118"/>
  <c r="AU172" i="118"/>
  <c r="F203" i="118"/>
  <c r="AE172" i="118"/>
  <c r="F187" i="118"/>
  <c r="O172" i="118"/>
  <c r="G255" i="118"/>
  <c r="CE173" i="118"/>
  <c r="G239" i="118"/>
  <c r="I239" i="118" s="1"/>
  <c r="BO173" i="118"/>
  <c r="G223" i="118"/>
  <c r="AY173" i="118"/>
  <c r="G266" i="118"/>
  <c r="I266" i="118" s="1"/>
  <c r="CP173" i="118"/>
  <c r="G250" i="118"/>
  <c r="I250" i="118" s="1"/>
  <c r="BZ173" i="118"/>
  <c r="G234" i="118"/>
  <c r="I234" i="118" s="1"/>
  <c r="BJ173" i="118"/>
  <c r="G218" i="118"/>
  <c r="I218" i="118" s="1"/>
  <c r="AT173" i="118"/>
  <c r="G202" i="118"/>
  <c r="I202" i="118" s="1"/>
  <c r="AD173" i="118"/>
  <c r="N173" i="118"/>
  <c r="G186" i="118"/>
  <c r="I186" i="118" s="1"/>
  <c r="H255" i="118"/>
  <c r="CE174" i="118"/>
  <c r="H223" i="118"/>
  <c r="AY174" i="118"/>
  <c r="H191" i="118"/>
  <c r="S174" i="118"/>
  <c r="F262" i="118"/>
  <c r="CL172" i="118"/>
  <c r="F246" i="118"/>
  <c r="BV172" i="118"/>
  <c r="F230" i="118"/>
  <c r="BF172" i="118"/>
  <c r="F214" i="118"/>
  <c r="AP172" i="118"/>
  <c r="F198" i="118"/>
  <c r="Z172" i="118"/>
  <c r="F182" i="118"/>
  <c r="J172" i="118"/>
  <c r="F180" i="118"/>
  <c r="H172" i="118"/>
  <c r="C5" i="107"/>
  <c r="I182" i="118" l="1"/>
  <c r="I181" i="118"/>
  <c r="I178" i="118"/>
  <c r="I179" i="118"/>
  <c r="I271" i="118"/>
  <c r="I188" i="118"/>
  <c r="I223" i="118"/>
  <c r="I255" i="118"/>
  <c r="I191" i="118"/>
  <c r="I208" i="118"/>
  <c r="I240" i="118"/>
  <c r="I272" i="118"/>
  <c r="I245" i="118"/>
  <c r="I237" i="118"/>
  <c r="I221" i="118"/>
  <c r="I210" i="118"/>
  <c r="I274" i="118"/>
  <c r="I248" i="118"/>
  <c r="I213" i="118"/>
  <c r="I267" i="118"/>
  <c r="I230" i="118"/>
  <c r="I220" i="118"/>
  <c r="I277" i="118"/>
  <c r="I222" i="118"/>
  <c r="I254" i="118"/>
  <c r="I227" i="118"/>
  <c r="I259" i="118"/>
  <c r="I195" i="118"/>
  <c r="I212" i="118"/>
  <c r="I244" i="118"/>
  <c r="I276" i="118"/>
  <c r="I261" i="118"/>
  <c r="I257" i="118"/>
  <c r="I189" i="118"/>
  <c r="I249" i="118"/>
  <c r="I258" i="118"/>
  <c r="I209" i="118"/>
  <c r="I219" i="118"/>
  <c r="I203" i="118"/>
  <c r="I229" i="118"/>
  <c r="I269" i="118"/>
  <c r="I214" i="118"/>
  <c r="I251" i="118"/>
  <c r="I204" i="118"/>
  <c r="I217" i="118"/>
  <c r="I205" i="118"/>
  <c r="I185" i="118"/>
  <c r="I242" i="118"/>
  <c r="I265" i="118"/>
  <c r="I198" i="118"/>
  <c r="I235" i="118"/>
  <c r="I268" i="118"/>
  <c r="I228" i="118"/>
  <c r="I260" i="118"/>
  <c r="I197" i="118"/>
  <c r="I253" i="118"/>
  <c r="I273" i="118"/>
  <c r="I236" i="118"/>
  <c r="I262" i="118"/>
  <c r="I252" i="118"/>
  <c r="I201" i="118"/>
  <c r="AA39" i="106"/>
  <c r="AA34" i="106"/>
  <c r="AA29" i="106"/>
  <c r="AA24" i="106"/>
  <c r="AA19" i="106"/>
  <c r="AA14" i="106"/>
  <c r="AA9" i="106"/>
  <c r="AA4" i="106"/>
  <c r="AG11" i="107"/>
  <c r="AG10" i="107"/>
  <c r="AG9" i="107"/>
  <c r="AG8" i="107"/>
  <c r="AG7" i="107"/>
  <c r="AG6" i="107"/>
  <c r="AG5" i="107"/>
  <c r="AG4" i="107"/>
  <c r="AF11" i="107"/>
  <c r="AF10" i="107"/>
  <c r="AF9" i="107"/>
  <c r="AF8" i="107"/>
  <c r="AF7" i="107"/>
  <c r="AF6" i="107"/>
  <c r="AF5" i="107"/>
  <c r="AF4" i="107"/>
  <c r="AE11" i="107"/>
  <c r="AE10" i="107"/>
  <c r="AE9" i="107"/>
  <c r="AE8" i="107"/>
  <c r="AE7" i="107"/>
  <c r="AE6" i="107"/>
  <c r="AE5" i="107"/>
  <c r="AE4" i="107"/>
  <c r="AD11" i="107"/>
  <c r="AD10" i="107"/>
  <c r="AD9" i="107"/>
  <c r="AD8" i="107"/>
  <c r="AD7" i="107"/>
  <c r="AD6" i="107"/>
  <c r="AD5" i="107"/>
  <c r="AD4" i="107"/>
  <c r="AC11" i="107"/>
  <c r="AC10" i="107"/>
  <c r="AC9" i="107"/>
  <c r="AC8" i="107"/>
  <c r="AC7" i="107"/>
  <c r="AC6" i="107"/>
  <c r="AC5" i="107"/>
  <c r="AC4" i="107"/>
  <c r="AJ10" i="107" l="1"/>
  <c r="AJ11" i="107"/>
  <c r="AJ8" i="107"/>
  <c r="AJ7" i="107"/>
  <c r="AJ4" i="107"/>
  <c r="AJ5" i="107"/>
  <c r="AJ9" i="107"/>
  <c r="AJ6" i="107"/>
  <c r="I5" i="107"/>
  <c r="E11" i="106"/>
  <c r="I6" i="107"/>
  <c r="E12" i="107"/>
  <c r="F12" i="107" s="1"/>
  <c r="G12" i="107" s="1"/>
  <c r="E13" i="107"/>
  <c r="F13" i="107" s="1"/>
  <c r="G13" i="107" s="1"/>
  <c r="E14" i="107"/>
  <c r="E15" i="107"/>
  <c r="F15" i="107" s="1"/>
  <c r="G15" i="107" s="1"/>
  <c r="E16" i="107"/>
  <c r="F16" i="107" s="1"/>
  <c r="G16" i="107" s="1"/>
  <c r="E17" i="107"/>
  <c r="F17" i="107" s="1"/>
  <c r="G17" i="107" s="1"/>
  <c r="E18" i="107"/>
  <c r="E19" i="107"/>
  <c r="F19" i="107" s="1"/>
  <c r="G19" i="107" s="1"/>
  <c r="E20" i="107"/>
  <c r="F20" i="107" s="1"/>
  <c r="G20" i="107" s="1"/>
  <c r="E21" i="107"/>
  <c r="F21" i="107" s="1"/>
  <c r="G21" i="107" s="1"/>
  <c r="E22" i="107"/>
  <c r="F22" i="107" s="1"/>
  <c r="G22" i="107" s="1"/>
  <c r="E23" i="107"/>
  <c r="F23" i="107" s="1"/>
  <c r="G23" i="107" s="1"/>
  <c r="E24" i="107"/>
  <c r="F24" i="107" s="1"/>
  <c r="G24" i="107" s="1"/>
  <c r="E25" i="107"/>
  <c r="F25" i="107" s="1"/>
  <c r="G25" i="107" s="1"/>
  <c r="E26" i="107"/>
  <c r="E27" i="107"/>
  <c r="F27" i="107" s="1"/>
  <c r="G27" i="107" s="1"/>
  <c r="E28" i="107"/>
  <c r="F28" i="107" s="1"/>
  <c r="G28" i="107" s="1"/>
  <c r="E29" i="107"/>
  <c r="F29" i="107" s="1"/>
  <c r="G29" i="107" s="1"/>
  <c r="E30" i="107"/>
  <c r="F30" i="107" s="1"/>
  <c r="G30" i="107" s="1"/>
  <c r="E31" i="107"/>
  <c r="F31" i="107" s="1"/>
  <c r="G31" i="107" s="1"/>
  <c r="E32" i="107"/>
  <c r="E33" i="107"/>
  <c r="F33" i="107" s="1"/>
  <c r="G33" i="107" s="1"/>
  <c r="E34" i="107"/>
  <c r="E35" i="107"/>
  <c r="F35" i="107" s="1"/>
  <c r="G35" i="107" s="1"/>
  <c r="E36" i="107"/>
  <c r="F36" i="107" s="1"/>
  <c r="G36" i="107" s="1"/>
  <c r="E37" i="107"/>
  <c r="F37" i="107" s="1"/>
  <c r="G37" i="107" s="1"/>
  <c r="E38" i="107"/>
  <c r="E39" i="107"/>
  <c r="F39" i="107" s="1"/>
  <c r="G39" i="107" s="1"/>
  <c r="E40" i="107"/>
  <c r="F40" i="107" s="1"/>
  <c r="G40" i="107" s="1"/>
  <c r="E41" i="107"/>
  <c r="F41" i="107" s="1"/>
  <c r="G41" i="107" s="1"/>
  <c r="E42" i="107"/>
  <c r="E43" i="107"/>
  <c r="F43" i="107" s="1"/>
  <c r="G43" i="107" s="1"/>
  <c r="E44" i="107"/>
  <c r="F44" i="107" s="1"/>
  <c r="G44" i="107" s="1"/>
  <c r="E45" i="107"/>
  <c r="F45" i="107" s="1"/>
  <c r="G45" i="107" s="1"/>
  <c r="E46" i="107"/>
  <c r="F46" i="107" s="1"/>
  <c r="G46" i="107" s="1"/>
  <c r="E47" i="107"/>
  <c r="F47" i="107" s="1"/>
  <c r="G47" i="107" s="1"/>
  <c r="E48" i="107"/>
  <c r="E49" i="107"/>
  <c r="F49" i="107" s="1"/>
  <c r="G49" i="107" s="1"/>
  <c r="E50" i="107"/>
  <c r="E51" i="107"/>
  <c r="F51" i="107" s="1"/>
  <c r="G51" i="107" s="1"/>
  <c r="E52" i="107"/>
  <c r="F52" i="107" s="1"/>
  <c r="G52" i="107" s="1"/>
  <c r="E53" i="107"/>
  <c r="F53" i="107" s="1"/>
  <c r="G53" i="107" s="1"/>
  <c r="E54" i="107"/>
  <c r="E55" i="107"/>
  <c r="F55" i="107" s="1"/>
  <c r="G55" i="107" s="1"/>
  <c r="E56" i="107"/>
  <c r="E57" i="107"/>
  <c r="F57" i="107" s="1"/>
  <c r="G57" i="107" s="1"/>
  <c r="E58" i="107"/>
  <c r="E59" i="107"/>
  <c r="F59" i="107" s="1"/>
  <c r="G59" i="107" s="1"/>
  <c r="E60" i="107"/>
  <c r="F60" i="107" s="1"/>
  <c r="G60" i="107" s="1"/>
  <c r="E61" i="107"/>
  <c r="F61" i="107" s="1"/>
  <c r="G61" i="107" s="1"/>
  <c r="E62" i="107"/>
  <c r="E63" i="107"/>
  <c r="F63" i="107" s="1"/>
  <c r="G63" i="107" s="1"/>
  <c r="E64" i="107"/>
  <c r="E65" i="107"/>
  <c r="F65" i="107" s="1"/>
  <c r="G65" i="107" s="1"/>
  <c r="E66" i="107"/>
  <c r="E67" i="107"/>
  <c r="F67" i="107" s="1"/>
  <c r="G67" i="107" s="1"/>
  <c r="E68" i="107"/>
  <c r="F68" i="107" s="1"/>
  <c r="G68" i="107" s="1"/>
  <c r="E69" i="107"/>
  <c r="F69" i="107" s="1"/>
  <c r="G69" i="107" s="1"/>
  <c r="E70" i="107"/>
  <c r="E71" i="107"/>
  <c r="F71" i="107" s="1"/>
  <c r="G71" i="107" s="1"/>
  <c r="E72" i="107"/>
  <c r="F72" i="107" s="1"/>
  <c r="G72" i="107" s="1"/>
  <c r="E73" i="107"/>
  <c r="F73" i="107" s="1"/>
  <c r="G73" i="107" s="1"/>
  <c r="E74" i="107"/>
  <c r="E75" i="107"/>
  <c r="F75" i="107" s="1"/>
  <c r="G75" i="107" s="1"/>
  <c r="E76" i="107"/>
  <c r="F76" i="107" s="1"/>
  <c r="G76" i="107" s="1"/>
  <c r="E77" i="107"/>
  <c r="F77" i="107" s="1"/>
  <c r="G77" i="107" s="1"/>
  <c r="E78" i="107"/>
  <c r="F78" i="107" s="1"/>
  <c r="G78" i="107" s="1"/>
  <c r="E79" i="107"/>
  <c r="F79" i="107" s="1"/>
  <c r="G79" i="107" s="1"/>
  <c r="E80" i="107"/>
  <c r="F80" i="107" s="1"/>
  <c r="G80" i="107" s="1"/>
  <c r="E81" i="107"/>
  <c r="F81" i="107" s="1"/>
  <c r="G81" i="107" s="1"/>
  <c r="E82" i="107"/>
  <c r="E83" i="107"/>
  <c r="F83" i="107" s="1"/>
  <c r="G83" i="107" s="1"/>
  <c r="E84" i="107"/>
  <c r="F84" i="107" s="1"/>
  <c r="G84" i="107" s="1"/>
  <c r="E85" i="107"/>
  <c r="F85" i="107" s="1"/>
  <c r="G85" i="107" s="1"/>
  <c r="E86" i="107"/>
  <c r="F86" i="107" s="1"/>
  <c r="G86" i="107" s="1"/>
  <c r="E87" i="107"/>
  <c r="F87" i="107" s="1"/>
  <c r="G87" i="107" s="1"/>
  <c r="E88" i="107"/>
  <c r="E89" i="107"/>
  <c r="F89" i="107" s="1"/>
  <c r="G89" i="107" s="1"/>
  <c r="E90" i="107"/>
  <c r="E91" i="107"/>
  <c r="F91" i="107" s="1"/>
  <c r="G91" i="107" s="1"/>
  <c r="E92" i="107"/>
  <c r="F92" i="107" s="1"/>
  <c r="G92" i="107" s="1"/>
  <c r="E93" i="107"/>
  <c r="F93" i="107" s="1"/>
  <c r="G93" i="107" s="1"/>
  <c r="E94" i="107"/>
  <c r="E95" i="107"/>
  <c r="F95" i="107" s="1"/>
  <c r="G95" i="107" s="1"/>
  <c r="E96" i="107"/>
  <c r="E97" i="107"/>
  <c r="F97" i="107" s="1"/>
  <c r="G97" i="107" s="1"/>
  <c r="E98" i="107"/>
  <c r="E99" i="107"/>
  <c r="F99" i="107" s="1"/>
  <c r="G99" i="107" s="1"/>
  <c r="E100" i="107"/>
  <c r="F100" i="107" s="1"/>
  <c r="G100" i="107" s="1"/>
  <c r="E101" i="107"/>
  <c r="F101" i="107" s="1"/>
  <c r="G101" i="107" s="1"/>
  <c r="E102" i="107"/>
  <c r="E103" i="107"/>
  <c r="F103" i="107" s="1"/>
  <c r="G103" i="107" s="1"/>
  <c r="E104" i="107"/>
  <c r="F104" i="107" s="1"/>
  <c r="G104" i="107" s="1"/>
  <c r="E105" i="107"/>
  <c r="F105" i="107" s="1"/>
  <c r="G105" i="107" s="1"/>
  <c r="E106" i="107"/>
  <c r="E107" i="107"/>
  <c r="F107" i="107" s="1"/>
  <c r="G107" i="107" s="1"/>
  <c r="E108" i="107"/>
  <c r="F108" i="107" s="1"/>
  <c r="G108" i="107" s="1"/>
  <c r="E109" i="107"/>
  <c r="F109" i="107" s="1"/>
  <c r="G109" i="107" s="1"/>
  <c r="E110" i="107"/>
  <c r="F110" i="107" s="1"/>
  <c r="G110" i="107" s="1"/>
  <c r="E111" i="107"/>
  <c r="F111" i="107" s="1"/>
  <c r="G111" i="107" s="1"/>
  <c r="E112" i="107"/>
  <c r="E113" i="107"/>
  <c r="F113" i="107" s="1"/>
  <c r="G113" i="107" s="1"/>
  <c r="E114" i="107"/>
  <c r="E115" i="107"/>
  <c r="F115" i="107" s="1"/>
  <c r="G115" i="107" s="1"/>
  <c r="E116" i="107"/>
  <c r="F116" i="107" s="1"/>
  <c r="G116" i="107" s="1"/>
  <c r="E117" i="107"/>
  <c r="F117" i="107" s="1"/>
  <c r="G117" i="107" s="1"/>
  <c r="E118" i="107"/>
  <c r="E119" i="107"/>
  <c r="F119" i="107" s="1"/>
  <c r="G119" i="107" s="1"/>
  <c r="E120" i="107"/>
  <c r="E121" i="107"/>
  <c r="F121" i="107" s="1"/>
  <c r="G121" i="107" s="1"/>
  <c r="E122" i="107"/>
  <c r="E123" i="107"/>
  <c r="F123" i="107" s="1"/>
  <c r="G123" i="107" s="1"/>
  <c r="E124" i="107"/>
  <c r="F124" i="107" s="1"/>
  <c r="G124" i="107" s="1"/>
  <c r="E125" i="107"/>
  <c r="F125" i="107" s="1"/>
  <c r="G125" i="107" s="1"/>
  <c r="E126" i="107"/>
  <c r="E127" i="107"/>
  <c r="F127" i="107" s="1"/>
  <c r="G127" i="107" s="1"/>
  <c r="E128" i="107"/>
  <c r="E129" i="107"/>
  <c r="F129" i="107" s="1"/>
  <c r="G129" i="107" s="1"/>
  <c r="E130" i="107"/>
  <c r="E131" i="107"/>
  <c r="F131" i="107" s="1"/>
  <c r="G131" i="107" s="1"/>
  <c r="E132" i="107"/>
  <c r="F132" i="107" s="1"/>
  <c r="G132" i="107" s="1"/>
  <c r="E133" i="107"/>
  <c r="F133" i="107" s="1"/>
  <c r="G133" i="107" s="1"/>
  <c r="E134" i="107"/>
  <c r="E135" i="107"/>
  <c r="F135" i="107" s="1"/>
  <c r="G135" i="107" s="1"/>
  <c r="E136" i="107"/>
  <c r="F136" i="107" s="1"/>
  <c r="G136" i="107" s="1"/>
  <c r="E137" i="107"/>
  <c r="F137" i="107" s="1"/>
  <c r="G137" i="107" s="1"/>
  <c r="E138" i="107"/>
  <c r="E139" i="107"/>
  <c r="F139" i="107" s="1"/>
  <c r="G139" i="107" s="1"/>
  <c r="E140" i="107"/>
  <c r="F140" i="107" s="1"/>
  <c r="G140" i="107" s="1"/>
  <c r="E141" i="107"/>
  <c r="F141" i="107" s="1"/>
  <c r="G141" i="107" s="1"/>
  <c r="E142" i="107"/>
  <c r="F142" i="107" s="1"/>
  <c r="G142" i="107" s="1"/>
  <c r="E143" i="107"/>
  <c r="F143" i="107" s="1"/>
  <c r="G143" i="107" s="1"/>
  <c r="E144" i="107"/>
  <c r="F144" i="107" s="1"/>
  <c r="G144" i="107" s="1"/>
  <c r="E145" i="107"/>
  <c r="F145" i="107" s="1"/>
  <c r="G145" i="107" s="1"/>
  <c r="E146" i="107"/>
  <c r="E147" i="107"/>
  <c r="F147" i="107" s="1"/>
  <c r="G147" i="107" s="1"/>
  <c r="E148" i="107"/>
  <c r="F148" i="107" s="1"/>
  <c r="G148" i="107" s="1"/>
  <c r="E149" i="107"/>
  <c r="F149" i="107" s="1"/>
  <c r="G149" i="107" s="1"/>
  <c r="E150" i="107"/>
  <c r="F150" i="107" s="1"/>
  <c r="G150" i="107" s="1"/>
  <c r="E151" i="107"/>
  <c r="F151" i="107" s="1"/>
  <c r="G151" i="107" s="1"/>
  <c r="E152" i="107"/>
  <c r="F152" i="107" s="1"/>
  <c r="G152" i="107" s="1"/>
  <c r="E153" i="107"/>
  <c r="F153" i="107" s="1"/>
  <c r="G153" i="107" s="1"/>
  <c r="E154" i="107"/>
  <c r="E155" i="107"/>
  <c r="F155" i="107" s="1"/>
  <c r="G155" i="107" s="1"/>
  <c r="E156" i="107"/>
  <c r="F156" i="107" s="1"/>
  <c r="G156" i="107" s="1"/>
  <c r="E157" i="107"/>
  <c r="F157" i="107" s="1"/>
  <c r="G157" i="107" s="1"/>
  <c r="E158" i="107"/>
  <c r="F158" i="107" s="1"/>
  <c r="G158" i="107" s="1"/>
  <c r="E159" i="107"/>
  <c r="F159" i="107" s="1"/>
  <c r="G159" i="107" s="1"/>
  <c r="E160" i="107"/>
  <c r="E161" i="107"/>
  <c r="F161" i="107" s="1"/>
  <c r="G161" i="107" s="1"/>
  <c r="E162" i="107"/>
  <c r="E163" i="107"/>
  <c r="F163" i="107" s="1"/>
  <c r="G163" i="107" s="1"/>
  <c r="E164" i="107"/>
  <c r="F164" i="107" s="1"/>
  <c r="G164" i="107" s="1"/>
  <c r="E165" i="107"/>
  <c r="F165" i="107" s="1"/>
  <c r="G165" i="107" s="1"/>
  <c r="E166" i="107"/>
  <c r="E167" i="107"/>
  <c r="F167" i="107" s="1"/>
  <c r="G167" i="107" s="1"/>
  <c r="E168" i="107"/>
  <c r="F168" i="107" s="1"/>
  <c r="G168" i="107" s="1"/>
  <c r="E169" i="107"/>
  <c r="F169" i="107" s="1"/>
  <c r="G169" i="107" s="1"/>
  <c r="E170" i="107"/>
  <c r="E171" i="107"/>
  <c r="F171" i="107" s="1"/>
  <c r="G171" i="107" s="1"/>
  <c r="E172" i="107"/>
  <c r="F172" i="107" s="1"/>
  <c r="G172" i="107" s="1"/>
  <c r="E173" i="107"/>
  <c r="F173" i="107" s="1"/>
  <c r="G173" i="107" s="1"/>
  <c r="E174" i="107"/>
  <c r="F174" i="107" s="1"/>
  <c r="G174" i="107" s="1"/>
  <c r="E175" i="107"/>
  <c r="F175" i="107" s="1"/>
  <c r="G175" i="107" s="1"/>
  <c r="E176" i="107"/>
  <c r="E177" i="107"/>
  <c r="F177" i="107" s="1"/>
  <c r="G177" i="107" s="1"/>
  <c r="E178" i="107"/>
  <c r="E179" i="107"/>
  <c r="F179" i="107" s="1"/>
  <c r="G179" i="107" s="1"/>
  <c r="E180" i="107"/>
  <c r="F180" i="107" s="1"/>
  <c r="G180" i="107" s="1"/>
  <c r="E181" i="107"/>
  <c r="F181" i="107" s="1"/>
  <c r="G181" i="107" s="1"/>
  <c r="E182" i="107"/>
  <c r="E183" i="107"/>
  <c r="F183" i="107" s="1"/>
  <c r="G183" i="107" s="1"/>
  <c r="E184" i="107"/>
  <c r="E185" i="107"/>
  <c r="F185" i="107" s="1"/>
  <c r="G185" i="107" s="1"/>
  <c r="E186" i="107"/>
  <c r="E187" i="107"/>
  <c r="F187" i="107" s="1"/>
  <c r="G187" i="107" s="1"/>
  <c r="E188" i="107"/>
  <c r="F188" i="107" s="1"/>
  <c r="G188" i="107" s="1"/>
  <c r="E189" i="107"/>
  <c r="F189" i="107" s="1"/>
  <c r="G189" i="107" s="1"/>
  <c r="E190" i="107"/>
  <c r="E191" i="107"/>
  <c r="F191" i="107" s="1"/>
  <c r="G191" i="107" s="1"/>
  <c r="E192" i="107"/>
  <c r="F192" i="107" s="1"/>
  <c r="G192" i="107" s="1"/>
  <c r="E193" i="107"/>
  <c r="F193" i="107" s="1"/>
  <c r="G193" i="107" s="1"/>
  <c r="E194" i="107"/>
  <c r="E195" i="107"/>
  <c r="F195" i="107" s="1"/>
  <c r="G195" i="107" s="1"/>
  <c r="E196" i="107"/>
  <c r="F196" i="107" s="1"/>
  <c r="G196" i="107" s="1"/>
  <c r="E197" i="107"/>
  <c r="F197" i="107" s="1"/>
  <c r="G197" i="107" s="1"/>
  <c r="E198" i="107"/>
  <c r="F198" i="107" s="1"/>
  <c r="G198" i="107" s="1"/>
  <c r="E199" i="107"/>
  <c r="F199" i="107" s="1"/>
  <c r="G199" i="107" s="1"/>
  <c r="E200" i="107"/>
  <c r="E201" i="107"/>
  <c r="F201" i="107" s="1"/>
  <c r="G201" i="107" s="1"/>
  <c r="E202" i="107"/>
  <c r="E203" i="107"/>
  <c r="F203" i="107" s="1"/>
  <c r="G203" i="107" s="1"/>
  <c r="E204" i="107"/>
  <c r="F204" i="107" s="1"/>
  <c r="G204" i="107" s="1"/>
  <c r="E205" i="107"/>
  <c r="F205" i="107" s="1"/>
  <c r="G205" i="107" s="1"/>
  <c r="E206" i="107"/>
  <c r="E207" i="107"/>
  <c r="F207" i="107" s="1"/>
  <c r="G207" i="107" s="1"/>
  <c r="E208" i="107"/>
  <c r="E209" i="107"/>
  <c r="F209" i="107" s="1"/>
  <c r="G209" i="107" s="1"/>
  <c r="E210" i="107"/>
  <c r="E211" i="107"/>
  <c r="F211" i="107" s="1"/>
  <c r="G211" i="107" s="1"/>
  <c r="E212" i="107"/>
  <c r="F212" i="107" s="1"/>
  <c r="G212" i="107" s="1"/>
  <c r="E213" i="107"/>
  <c r="F213" i="107" s="1"/>
  <c r="G213" i="107" s="1"/>
  <c r="E214" i="107"/>
  <c r="E215" i="107"/>
  <c r="F215" i="107" s="1"/>
  <c r="G215" i="107" s="1"/>
  <c r="E216" i="107"/>
  <c r="E217" i="107"/>
  <c r="F217" i="107" s="1"/>
  <c r="G217" i="107" s="1"/>
  <c r="E218" i="107"/>
  <c r="E219" i="107"/>
  <c r="F219" i="107" s="1"/>
  <c r="G219" i="107" s="1"/>
  <c r="E220" i="107"/>
  <c r="F220" i="107" s="1"/>
  <c r="G220" i="107" s="1"/>
  <c r="E221" i="107"/>
  <c r="F221" i="107" s="1"/>
  <c r="G221" i="107" s="1"/>
  <c r="E222" i="107"/>
  <c r="E223" i="107"/>
  <c r="F223" i="107" s="1"/>
  <c r="G223" i="107" s="1"/>
  <c r="E224" i="107"/>
  <c r="F224" i="107" s="1"/>
  <c r="G224" i="107" s="1"/>
  <c r="E225" i="107"/>
  <c r="F225" i="107" s="1"/>
  <c r="G225" i="107" s="1"/>
  <c r="E226" i="107"/>
  <c r="E227" i="107"/>
  <c r="F227" i="107" s="1"/>
  <c r="G227" i="107" s="1"/>
  <c r="E228" i="107"/>
  <c r="F228" i="107" s="1"/>
  <c r="G228" i="107" s="1"/>
  <c r="E229" i="107"/>
  <c r="F229" i="107" s="1"/>
  <c r="G229" i="107" s="1"/>
  <c r="E230" i="107"/>
  <c r="F230" i="107" s="1"/>
  <c r="G230" i="107" s="1"/>
  <c r="E231" i="107"/>
  <c r="F231" i="107" s="1"/>
  <c r="G231" i="107" s="1"/>
  <c r="E232" i="107"/>
  <c r="F232" i="107" s="1"/>
  <c r="G232" i="107" s="1"/>
  <c r="E233" i="107"/>
  <c r="F233" i="107" s="1"/>
  <c r="G233" i="107" s="1"/>
  <c r="E234" i="107"/>
  <c r="E235" i="107"/>
  <c r="F235" i="107" s="1"/>
  <c r="G235" i="107" s="1"/>
  <c r="E236" i="107"/>
  <c r="F236" i="107" s="1"/>
  <c r="G236" i="107" s="1"/>
  <c r="E237" i="107"/>
  <c r="F237" i="107" s="1"/>
  <c r="G237" i="107" s="1"/>
  <c r="E238" i="107"/>
  <c r="F238" i="107" s="1"/>
  <c r="G238" i="107" s="1"/>
  <c r="E239" i="107"/>
  <c r="F239" i="107" s="1"/>
  <c r="G239" i="107" s="1"/>
  <c r="E240" i="107"/>
  <c r="E241" i="107"/>
  <c r="F241" i="107" s="1"/>
  <c r="G241" i="107" s="1"/>
  <c r="E242" i="107"/>
  <c r="E243" i="107"/>
  <c r="F243" i="107" s="1"/>
  <c r="G243" i="107" s="1"/>
  <c r="E244" i="107"/>
  <c r="F244" i="107" s="1"/>
  <c r="G244" i="107" s="1"/>
  <c r="E245" i="107"/>
  <c r="F245" i="107" s="1"/>
  <c r="G245" i="107" s="1"/>
  <c r="E246" i="107"/>
  <c r="E247" i="107"/>
  <c r="F247" i="107" s="1"/>
  <c r="G247" i="107" s="1"/>
  <c r="E248" i="107"/>
  <c r="E249" i="107"/>
  <c r="F249" i="107" s="1"/>
  <c r="G249" i="107" s="1"/>
  <c r="E250" i="107"/>
  <c r="E251" i="107"/>
  <c r="F251" i="107" s="1"/>
  <c r="G251" i="107" s="1"/>
  <c r="E252" i="107"/>
  <c r="F252" i="107" s="1"/>
  <c r="G252" i="107" s="1"/>
  <c r="E253" i="107"/>
  <c r="F253" i="107" s="1"/>
  <c r="G253" i="107" s="1"/>
  <c r="E254" i="107"/>
  <c r="E255" i="107"/>
  <c r="F255" i="107" s="1"/>
  <c r="G255" i="107" s="1"/>
  <c r="E256" i="107"/>
  <c r="F256" i="107" s="1"/>
  <c r="G256" i="107" s="1"/>
  <c r="E257" i="107"/>
  <c r="F257" i="107" s="1"/>
  <c r="G257" i="107" s="1"/>
  <c r="E258" i="107"/>
  <c r="E259" i="107"/>
  <c r="F259" i="107" s="1"/>
  <c r="G259" i="107" s="1"/>
  <c r="E260" i="107"/>
  <c r="F260" i="107" s="1"/>
  <c r="G260" i="107" s="1"/>
  <c r="E261" i="107"/>
  <c r="F261" i="107" s="1"/>
  <c r="G261" i="107" s="1"/>
  <c r="E262" i="107"/>
  <c r="F262" i="107" s="1"/>
  <c r="G262" i="107" s="1"/>
  <c r="E263" i="107"/>
  <c r="F263" i="107" s="1"/>
  <c r="G263" i="107" s="1"/>
  <c r="E264" i="107"/>
  <c r="E265" i="107"/>
  <c r="F265" i="107" s="1"/>
  <c r="G265" i="107" s="1"/>
  <c r="E266" i="107"/>
  <c r="E267" i="107"/>
  <c r="F267" i="107" s="1"/>
  <c r="G267" i="107" s="1"/>
  <c r="E268" i="107"/>
  <c r="F268" i="107" s="1"/>
  <c r="G268" i="107" s="1"/>
  <c r="E269" i="107"/>
  <c r="F269" i="107" s="1"/>
  <c r="G269" i="107" s="1"/>
  <c r="E270" i="107"/>
  <c r="E271" i="107"/>
  <c r="F271" i="107" s="1"/>
  <c r="G271" i="107" s="1"/>
  <c r="E272" i="107"/>
  <c r="E273" i="107"/>
  <c r="F273" i="107" s="1"/>
  <c r="G273" i="107" s="1"/>
  <c r="E274" i="107"/>
  <c r="E275" i="107"/>
  <c r="F275" i="107" s="1"/>
  <c r="G275" i="107" s="1"/>
  <c r="E276" i="107"/>
  <c r="F276" i="107" s="1"/>
  <c r="G276" i="107" s="1"/>
  <c r="E277" i="107"/>
  <c r="F277" i="107" s="1"/>
  <c r="G277" i="107" s="1"/>
  <c r="E278" i="107"/>
  <c r="E279" i="107"/>
  <c r="F279" i="107" s="1"/>
  <c r="G279" i="107" s="1"/>
  <c r="E280" i="107"/>
  <c r="E281" i="107"/>
  <c r="F281" i="107" s="1"/>
  <c r="G281" i="107" s="1"/>
  <c r="E282" i="107"/>
  <c r="E283" i="107"/>
  <c r="F283" i="107" s="1"/>
  <c r="G283" i="107" s="1"/>
  <c r="E284" i="107"/>
  <c r="F284" i="107" s="1"/>
  <c r="G284" i="107" s="1"/>
  <c r="E285" i="107"/>
  <c r="F285" i="107" s="1"/>
  <c r="G285" i="107" s="1"/>
  <c r="E286" i="107"/>
  <c r="E287" i="107"/>
  <c r="F287" i="107" s="1"/>
  <c r="G287" i="107" s="1"/>
  <c r="E288" i="107"/>
  <c r="F288" i="107" s="1"/>
  <c r="G288" i="107" s="1"/>
  <c r="E289" i="107"/>
  <c r="F289" i="107" s="1"/>
  <c r="G289" i="107" s="1"/>
  <c r="E290" i="107"/>
  <c r="E291" i="107"/>
  <c r="F291" i="107" s="1"/>
  <c r="G291" i="107" s="1"/>
  <c r="E292" i="107"/>
  <c r="F292" i="107" s="1"/>
  <c r="G292" i="107" s="1"/>
  <c r="E293" i="107"/>
  <c r="F293" i="107" s="1"/>
  <c r="G293" i="107" s="1"/>
  <c r="E294" i="107"/>
  <c r="F294" i="107" s="1"/>
  <c r="G294" i="107" s="1"/>
  <c r="E295" i="107"/>
  <c r="F295" i="107" s="1"/>
  <c r="G295" i="107" s="1"/>
  <c r="E296" i="107"/>
  <c r="F296" i="107" s="1"/>
  <c r="G296" i="107" s="1"/>
  <c r="E297" i="107"/>
  <c r="F297" i="107" s="1"/>
  <c r="G297" i="107" s="1"/>
  <c r="E298" i="107"/>
  <c r="E299" i="107"/>
  <c r="F299" i="107" s="1"/>
  <c r="G299" i="107" s="1"/>
  <c r="E300" i="107"/>
  <c r="F300" i="107" s="1"/>
  <c r="G300" i="107" s="1"/>
  <c r="E301" i="107"/>
  <c r="F301" i="107" s="1"/>
  <c r="G301" i="107" s="1"/>
  <c r="E302" i="107"/>
  <c r="F302" i="107" s="1"/>
  <c r="G302" i="107" s="1"/>
  <c r="E303" i="107"/>
  <c r="F303" i="107" s="1"/>
  <c r="G303" i="107" s="1"/>
  <c r="E304" i="107"/>
  <c r="E305" i="107"/>
  <c r="F305" i="107" s="1"/>
  <c r="G305" i="107" s="1"/>
  <c r="E306" i="107"/>
  <c r="E307" i="107"/>
  <c r="F307" i="107" s="1"/>
  <c r="G307" i="107" s="1"/>
  <c r="E308" i="107"/>
  <c r="F308" i="107" s="1"/>
  <c r="G308" i="107" s="1"/>
  <c r="E309" i="107"/>
  <c r="F309" i="107" s="1"/>
  <c r="G309" i="107" s="1"/>
  <c r="E310" i="107"/>
  <c r="E311" i="107"/>
  <c r="F311" i="107" s="1"/>
  <c r="G311" i="107" s="1"/>
  <c r="E312" i="107"/>
  <c r="E313" i="107"/>
  <c r="F313" i="107" s="1"/>
  <c r="G313" i="107" s="1"/>
  <c r="E314" i="107"/>
  <c r="F314" i="107" s="1"/>
  <c r="G314" i="107" s="1"/>
  <c r="E315" i="107"/>
  <c r="F315" i="107" s="1"/>
  <c r="G315" i="107" s="1"/>
  <c r="E316" i="107"/>
  <c r="E317" i="107"/>
  <c r="F317" i="107" s="1"/>
  <c r="G317" i="107" s="1"/>
  <c r="E318" i="107"/>
  <c r="E319" i="107"/>
  <c r="F319" i="107" s="1"/>
  <c r="G319" i="107" s="1"/>
  <c r="E320" i="107"/>
  <c r="E321" i="107"/>
  <c r="F321" i="107" s="1"/>
  <c r="G321" i="107" s="1"/>
  <c r="E322" i="107"/>
  <c r="F322" i="107" s="1"/>
  <c r="G322" i="107" s="1"/>
  <c r="E323" i="107"/>
  <c r="F323" i="107" s="1"/>
  <c r="G323" i="107" s="1"/>
  <c r="E324" i="107"/>
  <c r="E325" i="107"/>
  <c r="F325" i="107" s="1"/>
  <c r="G325" i="107" s="1"/>
  <c r="E326" i="107"/>
  <c r="E327" i="107"/>
  <c r="F327" i="107" s="1"/>
  <c r="G327" i="107" s="1"/>
  <c r="E328" i="107"/>
  <c r="E329" i="107"/>
  <c r="F329" i="107" s="1"/>
  <c r="G329" i="107" s="1"/>
  <c r="E330" i="107"/>
  <c r="F330" i="107" s="1"/>
  <c r="G330" i="107" s="1"/>
  <c r="E331" i="107"/>
  <c r="F331" i="107" s="1"/>
  <c r="G331" i="107" s="1"/>
  <c r="E332" i="107"/>
  <c r="E333" i="107"/>
  <c r="F333" i="107" s="1"/>
  <c r="G333" i="107" s="1"/>
  <c r="E334" i="107"/>
  <c r="F334" i="107" s="1"/>
  <c r="G334" i="107" s="1"/>
  <c r="E335" i="107"/>
  <c r="F335" i="107" s="1"/>
  <c r="G335" i="107" s="1"/>
  <c r="E336" i="107"/>
  <c r="E337" i="107"/>
  <c r="F337" i="107" s="1"/>
  <c r="G337" i="107" s="1"/>
  <c r="E338" i="107"/>
  <c r="F338" i="107" s="1"/>
  <c r="G338" i="107" s="1"/>
  <c r="E339" i="107"/>
  <c r="F339" i="107" s="1"/>
  <c r="G339" i="107" s="1"/>
  <c r="E340" i="107"/>
  <c r="F340" i="107" s="1"/>
  <c r="G340" i="107" s="1"/>
  <c r="E341" i="107"/>
  <c r="F341" i="107" s="1"/>
  <c r="G341" i="107" s="1"/>
  <c r="E342" i="107"/>
  <c r="E343" i="107"/>
  <c r="F343" i="107" s="1"/>
  <c r="G343" i="107" s="1"/>
  <c r="E344" i="107"/>
  <c r="E345" i="107"/>
  <c r="F345" i="107" s="1"/>
  <c r="G345" i="107" s="1"/>
  <c r="E346" i="107"/>
  <c r="F346" i="107" s="1"/>
  <c r="G346" i="107" s="1"/>
  <c r="E347" i="107"/>
  <c r="F347" i="107" s="1"/>
  <c r="G347" i="107" s="1"/>
  <c r="E348" i="107"/>
  <c r="E349" i="107"/>
  <c r="F349" i="107" s="1"/>
  <c r="G349" i="107" s="1"/>
  <c r="E350" i="107"/>
  <c r="E351" i="107"/>
  <c r="F351" i="107" s="1"/>
  <c r="G351" i="107" s="1"/>
  <c r="E352" i="107"/>
  <c r="E353" i="107"/>
  <c r="F353" i="107" s="1"/>
  <c r="G353" i="107" s="1"/>
  <c r="E354" i="107"/>
  <c r="F354" i="107" s="1"/>
  <c r="G354" i="107" s="1"/>
  <c r="E355" i="107"/>
  <c r="F355" i="107" s="1"/>
  <c r="G355" i="107" s="1"/>
  <c r="E356" i="107"/>
  <c r="E357" i="107"/>
  <c r="F357" i="107" s="1"/>
  <c r="G357" i="107" s="1"/>
  <c r="E358" i="107"/>
  <c r="E359" i="107"/>
  <c r="F359" i="107" s="1"/>
  <c r="G359" i="107" s="1"/>
  <c r="E360" i="107"/>
  <c r="E361" i="107"/>
  <c r="F361" i="107" s="1"/>
  <c r="G361" i="107" s="1"/>
  <c r="E362" i="107"/>
  <c r="F362" i="107" s="1"/>
  <c r="G362" i="107" s="1"/>
  <c r="E363" i="107"/>
  <c r="F363" i="107" s="1"/>
  <c r="G363" i="107" s="1"/>
  <c r="E364" i="107"/>
  <c r="E365" i="107"/>
  <c r="F365" i="107" s="1"/>
  <c r="G365" i="107" s="1"/>
  <c r="E366" i="107"/>
  <c r="F366" i="107" s="1"/>
  <c r="G366" i="107" s="1"/>
  <c r="E367" i="107"/>
  <c r="F367" i="107" s="1"/>
  <c r="G367" i="107" s="1"/>
  <c r="E368" i="107"/>
  <c r="E369" i="107"/>
  <c r="F369" i="107" s="1"/>
  <c r="G369" i="107" s="1"/>
  <c r="E370" i="107"/>
  <c r="F370" i="107" s="1"/>
  <c r="G370" i="107" s="1"/>
  <c r="E371" i="107"/>
  <c r="F371" i="107" s="1"/>
  <c r="G371" i="107" s="1"/>
  <c r="E372" i="107"/>
  <c r="F372" i="107" s="1"/>
  <c r="G372" i="107" s="1"/>
  <c r="E373" i="107"/>
  <c r="F373" i="107" s="1"/>
  <c r="G373" i="107" s="1"/>
  <c r="E374" i="107"/>
  <c r="E375" i="107"/>
  <c r="F375" i="107" s="1"/>
  <c r="G375" i="107" s="1"/>
  <c r="E376" i="107"/>
  <c r="E377" i="107"/>
  <c r="F377" i="107" s="1"/>
  <c r="G377" i="107" s="1"/>
  <c r="E378" i="107"/>
  <c r="F378" i="107" s="1"/>
  <c r="G378" i="107" s="1"/>
  <c r="E379" i="107"/>
  <c r="F379" i="107" s="1"/>
  <c r="G379" i="107" s="1"/>
  <c r="E380" i="107"/>
  <c r="E381" i="107"/>
  <c r="F381" i="107" s="1"/>
  <c r="G381" i="107" s="1"/>
  <c r="E382" i="107"/>
  <c r="E383" i="107"/>
  <c r="F383" i="107" s="1"/>
  <c r="G383" i="107" s="1"/>
  <c r="E384" i="107"/>
  <c r="E385" i="107"/>
  <c r="F385" i="107" s="1"/>
  <c r="G385" i="107" s="1"/>
  <c r="E386" i="107"/>
  <c r="F386" i="107" s="1"/>
  <c r="G386" i="107" s="1"/>
  <c r="E387" i="107"/>
  <c r="F387" i="107" s="1"/>
  <c r="G387" i="107" s="1"/>
  <c r="E388" i="107"/>
  <c r="E389" i="107"/>
  <c r="F389" i="107" s="1"/>
  <c r="G389" i="107" s="1"/>
  <c r="E390" i="107"/>
  <c r="E391" i="107"/>
  <c r="F391" i="107" s="1"/>
  <c r="G391" i="107" s="1"/>
  <c r="E392" i="107"/>
  <c r="E393" i="107"/>
  <c r="F393" i="107" s="1"/>
  <c r="G393" i="107" s="1"/>
  <c r="E394" i="107"/>
  <c r="F394" i="107" s="1"/>
  <c r="G394" i="107" s="1"/>
  <c r="E395" i="107"/>
  <c r="F395" i="107" s="1"/>
  <c r="G395" i="107" s="1"/>
  <c r="E396" i="107"/>
  <c r="E397" i="107"/>
  <c r="F397" i="107" s="1"/>
  <c r="G397" i="107" s="1"/>
  <c r="E398" i="107"/>
  <c r="F398" i="107" s="1"/>
  <c r="G398" i="107" s="1"/>
  <c r="E399" i="107"/>
  <c r="F399" i="107" s="1"/>
  <c r="G399" i="107" s="1"/>
  <c r="E400" i="107"/>
  <c r="E401" i="107"/>
  <c r="F401" i="107" s="1"/>
  <c r="G401" i="107" s="1"/>
  <c r="E402" i="107"/>
  <c r="F402" i="107" s="1"/>
  <c r="G402" i="107" s="1"/>
  <c r="E403" i="107"/>
  <c r="F403" i="107" s="1"/>
  <c r="G403" i="107" s="1"/>
  <c r="E404" i="107"/>
  <c r="F404" i="107" s="1"/>
  <c r="G404" i="107" s="1"/>
  <c r="E405" i="107"/>
  <c r="F405" i="107" s="1"/>
  <c r="G405" i="107" s="1"/>
  <c r="E406" i="107"/>
  <c r="E407" i="107"/>
  <c r="F407" i="107" s="1"/>
  <c r="G407" i="107" s="1"/>
  <c r="E408" i="107"/>
  <c r="E409" i="107"/>
  <c r="F409" i="107" s="1"/>
  <c r="G409" i="107" s="1"/>
  <c r="E410" i="107"/>
  <c r="F410" i="107" s="1"/>
  <c r="G410" i="107" s="1"/>
  <c r="E411" i="107"/>
  <c r="F411" i="107" s="1"/>
  <c r="G411" i="107" s="1"/>
  <c r="E412" i="107"/>
  <c r="E413" i="107"/>
  <c r="F413" i="107" s="1"/>
  <c r="G413" i="107" s="1"/>
  <c r="E414" i="107"/>
  <c r="E415" i="107"/>
  <c r="F415" i="107" s="1"/>
  <c r="G415" i="107" s="1"/>
  <c r="E416" i="107"/>
  <c r="E417" i="107"/>
  <c r="F417" i="107" s="1"/>
  <c r="G417" i="107" s="1"/>
  <c r="E418" i="107"/>
  <c r="F418" i="107" s="1"/>
  <c r="G418" i="107" s="1"/>
  <c r="E419" i="107"/>
  <c r="F419" i="107" s="1"/>
  <c r="G419" i="107" s="1"/>
  <c r="E420" i="107"/>
  <c r="E421" i="107"/>
  <c r="F421" i="107" s="1"/>
  <c r="G421" i="107" s="1"/>
  <c r="E422" i="107"/>
  <c r="E423" i="107"/>
  <c r="F423" i="107" s="1"/>
  <c r="G423" i="107" s="1"/>
  <c r="E424" i="107"/>
  <c r="E425" i="107"/>
  <c r="F425" i="107" s="1"/>
  <c r="G425" i="107" s="1"/>
  <c r="E426" i="107"/>
  <c r="F426" i="107" s="1"/>
  <c r="G426" i="107" s="1"/>
  <c r="E427" i="107"/>
  <c r="F427" i="107" s="1"/>
  <c r="G427" i="107" s="1"/>
  <c r="E428" i="107"/>
  <c r="E429" i="107"/>
  <c r="F429" i="107" s="1"/>
  <c r="G429" i="107" s="1"/>
  <c r="E430" i="107"/>
  <c r="F430" i="107" s="1"/>
  <c r="G430" i="107" s="1"/>
  <c r="E431" i="107"/>
  <c r="F431" i="107" s="1"/>
  <c r="G431" i="107" s="1"/>
  <c r="E432" i="107"/>
  <c r="E433" i="107"/>
  <c r="F433" i="107" s="1"/>
  <c r="G433" i="107" s="1"/>
  <c r="E434" i="107"/>
  <c r="E435" i="107"/>
  <c r="F435" i="107" s="1"/>
  <c r="G435" i="107" s="1"/>
  <c r="E436" i="107"/>
  <c r="E437" i="107"/>
  <c r="F437" i="107" s="1"/>
  <c r="G437" i="107" s="1"/>
  <c r="E438" i="107"/>
  <c r="F438" i="107" s="1"/>
  <c r="G438" i="107" s="1"/>
  <c r="E439" i="107"/>
  <c r="F439" i="107" s="1"/>
  <c r="G439" i="107" s="1"/>
  <c r="E440" i="107"/>
  <c r="E441" i="107"/>
  <c r="F441" i="107" s="1"/>
  <c r="G441" i="107" s="1"/>
  <c r="E442" i="107"/>
  <c r="E443" i="107"/>
  <c r="F443" i="107" s="1"/>
  <c r="G443" i="107" s="1"/>
  <c r="E444" i="107"/>
  <c r="E445" i="107"/>
  <c r="F445" i="107" s="1"/>
  <c r="G445" i="107" s="1"/>
  <c r="E446" i="107"/>
  <c r="F446" i="107" s="1"/>
  <c r="G446" i="107" s="1"/>
  <c r="E447" i="107"/>
  <c r="F447" i="107" s="1"/>
  <c r="G447" i="107" s="1"/>
  <c r="E448" i="107"/>
  <c r="E449" i="107"/>
  <c r="F449" i="107" s="1"/>
  <c r="G449" i="107" s="1"/>
  <c r="E450" i="107"/>
  <c r="E451" i="107"/>
  <c r="F451" i="107" s="1"/>
  <c r="G451" i="107" s="1"/>
  <c r="E452" i="107"/>
  <c r="E453" i="107"/>
  <c r="F453" i="107" s="1"/>
  <c r="G453" i="107" s="1"/>
  <c r="E454" i="107"/>
  <c r="F454" i="107" s="1"/>
  <c r="G454" i="107" s="1"/>
  <c r="E455" i="107"/>
  <c r="F455" i="107" s="1"/>
  <c r="G455" i="107" s="1"/>
  <c r="E456" i="107"/>
  <c r="E457" i="107"/>
  <c r="F457" i="107" s="1"/>
  <c r="G457" i="107" s="1"/>
  <c r="E458" i="107"/>
  <c r="E459" i="107"/>
  <c r="F459" i="107" s="1"/>
  <c r="G459" i="107" s="1"/>
  <c r="E460" i="107"/>
  <c r="E461" i="107"/>
  <c r="F461" i="107" s="1"/>
  <c r="G461" i="107" s="1"/>
  <c r="E462" i="107"/>
  <c r="F462" i="107" s="1"/>
  <c r="G462" i="107" s="1"/>
  <c r="E463" i="107"/>
  <c r="F463" i="107" s="1"/>
  <c r="G463" i="107" s="1"/>
  <c r="E464" i="107"/>
  <c r="E465" i="107"/>
  <c r="F465" i="107" s="1"/>
  <c r="G465" i="107" s="1"/>
  <c r="E466" i="107"/>
  <c r="E467" i="107"/>
  <c r="F467" i="107" s="1"/>
  <c r="G467" i="107" s="1"/>
  <c r="E468" i="107"/>
  <c r="E469" i="107"/>
  <c r="F469" i="107" s="1"/>
  <c r="G469" i="107" s="1"/>
  <c r="E470" i="107"/>
  <c r="F470" i="107" s="1"/>
  <c r="G470" i="107" s="1"/>
  <c r="E471" i="107"/>
  <c r="F471" i="107" s="1"/>
  <c r="G471" i="107" s="1"/>
  <c r="E472" i="107"/>
  <c r="E473" i="107"/>
  <c r="F473" i="107" s="1"/>
  <c r="G473" i="107" s="1"/>
  <c r="E474" i="107"/>
  <c r="E475" i="107"/>
  <c r="F475" i="107" s="1"/>
  <c r="G475" i="107" s="1"/>
  <c r="E476" i="107"/>
  <c r="E477" i="107"/>
  <c r="F477" i="107" s="1"/>
  <c r="G477" i="107" s="1"/>
  <c r="E478" i="107"/>
  <c r="F478" i="107" s="1"/>
  <c r="G478" i="107" s="1"/>
  <c r="E479" i="107"/>
  <c r="F479" i="107" s="1"/>
  <c r="G479" i="107" s="1"/>
  <c r="E480" i="107"/>
  <c r="E481" i="107"/>
  <c r="F481" i="107" s="1"/>
  <c r="G481" i="107" s="1"/>
  <c r="E482" i="107"/>
  <c r="E483" i="107"/>
  <c r="F483" i="107" s="1"/>
  <c r="G483" i="107" s="1"/>
  <c r="E484" i="107"/>
  <c r="E485" i="107"/>
  <c r="F485" i="107" s="1"/>
  <c r="G485" i="107" s="1"/>
  <c r="E486" i="107"/>
  <c r="F486" i="107" s="1"/>
  <c r="G486" i="107" s="1"/>
  <c r="E487" i="107"/>
  <c r="F487" i="107" s="1"/>
  <c r="G487" i="107" s="1"/>
  <c r="E488" i="107"/>
  <c r="E489" i="107"/>
  <c r="F489" i="107" s="1"/>
  <c r="G489" i="107" s="1"/>
  <c r="E490" i="107"/>
  <c r="E491" i="107"/>
  <c r="F491" i="107" s="1"/>
  <c r="G491" i="107" s="1"/>
  <c r="E492" i="107"/>
  <c r="E493" i="107"/>
  <c r="F493" i="107" s="1"/>
  <c r="G493" i="107" s="1"/>
  <c r="E494" i="107"/>
  <c r="F494" i="107" s="1"/>
  <c r="G494" i="107" s="1"/>
  <c r="E495" i="107"/>
  <c r="F495" i="107" s="1"/>
  <c r="G495" i="107" s="1"/>
  <c r="E496" i="107"/>
  <c r="E497" i="107"/>
  <c r="F497" i="107" s="1"/>
  <c r="G497" i="107" s="1"/>
  <c r="E498" i="107"/>
  <c r="E499" i="107"/>
  <c r="F499" i="107" s="1"/>
  <c r="G499" i="107" s="1"/>
  <c r="E500" i="107"/>
  <c r="E501" i="107"/>
  <c r="F501" i="107" s="1"/>
  <c r="G501" i="107" s="1"/>
  <c r="E502" i="107"/>
  <c r="F502" i="107" s="1"/>
  <c r="G502" i="107" s="1"/>
  <c r="E503" i="107"/>
  <c r="F503" i="107" s="1"/>
  <c r="G503" i="107" s="1"/>
  <c r="E504" i="107"/>
  <c r="E505" i="107"/>
  <c r="F505" i="107" s="1"/>
  <c r="G505" i="107" s="1"/>
  <c r="E506" i="107"/>
  <c r="E507" i="107"/>
  <c r="F507" i="107" s="1"/>
  <c r="G507" i="107" s="1"/>
  <c r="E508" i="107"/>
  <c r="E509" i="107"/>
  <c r="F509" i="107" s="1"/>
  <c r="G509" i="107" s="1"/>
  <c r="E510" i="107"/>
  <c r="F510" i="107" s="1"/>
  <c r="G510" i="107" s="1"/>
  <c r="E511" i="107"/>
  <c r="F511" i="107" s="1"/>
  <c r="G511" i="107" s="1"/>
  <c r="E512" i="107"/>
  <c r="E513" i="107"/>
  <c r="F513" i="107" s="1"/>
  <c r="G513" i="107" s="1"/>
  <c r="E514" i="107"/>
  <c r="E515" i="107"/>
  <c r="F515" i="107" s="1"/>
  <c r="G515" i="107" s="1"/>
  <c r="E516" i="107"/>
  <c r="E517" i="107"/>
  <c r="F517" i="107" s="1"/>
  <c r="G517" i="107" s="1"/>
  <c r="E518" i="107"/>
  <c r="F518" i="107" s="1"/>
  <c r="G518" i="107" s="1"/>
  <c r="E519" i="107"/>
  <c r="F519" i="107" s="1"/>
  <c r="G519" i="107" s="1"/>
  <c r="E520" i="107"/>
  <c r="E521" i="107"/>
  <c r="F521" i="107" s="1"/>
  <c r="G521" i="107" s="1"/>
  <c r="E522" i="107"/>
  <c r="E523" i="107"/>
  <c r="F523" i="107" s="1"/>
  <c r="G523" i="107" s="1"/>
  <c r="E524" i="107"/>
  <c r="E525" i="107"/>
  <c r="F525" i="107" s="1"/>
  <c r="G525" i="107" s="1"/>
  <c r="E526" i="107"/>
  <c r="F526" i="107" s="1"/>
  <c r="G526" i="107" s="1"/>
  <c r="E527" i="107"/>
  <c r="F527" i="107" s="1"/>
  <c r="G527" i="107" s="1"/>
  <c r="E528" i="107"/>
  <c r="E529" i="107"/>
  <c r="F529" i="107" s="1"/>
  <c r="G529" i="107" s="1"/>
  <c r="E530" i="107"/>
  <c r="E531" i="107"/>
  <c r="F531" i="107" s="1"/>
  <c r="G531" i="107" s="1"/>
  <c r="E532" i="107"/>
  <c r="E533" i="107"/>
  <c r="F533" i="107" s="1"/>
  <c r="G533" i="107" s="1"/>
  <c r="E534" i="107"/>
  <c r="F534" i="107" s="1"/>
  <c r="G534" i="107" s="1"/>
  <c r="E535" i="107"/>
  <c r="F535" i="107" s="1"/>
  <c r="G535" i="107" s="1"/>
  <c r="E536" i="107"/>
  <c r="E537" i="107"/>
  <c r="F537" i="107" s="1"/>
  <c r="G537" i="107" s="1"/>
  <c r="E538" i="107"/>
  <c r="E539" i="107"/>
  <c r="F539" i="107" s="1"/>
  <c r="G539" i="107" s="1"/>
  <c r="E540" i="107"/>
  <c r="E541" i="107"/>
  <c r="F541" i="107" s="1"/>
  <c r="G541" i="107" s="1"/>
  <c r="E542" i="107"/>
  <c r="F542" i="107" s="1"/>
  <c r="G542" i="107" s="1"/>
  <c r="E543" i="107"/>
  <c r="E544" i="107"/>
  <c r="F544" i="107" s="1"/>
  <c r="G544" i="107" s="1"/>
  <c r="E545" i="107"/>
  <c r="E546" i="107"/>
  <c r="F546" i="107" s="1"/>
  <c r="G546" i="107" s="1"/>
  <c r="E547" i="107"/>
  <c r="E548" i="107"/>
  <c r="F548" i="107" s="1"/>
  <c r="G548" i="107" s="1"/>
  <c r="E549" i="107"/>
  <c r="E550" i="107"/>
  <c r="F550" i="107" s="1"/>
  <c r="G550" i="107" s="1"/>
  <c r="E551" i="107"/>
  <c r="E552" i="107"/>
  <c r="F552" i="107" s="1"/>
  <c r="G552" i="107" s="1"/>
  <c r="E553" i="107"/>
  <c r="E554" i="107"/>
  <c r="F554" i="107" s="1"/>
  <c r="G554" i="107" s="1"/>
  <c r="E555" i="107"/>
  <c r="E556" i="107"/>
  <c r="F556" i="107" s="1"/>
  <c r="G556" i="107" s="1"/>
  <c r="E557" i="107"/>
  <c r="E558" i="107"/>
  <c r="F558" i="107" s="1"/>
  <c r="G558" i="107" s="1"/>
  <c r="E559" i="107"/>
  <c r="E560" i="107"/>
  <c r="F560" i="107" s="1"/>
  <c r="G560" i="107" s="1"/>
  <c r="E561" i="107"/>
  <c r="E562" i="107"/>
  <c r="F562" i="107" s="1"/>
  <c r="G562" i="107" s="1"/>
  <c r="E563" i="107"/>
  <c r="E564" i="107"/>
  <c r="F564" i="107" s="1"/>
  <c r="G564" i="107" s="1"/>
  <c r="E565" i="107"/>
  <c r="E566" i="107"/>
  <c r="F566" i="107" s="1"/>
  <c r="G566" i="107" s="1"/>
  <c r="E567" i="107"/>
  <c r="E568" i="107"/>
  <c r="F568" i="107" s="1"/>
  <c r="G568" i="107" s="1"/>
  <c r="E569" i="107"/>
  <c r="E570" i="107"/>
  <c r="F570" i="107" s="1"/>
  <c r="G570" i="107" s="1"/>
  <c r="E571" i="107"/>
  <c r="E572" i="107"/>
  <c r="F572" i="107" s="1"/>
  <c r="G572" i="107" s="1"/>
  <c r="E573" i="107"/>
  <c r="E574" i="107"/>
  <c r="F574" i="107" s="1"/>
  <c r="G574" i="107" s="1"/>
  <c r="E575" i="107"/>
  <c r="E576" i="107"/>
  <c r="F576" i="107" s="1"/>
  <c r="G576" i="107" s="1"/>
  <c r="E577" i="107"/>
  <c r="E578" i="107"/>
  <c r="F578" i="107" s="1"/>
  <c r="G578" i="107" s="1"/>
  <c r="E579" i="107"/>
  <c r="E580" i="107"/>
  <c r="F580" i="107" s="1"/>
  <c r="G580" i="107" s="1"/>
  <c r="E581" i="107"/>
  <c r="E582" i="107"/>
  <c r="F582" i="107" s="1"/>
  <c r="G582" i="107" s="1"/>
  <c r="E583" i="107"/>
  <c r="E584" i="107"/>
  <c r="F584" i="107" s="1"/>
  <c r="G584" i="107" s="1"/>
  <c r="E585" i="107"/>
  <c r="E586" i="107"/>
  <c r="F586" i="107" s="1"/>
  <c r="G586" i="107" s="1"/>
  <c r="E587" i="107"/>
  <c r="E588" i="107"/>
  <c r="F588" i="107" s="1"/>
  <c r="G588" i="107" s="1"/>
  <c r="E589" i="107"/>
  <c r="E590" i="107"/>
  <c r="F590" i="107" s="1"/>
  <c r="G590" i="107" s="1"/>
  <c r="E591" i="107"/>
  <c r="E592" i="107"/>
  <c r="F592" i="107" s="1"/>
  <c r="G592" i="107" s="1"/>
  <c r="E593" i="107"/>
  <c r="E594" i="107"/>
  <c r="F594" i="107" s="1"/>
  <c r="G594" i="107" s="1"/>
  <c r="E595" i="107"/>
  <c r="E596" i="107"/>
  <c r="F596" i="107" s="1"/>
  <c r="G596" i="107" s="1"/>
  <c r="E597" i="107"/>
  <c r="E598" i="107"/>
  <c r="F598" i="107" s="1"/>
  <c r="G598" i="107" s="1"/>
  <c r="E599" i="107"/>
  <c r="E600" i="107"/>
  <c r="F600" i="107" s="1"/>
  <c r="G600" i="107" s="1"/>
  <c r="E601" i="107"/>
  <c r="E602" i="107"/>
  <c r="F602" i="107" s="1"/>
  <c r="G602" i="107" s="1"/>
  <c r="E603" i="107"/>
  <c r="E604" i="107"/>
  <c r="F604" i="107" s="1"/>
  <c r="G604" i="107" s="1"/>
  <c r="E605" i="107"/>
  <c r="E606" i="107"/>
  <c r="F606" i="107" s="1"/>
  <c r="G606" i="107" s="1"/>
  <c r="E607" i="107"/>
  <c r="E608" i="107"/>
  <c r="F608" i="107" s="1"/>
  <c r="G608" i="107" s="1"/>
  <c r="E609" i="107"/>
  <c r="E610" i="107"/>
  <c r="F610" i="107" s="1"/>
  <c r="G610" i="107" s="1"/>
  <c r="F11" i="107"/>
  <c r="G11" i="107" s="1"/>
  <c r="F536" i="107" l="1"/>
  <c r="G536" i="107" s="1"/>
  <c r="F528" i="107"/>
  <c r="G528" i="107" s="1"/>
  <c r="F520" i="107"/>
  <c r="G520" i="107" s="1"/>
  <c r="F512" i="107"/>
  <c r="G512" i="107" s="1"/>
  <c r="F504" i="107"/>
  <c r="G504" i="107" s="1"/>
  <c r="F496" i="107"/>
  <c r="G496" i="107" s="1"/>
  <c r="F488" i="107"/>
  <c r="G488" i="107" s="1"/>
  <c r="F480" i="107"/>
  <c r="G480" i="107" s="1"/>
  <c r="F472" i="107"/>
  <c r="G472" i="107" s="1"/>
  <c r="F464" i="107"/>
  <c r="G464" i="107" s="1"/>
  <c r="F456" i="107"/>
  <c r="G456" i="107" s="1"/>
  <c r="F448" i="107"/>
  <c r="G448" i="107" s="1"/>
  <c r="F440" i="107"/>
  <c r="G440" i="107" s="1"/>
  <c r="F432" i="107"/>
  <c r="G432" i="107" s="1"/>
  <c r="F424" i="107"/>
  <c r="G424" i="107" s="1"/>
  <c r="F416" i="107"/>
  <c r="G416" i="107" s="1"/>
  <c r="F408" i="107"/>
  <c r="G408" i="107" s="1"/>
  <c r="F400" i="107"/>
  <c r="G400" i="107" s="1"/>
  <c r="F392" i="107"/>
  <c r="G392" i="107" s="1"/>
  <c r="F380" i="107"/>
  <c r="G380" i="107" s="1"/>
  <c r="F360" i="107"/>
  <c r="G360" i="107" s="1"/>
  <c r="F264" i="107"/>
  <c r="G264" i="107" s="1"/>
  <c r="F599" i="107"/>
  <c r="G599" i="107" s="1"/>
  <c r="F591" i="107"/>
  <c r="G591" i="107" s="1"/>
  <c r="F583" i="107"/>
  <c r="G583" i="107" s="1"/>
  <c r="F575" i="107"/>
  <c r="G575" i="107" s="1"/>
  <c r="F563" i="107"/>
  <c r="G563" i="107" s="1"/>
  <c r="F555" i="107"/>
  <c r="G555" i="107" s="1"/>
  <c r="F543" i="107"/>
  <c r="G543" i="107" s="1"/>
  <c r="F538" i="107"/>
  <c r="G538" i="107" s="1"/>
  <c r="F530" i="107"/>
  <c r="G530" i="107" s="1"/>
  <c r="F522" i="107"/>
  <c r="G522" i="107" s="1"/>
  <c r="F514" i="107"/>
  <c r="G514" i="107" s="1"/>
  <c r="F506" i="107"/>
  <c r="G506" i="107" s="1"/>
  <c r="F498" i="107"/>
  <c r="G498" i="107" s="1"/>
  <c r="F490" i="107"/>
  <c r="G490" i="107" s="1"/>
  <c r="F482" i="107"/>
  <c r="G482" i="107" s="1"/>
  <c r="F474" i="107"/>
  <c r="G474" i="107" s="1"/>
  <c r="F466" i="107"/>
  <c r="G466" i="107" s="1"/>
  <c r="F458" i="107"/>
  <c r="G458" i="107" s="1"/>
  <c r="F450" i="107"/>
  <c r="G450" i="107" s="1"/>
  <c r="F442" i="107"/>
  <c r="G442" i="107" s="1"/>
  <c r="F434" i="107"/>
  <c r="G434" i="107" s="1"/>
  <c r="F422" i="107"/>
  <c r="G422" i="107" s="1"/>
  <c r="F414" i="107"/>
  <c r="G414" i="107" s="1"/>
  <c r="F406" i="107"/>
  <c r="G406" i="107" s="1"/>
  <c r="F390" i="107"/>
  <c r="G390" i="107" s="1"/>
  <c r="F382" i="107"/>
  <c r="G382" i="107" s="1"/>
  <c r="F374" i="107"/>
  <c r="G374" i="107" s="1"/>
  <c r="F358" i="107"/>
  <c r="G358" i="107" s="1"/>
  <c r="F350" i="107"/>
  <c r="G350" i="107" s="1"/>
  <c r="F342" i="107"/>
  <c r="G342" i="107" s="1"/>
  <c r="F326" i="107"/>
  <c r="G326" i="107" s="1"/>
  <c r="F318" i="107"/>
  <c r="G318" i="107" s="1"/>
  <c r="F310" i="107"/>
  <c r="G310" i="107" s="1"/>
  <c r="F306" i="107"/>
  <c r="G306" i="107" s="1"/>
  <c r="F298" i="107"/>
  <c r="G298" i="107" s="1"/>
  <c r="F290" i="107"/>
  <c r="G290" i="107" s="1"/>
  <c r="F286" i="107"/>
  <c r="G286" i="107" s="1"/>
  <c r="F282" i="107"/>
  <c r="G282" i="107" s="1"/>
  <c r="F278" i="107"/>
  <c r="G278" i="107" s="1"/>
  <c r="F274" i="107"/>
  <c r="G274" i="107" s="1"/>
  <c r="F270" i="107"/>
  <c r="G270" i="107" s="1"/>
  <c r="F266" i="107"/>
  <c r="G266" i="107" s="1"/>
  <c r="F258" i="107"/>
  <c r="G258" i="107" s="1"/>
  <c r="F254" i="107"/>
  <c r="G254" i="107" s="1"/>
  <c r="F250" i="107"/>
  <c r="G250" i="107" s="1"/>
  <c r="F246" i="107"/>
  <c r="G246" i="107" s="1"/>
  <c r="F242" i="107"/>
  <c r="G242" i="107" s="1"/>
  <c r="F234" i="107"/>
  <c r="G234" i="107" s="1"/>
  <c r="F226" i="107"/>
  <c r="G226" i="107" s="1"/>
  <c r="F222" i="107"/>
  <c r="G222" i="107" s="1"/>
  <c r="F218" i="107"/>
  <c r="G218" i="107" s="1"/>
  <c r="F214" i="107"/>
  <c r="G214" i="107" s="1"/>
  <c r="F210" i="107"/>
  <c r="G210" i="107" s="1"/>
  <c r="F206" i="107"/>
  <c r="G206" i="107" s="1"/>
  <c r="F202" i="107"/>
  <c r="G202" i="107" s="1"/>
  <c r="F540" i="107"/>
  <c r="G540" i="107" s="1"/>
  <c r="F532" i="107"/>
  <c r="G532" i="107" s="1"/>
  <c r="F524" i="107"/>
  <c r="G524" i="107" s="1"/>
  <c r="F516" i="107"/>
  <c r="G516" i="107" s="1"/>
  <c r="F508" i="107"/>
  <c r="G508" i="107" s="1"/>
  <c r="F500" i="107"/>
  <c r="G500" i="107" s="1"/>
  <c r="F492" i="107"/>
  <c r="G492" i="107" s="1"/>
  <c r="F484" i="107"/>
  <c r="G484" i="107" s="1"/>
  <c r="F476" i="107"/>
  <c r="G476" i="107" s="1"/>
  <c r="F468" i="107"/>
  <c r="G468" i="107" s="1"/>
  <c r="F460" i="107"/>
  <c r="G460" i="107" s="1"/>
  <c r="F452" i="107"/>
  <c r="G452" i="107" s="1"/>
  <c r="F444" i="107"/>
  <c r="G444" i="107" s="1"/>
  <c r="F436" i="107"/>
  <c r="G436" i="107" s="1"/>
  <c r="F428" i="107"/>
  <c r="G428" i="107" s="1"/>
  <c r="F420" i="107"/>
  <c r="G420" i="107" s="1"/>
  <c r="F412" i="107"/>
  <c r="G412" i="107" s="1"/>
  <c r="F396" i="107"/>
  <c r="G396" i="107" s="1"/>
  <c r="F388" i="107"/>
  <c r="G388" i="107" s="1"/>
  <c r="F384" i="107"/>
  <c r="G384" i="107" s="1"/>
  <c r="F376" i="107"/>
  <c r="G376" i="107" s="1"/>
  <c r="F368" i="107"/>
  <c r="G368" i="107" s="1"/>
  <c r="F364" i="107"/>
  <c r="G364" i="107" s="1"/>
  <c r="F356" i="107"/>
  <c r="G356" i="107" s="1"/>
  <c r="F352" i="107"/>
  <c r="G352" i="107" s="1"/>
  <c r="F348" i="107"/>
  <c r="G348" i="107" s="1"/>
  <c r="F344" i="107"/>
  <c r="G344" i="107" s="1"/>
  <c r="F336" i="107"/>
  <c r="G336" i="107" s="1"/>
  <c r="F332" i="107"/>
  <c r="G332" i="107" s="1"/>
  <c r="F328" i="107"/>
  <c r="G328" i="107" s="1"/>
  <c r="F324" i="107"/>
  <c r="G324" i="107" s="1"/>
  <c r="F320" i="107"/>
  <c r="G320" i="107" s="1"/>
  <c r="F316" i="107"/>
  <c r="G316" i="107" s="1"/>
  <c r="F312" i="107"/>
  <c r="G312" i="107" s="1"/>
  <c r="F304" i="107"/>
  <c r="G304" i="107" s="1"/>
  <c r="F280" i="107"/>
  <c r="G280" i="107" s="1"/>
  <c r="F272" i="107"/>
  <c r="G272" i="107" s="1"/>
  <c r="F248" i="107"/>
  <c r="G248" i="107" s="1"/>
  <c r="F240" i="107"/>
  <c r="G240" i="107" s="1"/>
  <c r="F216" i="107"/>
  <c r="G216" i="107" s="1"/>
  <c r="F208" i="107"/>
  <c r="G208" i="107" s="1"/>
  <c r="F607" i="107"/>
  <c r="G607" i="107" s="1"/>
  <c r="F603" i="107"/>
  <c r="G603" i="107" s="1"/>
  <c r="F595" i="107"/>
  <c r="G595" i="107" s="1"/>
  <c r="F587" i="107"/>
  <c r="G587" i="107" s="1"/>
  <c r="F579" i="107"/>
  <c r="G579" i="107" s="1"/>
  <c r="F571" i="107"/>
  <c r="G571" i="107" s="1"/>
  <c r="F567" i="107"/>
  <c r="G567" i="107" s="1"/>
  <c r="F559" i="107"/>
  <c r="G559" i="107" s="1"/>
  <c r="F551" i="107"/>
  <c r="G551" i="107" s="1"/>
  <c r="F547" i="107"/>
  <c r="G547" i="107" s="1"/>
  <c r="F609" i="107"/>
  <c r="G609" i="107" s="1"/>
  <c r="F605" i="107"/>
  <c r="G605" i="107" s="1"/>
  <c r="F601" i="107"/>
  <c r="G601" i="107" s="1"/>
  <c r="F597" i="107"/>
  <c r="G597" i="107" s="1"/>
  <c r="F593" i="107"/>
  <c r="G593" i="107" s="1"/>
  <c r="F589" i="107"/>
  <c r="G589" i="107" s="1"/>
  <c r="F585" i="107"/>
  <c r="G585" i="107" s="1"/>
  <c r="F581" i="107"/>
  <c r="G581" i="107" s="1"/>
  <c r="F577" i="107"/>
  <c r="G577" i="107" s="1"/>
  <c r="F573" i="107"/>
  <c r="G573" i="107" s="1"/>
  <c r="F569" i="107"/>
  <c r="G569" i="107" s="1"/>
  <c r="F565" i="107"/>
  <c r="G565" i="107" s="1"/>
  <c r="F561" i="107"/>
  <c r="G561" i="107" s="1"/>
  <c r="F557" i="107"/>
  <c r="G557" i="107" s="1"/>
  <c r="F553" i="107"/>
  <c r="G553" i="107" s="1"/>
  <c r="F549" i="107"/>
  <c r="G549" i="107" s="1"/>
  <c r="F545" i="107"/>
  <c r="G545" i="107" s="1"/>
  <c r="F184" i="107"/>
  <c r="G184" i="107" s="1"/>
  <c r="F176" i="107"/>
  <c r="G176" i="107" s="1"/>
  <c r="F160" i="107"/>
  <c r="G160" i="107" s="1"/>
  <c r="F128" i="107"/>
  <c r="G128" i="107" s="1"/>
  <c r="F112" i="107"/>
  <c r="G112" i="107" s="1"/>
  <c r="F96" i="107"/>
  <c r="G96" i="107" s="1"/>
  <c r="F88" i="107"/>
  <c r="G88" i="107" s="1"/>
  <c r="F64" i="107"/>
  <c r="G64" i="107" s="1"/>
  <c r="F56" i="107"/>
  <c r="G56" i="107" s="1"/>
  <c r="F48" i="107"/>
  <c r="G48" i="107" s="1"/>
  <c r="F170" i="107"/>
  <c r="G170" i="107" s="1"/>
  <c r="F166" i="107"/>
  <c r="G166" i="107" s="1"/>
  <c r="F162" i="107"/>
  <c r="G162" i="107" s="1"/>
  <c r="F154" i="107"/>
  <c r="G154" i="107" s="1"/>
  <c r="F146" i="107"/>
  <c r="G146" i="107" s="1"/>
  <c r="F138" i="107"/>
  <c r="G138" i="107" s="1"/>
  <c r="F134" i="107"/>
  <c r="G134" i="107" s="1"/>
  <c r="F130" i="107"/>
  <c r="G130" i="107" s="1"/>
  <c r="F126" i="107"/>
  <c r="G126" i="107" s="1"/>
  <c r="F122" i="107"/>
  <c r="G122" i="107" s="1"/>
  <c r="F118" i="107"/>
  <c r="G118" i="107" s="1"/>
  <c r="F114" i="107"/>
  <c r="G114" i="107" s="1"/>
  <c r="F106" i="107"/>
  <c r="G106" i="107" s="1"/>
  <c r="F102" i="107"/>
  <c r="G102" i="107" s="1"/>
  <c r="F98" i="107"/>
  <c r="G98" i="107" s="1"/>
  <c r="F94" i="107"/>
  <c r="G94" i="107" s="1"/>
  <c r="F90" i="107"/>
  <c r="G90" i="107" s="1"/>
  <c r="F82" i="107"/>
  <c r="G82" i="107" s="1"/>
  <c r="F74" i="107"/>
  <c r="G74" i="107" s="1"/>
  <c r="F70" i="107"/>
  <c r="G70" i="107" s="1"/>
  <c r="F66" i="107"/>
  <c r="G66" i="107" s="1"/>
  <c r="F62" i="107"/>
  <c r="G62" i="107" s="1"/>
  <c r="F58" i="107"/>
  <c r="G58" i="107" s="1"/>
  <c r="F54" i="107"/>
  <c r="G54" i="107" s="1"/>
  <c r="F50" i="107"/>
  <c r="G50" i="107" s="1"/>
  <c r="F42" i="107"/>
  <c r="G42" i="107" s="1"/>
  <c r="F38" i="107"/>
  <c r="G38" i="107" s="1"/>
  <c r="F34" i="107"/>
  <c r="G34" i="107" s="1"/>
  <c r="F26" i="107"/>
  <c r="G26" i="107" s="1"/>
  <c r="F18" i="107"/>
  <c r="G18" i="107" s="1"/>
  <c r="F14" i="107"/>
  <c r="G14" i="107" s="1"/>
  <c r="F200" i="107"/>
  <c r="G200" i="107" s="1"/>
  <c r="F120" i="107"/>
  <c r="G120" i="107" s="1"/>
  <c r="F32" i="107"/>
  <c r="G32" i="107" s="1"/>
  <c r="F194" i="107"/>
  <c r="G194" i="107" s="1"/>
  <c r="F190" i="107"/>
  <c r="G190" i="107" s="1"/>
  <c r="F186" i="107"/>
  <c r="G186" i="107" s="1"/>
  <c r="F182" i="107"/>
  <c r="G182" i="107" s="1"/>
  <c r="F178" i="107"/>
  <c r="G178" i="107" s="1"/>
  <c r="B610" i="107"/>
  <c r="B609" i="107"/>
  <c r="B608" i="107"/>
  <c r="B607" i="107"/>
  <c r="B606" i="107"/>
  <c r="B605" i="107"/>
  <c r="B604" i="107"/>
  <c r="B603" i="107"/>
  <c r="B602" i="107"/>
  <c r="B601" i="107"/>
  <c r="B600" i="107"/>
  <c r="B599" i="107"/>
  <c r="B598" i="107"/>
  <c r="B597" i="107"/>
  <c r="B596" i="107"/>
  <c r="B595" i="107"/>
  <c r="B594" i="107"/>
  <c r="B593" i="107"/>
  <c r="B592" i="107"/>
  <c r="B591" i="107"/>
  <c r="B590" i="107"/>
  <c r="B589" i="107"/>
  <c r="B588" i="107"/>
  <c r="B587" i="107"/>
  <c r="B586" i="107"/>
  <c r="B585" i="107"/>
  <c r="B584" i="107"/>
  <c r="B583" i="107"/>
  <c r="B582" i="107"/>
  <c r="B581" i="107"/>
  <c r="B580" i="107"/>
  <c r="B579" i="107"/>
  <c r="B578" i="107"/>
  <c r="B577" i="107"/>
  <c r="B576" i="107"/>
  <c r="B575" i="107"/>
  <c r="B574" i="107"/>
  <c r="B573" i="107"/>
  <c r="B572" i="107"/>
  <c r="B571" i="107"/>
  <c r="B570" i="107"/>
  <c r="B569" i="107"/>
  <c r="B568" i="107"/>
  <c r="B567" i="107"/>
  <c r="B566" i="107"/>
  <c r="B565" i="107"/>
  <c r="B564" i="107"/>
  <c r="B563" i="107"/>
  <c r="B562" i="107"/>
  <c r="B561" i="107"/>
  <c r="B560" i="107"/>
  <c r="B559" i="107"/>
  <c r="B558" i="107"/>
  <c r="B557" i="107"/>
  <c r="B556" i="107"/>
  <c r="B555" i="107"/>
  <c r="B554" i="107"/>
  <c r="B553" i="107"/>
  <c r="B552" i="107"/>
  <c r="B551" i="107"/>
  <c r="B550" i="107"/>
  <c r="B549" i="107"/>
  <c r="B548" i="107"/>
  <c r="B547" i="107"/>
  <c r="B546" i="107"/>
  <c r="B545" i="107"/>
  <c r="B544" i="107"/>
  <c r="B543" i="107"/>
  <c r="B542" i="107"/>
  <c r="B541" i="107"/>
  <c r="B540" i="107"/>
  <c r="B539" i="107"/>
  <c r="B538" i="107"/>
  <c r="B537" i="107"/>
  <c r="B536" i="107"/>
  <c r="B535" i="107"/>
  <c r="B534" i="107"/>
  <c r="B533" i="107"/>
  <c r="B532" i="107"/>
  <c r="B531" i="107"/>
  <c r="B530" i="107"/>
  <c r="B529" i="107"/>
  <c r="B528" i="107"/>
  <c r="B527" i="107"/>
  <c r="B526" i="107"/>
  <c r="B525" i="107"/>
  <c r="B524" i="107"/>
  <c r="B523" i="107"/>
  <c r="B522" i="107"/>
  <c r="B521" i="107"/>
  <c r="B520" i="107"/>
  <c r="B519" i="107"/>
  <c r="B518" i="107"/>
  <c r="B517" i="107"/>
  <c r="B516" i="107"/>
  <c r="B515" i="107"/>
  <c r="B514" i="107"/>
  <c r="B513" i="107"/>
  <c r="B512" i="107"/>
  <c r="B511" i="107"/>
  <c r="B510" i="107"/>
  <c r="B509" i="107"/>
  <c r="B508" i="107"/>
  <c r="B507" i="107"/>
  <c r="B506" i="107"/>
  <c r="B505" i="107"/>
  <c r="B504" i="107"/>
  <c r="B503" i="107"/>
  <c r="B502" i="107"/>
  <c r="B501" i="107"/>
  <c r="B500" i="107"/>
  <c r="B499" i="107"/>
  <c r="B498" i="107"/>
  <c r="B497" i="107"/>
  <c r="B496" i="107"/>
  <c r="B495" i="107"/>
  <c r="B494" i="107"/>
  <c r="B493" i="107"/>
  <c r="B492" i="107"/>
  <c r="B491" i="107"/>
  <c r="B490" i="107"/>
  <c r="B489" i="107"/>
  <c r="B488" i="107"/>
  <c r="B487" i="107"/>
  <c r="B486" i="107"/>
  <c r="B485" i="107"/>
  <c r="B484" i="107"/>
  <c r="B483" i="107"/>
  <c r="B482" i="107"/>
  <c r="B481" i="107"/>
  <c r="B480" i="107"/>
  <c r="B479" i="107"/>
  <c r="B478" i="107"/>
  <c r="B477" i="107"/>
  <c r="B476" i="107"/>
  <c r="B475" i="107"/>
  <c r="B474" i="107"/>
  <c r="B473" i="107"/>
  <c r="B472" i="107"/>
  <c r="B471" i="107"/>
  <c r="B470" i="107"/>
  <c r="B469" i="107"/>
  <c r="B468" i="107"/>
  <c r="B467" i="107"/>
  <c r="B466" i="107"/>
  <c r="B465" i="107"/>
  <c r="B464" i="107"/>
  <c r="B463" i="107"/>
  <c r="B462" i="107"/>
  <c r="B461" i="107"/>
  <c r="B460" i="107"/>
  <c r="B459" i="107"/>
  <c r="B458" i="107"/>
  <c r="B457" i="107"/>
  <c r="B456" i="107"/>
  <c r="B455" i="107"/>
  <c r="B454" i="107"/>
  <c r="B453" i="107"/>
  <c r="B452" i="107"/>
  <c r="B451" i="107"/>
  <c r="B450" i="107"/>
  <c r="B449" i="107"/>
  <c r="B448" i="107"/>
  <c r="B447" i="107"/>
  <c r="B446" i="107"/>
  <c r="B445" i="107"/>
  <c r="B444" i="107"/>
  <c r="B443" i="107"/>
  <c r="B442" i="107"/>
  <c r="B441" i="107"/>
  <c r="B440" i="107"/>
  <c r="B439" i="107"/>
  <c r="B438" i="107"/>
  <c r="B437" i="107"/>
  <c r="B436" i="107"/>
  <c r="B435" i="107"/>
  <c r="B434" i="107"/>
  <c r="B433" i="107"/>
  <c r="B432" i="107"/>
  <c r="B431" i="107"/>
  <c r="B430" i="107"/>
  <c r="B429" i="107"/>
  <c r="B428" i="107"/>
  <c r="B427" i="107"/>
  <c r="B426" i="107"/>
  <c r="B425" i="107"/>
  <c r="B424" i="107"/>
  <c r="B423" i="107"/>
  <c r="B422" i="107"/>
  <c r="B421" i="107"/>
  <c r="B420" i="107"/>
  <c r="B419" i="107"/>
  <c r="B418" i="107"/>
  <c r="B417" i="107"/>
  <c r="B416" i="107"/>
  <c r="B415" i="107"/>
  <c r="B414" i="107"/>
  <c r="B413" i="107"/>
  <c r="B412" i="107"/>
  <c r="B411" i="107"/>
  <c r="B410" i="107"/>
  <c r="B409" i="107"/>
  <c r="B408" i="107"/>
  <c r="B407" i="107"/>
  <c r="B406" i="107"/>
  <c r="B405" i="107"/>
  <c r="B404" i="107"/>
  <c r="B403" i="107"/>
  <c r="B402" i="107"/>
  <c r="B401" i="107"/>
  <c r="B400" i="107"/>
  <c r="B399" i="107"/>
  <c r="B398" i="107"/>
  <c r="B397" i="107"/>
  <c r="B396" i="107"/>
  <c r="B395" i="107"/>
  <c r="B394" i="107"/>
  <c r="B393" i="107"/>
  <c r="B392" i="107"/>
  <c r="B391" i="107"/>
  <c r="B390" i="107"/>
  <c r="B389" i="107"/>
  <c r="B388" i="107"/>
  <c r="B387" i="107"/>
  <c r="B386" i="107"/>
  <c r="B385" i="107"/>
  <c r="B384" i="107"/>
  <c r="B383" i="107"/>
  <c r="B382" i="107"/>
  <c r="B381" i="107"/>
  <c r="B380" i="107"/>
  <c r="B379" i="107"/>
  <c r="B378" i="107"/>
  <c r="B377" i="107"/>
  <c r="B376" i="107"/>
  <c r="B375" i="107"/>
  <c r="B374" i="107"/>
  <c r="B373" i="107"/>
  <c r="B372" i="107"/>
  <c r="B371" i="107"/>
  <c r="B370" i="107"/>
  <c r="B369" i="107"/>
  <c r="B368" i="107"/>
  <c r="B367" i="107"/>
  <c r="B366" i="107"/>
  <c r="B365" i="107"/>
  <c r="B364" i="107"/>
  <c r="B363" i="107"/>
  <c r="B362" i="107"/>
  <c r="B361" i="107"/>
  <c r="B360" i="107"/>
  <c r="B359" i="107"/>
  <c r="B358" i="107"/>
  <c r="B357" i="107"/>
  <c r="B356" i="107"/>
  <c r="B355" i="107"/>
  <c r="B354" i="107"/>
  <c r="B353" i="107"/>
  <c r="B352" i="107"/>
  <c r="B351" i="107"/>
  <c r="B350" i="107"/>
  <c r="B349" i="107"/>
  <c r="B348" i="107"/>
  <c r="B347" i="107"/>
  <c r="B346" i="107"/>
  <c r="B345" i="107"/>
  <c r="B344" i="107"/>
  <c r="B343" i="107"/>
  <c r="B342" i="107"/>
  <c r="B341" i="107"/>
  <c r="B340" i="107"/>
  <c r="B339" i="107"/>
  <c r="B338" i="107"/>
  <c r="B337" i="107"/>
  <c r="B336" i="107"/>
  <c r="B335" i="107"/>
  <c r="B334" i="107"/>
  <c r="B333" i="107"/>
  <c r="B332" i="107"/>
  <c r="B331" i="107"/>
  <c r="B330" i="107"/>
  <c r="B329" i="107"/>
  <c r="B328" i="107"/>
  <c r="B327" i="107"/>
  <c r="B326" i="107"/>
  <c r="B325" i="107"/>
  <c r="B324" i="107"/>
  <c r="B323" i="107"/>
  <c r="B322" i="107"/>
  <c r="B321" i="107"/>
  <c r="B320" i="107"/>
  <c r="B319" i="107"/>
  <c r="B318" i="107"/>
  <c r="B317" i="107"/>
  <c r="B316" i="107"/>
  <c r="B315" i="107"/>
  <c r="B314" i="107"/>
  <c r="B313" i="107"/>
  <c r="B312" i="107"/>
  <c r="B311" i="107"/>
  <c r="B310" i="107"/>
  <c r="B309" i="107"/>
  <c r="B308" i="107"/>
  <c r="B307" i="107"/>
  <c r="B306" i="107"/>
  <c r="B305" i="107"/>
  <c r="B304" i="107"/>
  <c r="B303" i="107"/>
  <c r="B302" i="107"/>
  <c r="B301" i="107"/>
  <c r="B300" i="107"/>
  <c r="B299" i="107"/>
  <c r="B298" i="107"/>
  <c r="B297" i="107"/>
  <c r="B296" i="107"/>
  <c r="B295" i="107"/>
  <c r="B294" i="107"/>
  <c r="B293" i="107"/>
  <c r="B292" i="107"/>
  <c r="B291" i="107"/>
  <c r="B290" i="107"/>
  <c r="B289" i="107"/>
  <c r="B288" i="107"/>
  <c r="B287" i="107"/>
  <c r="B286" i="107"/>
  <c r="B285" i="107"/>
  <c r="B284" i="107"/>
  <c r="B283" i="107"/>
  <c r="B282" i="107"/>
  <c r="B281" i="107"/>
  <c r="B280" i="107"/>
  <c r="B279" i="107"/>
  <c r="B278" i="107"/>
  <c r="B277" i="107"/>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B77" i="107"/>
  <c r="B76" i="107"/>
  <c r="B75" i="107"/>
  <c r="B74" i="107"/>
  <c r="B73" i="107"/>
  <c r="B72" i="107"/>
  <c r="B71" i="107"/>
  <c r="B70" i="107"/>
  <c r="B69" i="107"/>
  <c r="B68" i="107"/>
  <c r="B67" i="107"/>
  <c r="B66" i="107"/>
  <c r="B65" i="107"/>
  <c r="B64" i="107"/>
  <c r="B63" i="107"/>
  <c r="B62" i="107"/>
  <c r="B61" i="107"/>
  <c r="B60" i="107"/>
  <c r="B59" i="107"/>
  <c r="B58" i="107"/>
  <c r="B57" i="107"/>
  <c r="B56" i="107"/>
  <c r="B55" i="107"/>
  <c r="B54" i="107"/>
  <c r="B53" i="107"/>
  <c r="B52" i="107"/>
  <c r="B51" i="107"/>
  <c r="B50" i="107"/>
  <c r="B49" i="107"/>
  <c r="B48" i="107"/>
  <c r="B47" i="107"/>
  <c r="B46" i="107"/>
  <c r="B45" i="107"/>
  <c r="B44" i="107"/>
  <c r="B43" i="107"/>
  <c r="B42" i="107"/>
  <c r="B41" i="107"/>
  <c r="B40" i="107"/>
  <c r="B39" i="107"/>
  <c r="B38" i="107"/>
  <c r="B37" i="107"/>
  <c r="B36" i="107"/>
  <c r="B35" i="107"/>
  <c r="B34" i="107"/>
  <c r="B33" i="107"/>
  <c r="B32" i="107"/>
  <c r="B31" i="107"/>
  <c r="B30" i="107"/>
  <c r="B29" i="107"/>
  <c r="B28" i="107"/>
  <c r="B27" i="107"/>
  <c r="B26" i="107"/>
  <c r="B25" i="107"/>
  <c r="B24" i="107"/>
  <c r="B23" i="107"/>
  <c r="B22" i="107"/>
  <c r="B21" i="107"/>
  <c r="B20" i="107"/>
  <c r="B19" i="107"/>
  <c r="B18" i="107"/>
  <c r="B17" i="107"/>
  <c r="B16" i="107"/>
  <c r="B15" i="107"/>
  <c r="B14" i="107"/>
  <c r="B13" i="107"/>
  <c r="B12" i="107"/>
  <c r="AB11" i="107"/>
  <c r="AH11" i="107" s="1"/>
  <c r="B11" i="107"/>
  <c r="AB10" i="107"/>
  <c r="AH10" i="107" s="1"/>
  <c r="AB9" i="107"/>
  <c r="AH9" i="107" s="1"/>
  <c r="AB8" i="107"/>
  <c r="AH8" i="107" s="1"/>
  <c r="AB7" i="107"/>
  <c r="AH7" i="107" s="1"/>
  <c r="AB6" i="107"/>
  <c r="AH6" i="107" s="1"/>
  <c r="AB5" i="107"/>
  <c r="AH5" i="107" s="1"/>
  <c r="AB4" i="107"/>
  <c r="AH4" i="107" s="1"/>
  <c r="J7" i="107"/>
  <c r="J5" i="107"/>
  <c r="J8" i="107"/>
  <c r="J6" i="107"/>
  <c r="H11" i="107"/>
  <c r="Z40" i="107" l="1"/>
  <c r="Z41" i="107"/>
  <c r="Z35" i="107"/>
  <c r="Z36" i="107"/>
  <c r="Z30" i="107"/>
  <c r="Z31" i="107"/>
  <c r="Z25" i="107"/>
  <c r="Z26" i="107"/>
  <c r="Z20" i="107"/>
  <c r="Z21" i="107"/>
  <c r="Z15" i="107"/>
  <c r="Z16" i="107"/>
  <c r="Z10" i="107"/>
  <c r="Z11" i="107"/>
  <c r="Z6" i="107"/>
  <c r="Z5" i="107"/>
  <c r="AD9" i="106"/>
  <c r="C6" i="39" l="1"/>
  <c r="B8" i="39"/>
  <c r="AD11" i="106"/>
  <c r="AD10" i="106"/>
  <c r="AD8" i="106"/>
  <c r="AD7" i="106"/>
  <c r="AD6" i="106"/>
  <c r="AD5" i="106"/>
  <c r="AD4" i="106"/>
  <c r="AC4" i="106"/>
  <c r="AC5" i="106"/>
  <c r="AC6" i="106"/>
  <c r="AC7" i="106"/>
  <c r="AC8" i="106"/>
  <c r="AC9" i="106"/>
  <c r="AC10" i="106"/>
  <c r="AC11" i="106"/>
  <c r="AF11" i="106"/>
  <c r="AE11" i="106"/>
  <c r="AF10" i="106"/>
  <c r="AE10" i="106"/>
  <c r="AE9" i="106"/>
  <c r="AF8" i="106"/>
  <c r="AE8" i="106"/>
  <c r="AF7" i="106"/>
  <c r="AE7" i="106"/>
  <c r="AF6" i="106"/>
  <c r="AE6" i="106"/>
  <c r="AF5" i="106"/>
  <c r="AE5" i="106"/>
  <c r="AF4" i="106"/>
  <c r="AE4" i="106"/>
  <c r="AI7" i="107" l="1"/>
  <c r="AI5" i="107"/>
  <c r="AI4" i="107"/>
  <c r="AI9" i="107"/>
  <c r="AI6" i="107"/>
  <c r="AI8" i="107"/>
  <c r="AI10" i="107"/>
  <c r="AI11" i="107"/>
  <c r="AI11" i="106"/>
  <c r="AL11" i="106" s="1"/>
  <c r="AH11" i="106"/>
  <c r="AK11" i="106" s="1"/>
  <c r="AG11" i="106"/>
  <c r="AJ11" i="106" s="1"/>
  <c r="AG10" i="106"/>
  <c r="AJ10" i="106" s="1"/>
  <c r="AI9" i="106"/>
  <c r="AL9" i="106" s="1"/>
  <c r="AG9" i="106"/>
  <c r="AJ9" i="106" s="1"/>
  <c r="AH6" i="106"/>
  <c r="AK6" i="106" s="1"/>
  <c r="AH10" i="106"/>
  <c r="AK10" i="106" s="1"/>
  <c r="AI10" i="106"/>
  <c r="AL10" i="106" s="1"/>
  <c r="AH9" i="106"/>
  <c r="AK9" i="106" s="1"/>
  <c r="AG8" i="106"/>
  <c r="AJ8" i="106" s="1"/>
  <c r="AI8" i="106"/>
  <c r="AL8" i="106" s="1"/>
  <c r="AH8" i="106"/>
  <c r="AK8" i="106" s="1"/>
  <c r="AI7" i="106"/>
  <c r="AL7" i="106" s="1"/>
  <c r="AH7" i="106"/>
  <c r="AK7" i="106" s="1"/>
  <c r="AG7" i="106"/>
  <c r="AJ7" i="106" s="1"/>
  <c r="AI6" i="106"/>
  <c r="AL6" i="106" s="1"/>
  <c r="AG6" i="106"/>
  <c r="AJ6" i="106" s="1"/>
  <c r="AH5" i="106"/>
  <c r="AK5" i="106" s="1"/>
  <c r="AI5" i="106"/>
  <c r="AL5" i="106" s="1"/>
  <c r="AG5" i="106"/>
  <c r="AJ5" i="106" s="1"/>
  <c r="AI4" i="106"/>
  <c r="AL4" i="106" s="1"/>
  <c r="AG4" i="106"/>
  <c r="AJ4" i="106" s="1"/>
  <c r="AH4" i="106"/>
  <c r="AK4" i="106" s="1"/>
  <c r="E12" i="106"/>
  <c r="E13" i="106"/>
  <c r="E14" i="106"/>
  <c r="E15" i="106"/>
  <c r="E16" i="106"/>
  <c r="E17" i="106"/>
  <c r="E18" i="106"/>
  <c r="E19" i="106"/>
  <c r="E20" i="106"/>
  <c r="E21" i="106"/>
  <c r="E22" i="106"/>
  <c r="E23" i="106"/>
  <c r="E24" i="106"/>
  <c r="E25" i="106"/>
  <c r="E26" i="106"/>
  <c r="E27" i="106"/>
  <c r="E28" i="106"/>
  <c r="E29" i="106"/>
  <c r="E30" i="106"/>
  <c r="E31" i="106"/>
  <c r="E32" i="106"/>
  <c r="E33" i="106"/>
  <c r="E34" i="106"/>
  <c r="E35" i="106"/>
  <c r="E36" i="106"/>
  <c r="E37" i="106"/>
  <c r="E38" i="106"/>
  <c r="E39" i="106"/>
  <c r="E40" i="106"/>
  <c r="E41" i="106"/>
  <c r="E42" i="106"/>
  <c r="E43" i="106"/>
  <c r="E44" i="106"/>
  <c r="E45" i="106"/>
  <c r="E46" i="106"/>
  <c r="E47" i="106"/>
  <c r="E48" i="106"/>
  <c r="E49" i="106"/>
  <c r="E50" i="106"/>
  <c r="E51" i="106"/>
  <c r="E52" i="106"/>
  <c r="E53" i="106"/>
  <c r="E54" i="106"/>
  <c r="E55" i="106"/>
  <c r="E56" i="106"/>
  <c r="E57" i="106"/>
  <c r="E58" i="106"/>
  <c r="E59" i="106"/>
  <c r="E60" i="106"/>
  <c r="E61" i="106"/>
  <c r="E62" i="106"/>
  <c r="E63" i="106"/>
  <c r="E64" i="106"/>
  <c r="E65" i="106"/>
  <c r="E66" i="106"/>
  <c r="E67" i="106"/>
  <c r="E68" i="106"/>
  <c r="E69" i="106"/>
  <c r="E70" i="106"/>
  <c r="E71" i="106"/>
  <c r="E72" i="106"/>
  <c r="E73" i="106"/>
  <c r="E74" i="106"/>
  <c r="E75" i="106"/>
  <c r="E76" i="106"/>
  <c r="E77" i="106"/>
  <c r="E78" i="106"/>
  <c r="E79" i="106"/>
  <c r="E80" i="106"/>
  <c r="E81" i="106"/>
  <c r="E82" i="106"/>
  <c r="E83" i="106"/>
  <c r="E84" i="106"/>
  <c r="E85" i="106"/>
  <c r="E86" i="106"/>
  <c r="E87" i="106"/>
  <c r="E88" i="106"/>
  <c r="E89" i="106"/>
  <c r="E90" i="106"/>
  <c r="E91" i="106"/>
  <c r="E92" i="106"/>
  <c r="E93" i="106"/>
  <c r="E94" i="106"/>
  <c r="E95" i="106"/>
  <c r="E96" i="106"/>
  <c r="E97" i="106"/>
  <c r="E98" i="106"/>
  <c r="E99" i="106"/>
  <c r="E100" i="106"/>
  <c r="E101" i="106"/>
  <c r="E102" i="106"/>
  <c r="E103" i="106"/>
  <c r="E104" i="106"/>
  <c r="E105" i="106"/>
  <c r="E106" i="106"/>
  <c r="E107" i="106"/>
  <c r="E108" i="106"/>
  <c r="E109" i="106"/>
  <c r="E110" i="106"/>
  <c r="E111" i="106"/>
  <c r="E112" i="106"/>
  <c r="E113" i="106"/>
  <c r="E114" i="106"/>
  <c r="E115" i="106"/>
  <c r="E116" i="106"/>
  <c r="E117" i="106"/>
  <c r="E118" i="106"/>
  <c r="E119" i="106"/>
  <c r="E120" i="106"/>
  <c r="E121" i="106"/>
  <c r="E122" i="106"/>
  <c r="E123" i="106"/>
  <c r="E124" i="106"/>
  <c r="E125" i="106"/>
  <c r="E126" i="106"/>
  <c r="E127" i="106"/>
  <c r="E128" i="106"/>
  <c r="E129" i="106"/>
  <c r="E130" i="106"/>
  <c r="E131" i="106"/>
  <c r="E132" i="106"/>
  <c r="E133" i="106"/>
  <c r="E134" i="106"/>
  <c r="E135" i="106"/>
  <c r="E136" i="106"/>
  <c r="E137" i="106"/>
  <c r="E138" i="106"/>
  <c r="E139" i="106"/>
  <c r="E140" i="106"/>
  <c r="E141" i="106"/>
  <c r="E142" i="106"/>
  <c r="E143" i="106"/>
  <c r="E144" i="106"/>
  <c r="E145" i="106"/>
  <c r="E146" i="106"/>
  <c r="E147" i="106"/>
  <c r="E148" i="106"/>
  <c r="E149" i="106"/>
  <c r="E150" i="106"/>
  <c r="E151" i="106"/>
  <c r="E152" i="106"/>
  <c r="E153" i="106"/>
  <c r="E154" i="106"/>
  <c r="E155" i="106"/>
  <c r="E156" i="106"/>
  <c r="E157" i="106"/>
  <c r="E158" i="106"/>
  <c r="E159" i="106"/>
  <c r="E160" i="106"/>
  <c r="E161" i="106"/>
  <c r="E162" i="106"/>
  <c r="E163" i="106"/>
  <c r="E164" i="106"/>
  <c r="E165" i="106"/>
  <c r="E166" i="106"/>
  <c r="E167" i="106"/>
  <c r="E168" i="106"/>
  <c r="E169" i="106"/>
  <c r="E170" i="106"/>
  <c r="E171" i="106"/>
  <c r="E172" i="106"/>
  <c r="E173" i="106"/>
  <c r="E174" i="106"/>
  <c r="E175" i="106"/>
  <c r="E176" i="106"/>
  <c r="E177" i="106"/>
  <c r="E178" i="106"/>
  <c r="E179" i="106"/>
  <c r="E180" i="106"/>
  <c r="E181" i="106"/>
  <c r="E182" i="106"/>
  <c r="E183" i="106"/>
  <c r="E184" i="106"/>
  <c r="E185" i="106"/>
  <c r="E186" i="106"/>
  <c r="E187" i="106"/>
  <c r="E188" i="106"/>
  <c r="E189" i="106"/>
  <c r="E190" i="106"/>
  <c r="E191" i="106"/>
  <c r="E192" i="106"/>
  <c r="E193" i="106"/>
  <c r="E194" i="106"/>
  <c r="E195" i="106"/>
  <c r="E196" i="106"/>
  <c r="E197" i="106"/>
  <c r="E198" i="106"/>
  <c r="E199" i="106"/>
  <c r="E200" i="106"/>
  <c r="E201" i="106"/>
  <c r="E202" i="106"/>
  <c r="E203" i="106"/>
  <c r="E204" i="106"/>
  <c r="E205" i="106"/>
  <c r="E206" i="106"/>
  <c r="E207" i="106"/>
  <c r="E208" i="106"/>
  <c r="E209" i="106"/>
  <c r="E210" i="106"/>
  <c r="E211" i="106"/>
  <c r="E212" i="106"/>
  <c r="E213" i="106"/>
  <c r="E214" i="106"/>
  <c r="E215" i="106"/>
  <c r="E216" i="106"/>
  <c r="E217" i="106"/>
  <c r="E218" i="106"/>
  <c r="E219" i="106"/>
  <c r="E220" i="106"/>
  <c r="E221" i="106"/>
  <c r="E222" i="106"/>
  <c r="E223" i="106"/>
  <c r="E224" i="106"/>
  <c r="E225" i="106"/>
  <c r="E226" i="106"/>
  <c r="E227" i="106"/>
  <c r="E228" i="106"/>
  <c r="E229" i="106"/>
  <c r="E230" i="106"/>
  <c r="E231" i="106"/>
  <c r="E232" i="106"/>
  <c r="E233" i="106"/>
  <c r="E234" i="106"/>
  <c r="E235" i="106"/>
  <c r="E236" i="106"/>
  <c r="E237" i="106"/>
  <c r="E238" i="106"/>
  <c r="E239" i="106"/>
  <c r="E240" i="106"/>
  <c r="E241" i="106"/>
  <c r="E242" i="106"/>
  <c r="E243" i="106"/>
  <c r="E244" i="106"/>
  <c r="E245" i="106"/>
  <c r="E246" i="106"/>
  <c r="E247" i="106"/>
  <c r="E248" i="106"/>
  <c r="E249" i="106"/>
  <c r="E250" i="106"/>
  <c r="E251" i="106"/>
  <c r="E252" i="106"/>
  <c r="E253" i="106"/>
  <c r="E254" i="106"/>
  <c r="E255" i="106"/>
  <c r="E256" i="106"/>
  <c r="E257" i="106"/>
  <c r="E258" i="106"/>
  <c r="E259" i="106"/>
  <c r="E260" i="106"/>
  <c r="E261" i="106"/>
  <c r="E262" i="106"/>
  <c r="E263" i="106"/>
  <c r="E264" i="106"/>
  <c r="E265" i="106"/>
  <c r="E266" i="106"/>
  <c r="E267" i="106"/>
  <c r="E268" i="106"/>
  <c r="E269" i="106"/>
  <c r="E270" i="106"/>
  <c r="E271" i="106"/>
  <c r="E272" i="106"/>
  <c r="E273" i="106"/>
  <c r="E274" i="106"/>
  <c r="E275" i="106"/>
  <c r="E276" i="106"/>
  <c r="E277" i="106"/>
  <c r="E278" i="106"/>
  <c r="E279" i="106"/>
  <c r="E280" i="106"/>
  <c r="E281" i="106"/>
  <c r="E282" i="106"/>
  <c r="E283" i="106"/>
  <c r="E284" i="106"/>
  <c r="E285" i="106"/>
  <c r="E286" i="106"/>
  <c r="E287" i="106"/>
  <c r="E288" i="106"/>
  <c r="E289" i="106"/>
  <c r="E290" i="106"/>
  <c r="E291" i="106"/>
  <c r="E292" i="106"/>
  <c r="E293" i="106"/>
  <c r="E294" i="106"/>
  <c r="E295" i="106"/>
  <c r="E296" i="106"/>
  <c r="E297" i="106"/>
  <c r="E298" i="106"/>
  <c r="E299" i="106"/>
  <c r="E300" i="106"/>
  <c r="E301" i="106"/>
  <c r="E302" i="106"/>
  <c r="E303" i="106"/>
  <c r="E304" i="106"/>
  <c r="E305" i="106"/>
  <c r="E306" i="106"/>
  <c r="E307" i="106"/>
  <c r="E308" i="106"/>
  <c r="E309" i="106"/>
  <c r="E310" i="106"/>
  <c r="E311" i="106"/>
  <c r="E312" i="106"/>
  <c r="E313" i="106"/>
  <c r="E314" i="106"/>
  <c r="E315" i="106"/>
  <c r="E316" i="106"/>
  <c r="E317" i="106"/>
  <c r="E318" i="106"/>
  <c r="E319" i="106"/>
  <c r="E320" i="106"/>
  <c r="E321" i="106"/>
  <c r="E322" i="106"/>
  <c r="E323" i="106"/>
  <c r="E324" i="106"/>
  <c r="E325" i="106"/>
  <c r="E326" i="106"/>
  <c r="E327" i="106"/>
  <c r="E328" i="106"/>
  <c r="E329" i="106"/>
  <c r="E330" i="106"/>
  <c r="E331" i="106"/>
  <c r="E332" i="106"/>
  <c r="E333" i="106"/>
  <c r="E334" i="106"/>
  <c r="E335" i="106"/>
  <c r="E336" i="106"/>
  <c r="E337" i="106"/>
  <c r="E338" i="106"/>
  <c r="E339" i="106"/>
  <c r="E340" i="106"/>
  <c r="E341" i="106"/>
  <c r="E342" i="106"/>
  <c r="E343" i="106"/>
  <c r="E344" i="106"/>
  <c r="E345" i="106"/>
  <c r="E346" i="106"/>
  <c r="E347" i="106"/>
  <c r="E348" i="106"/>
  <c r="E349" i="106"/>
  <c r="E350" i="106"/>
  <c r="E351" i="106"/>
  <c r="E352" i="106"/>
  <c r="E353" i="106"/>
  <c r="E354" i="106"/>
  <c r="E355" i="106"/>
  <c r="E356" i="106"/>
  <c r="E357" i="106"/>
  <c r="E358" i="106"/>
  <c r="E359" i="106"/>
  <c r="E360" i="106"/>
  <c r="E361" i="106"/>
  <c r="E362" i="106"/>
  <c r="E363" i="106"/>
  <c r="E364" i="106"/>
  <c r="E365" i="106"/>
  <c r="E366" i="106"/>
  <c r="E367" i="106"/>
  <c r="E368" i="106"/>
  <c r="E369" i="106"/>
  <c r="E370" i="106"/>
  <c r="E371" i="106"/>
  <c r="E372" i="106"/>
  <c r="E373" i="106"/>
  <c r="E374" i="106"/>
  <c r="E375" i="106"/>
  <c r="E376" i="106"/>
  <c r="E377" i="106"/>
  <c r="E378" i="106"/>
  <c r="E379" i="106"/>
  <c r="E380" i="106"/>
  <c r="E381" i="106"/>
  <c r="E382" i="106"/>
  <c r="E383" i="106"/>
  <c r="E384" i="106"/>
  <c r="E385" i="106"/>
  <c r="E386" i="106"/>
  <c r="E387" i="106"/>
  <c r="E388" i="106"/>
  <c r="E389" i="106"/>
  <c r="E390" i="106"/>
  <c r="E391" i="106"/>
  <c r="E392" i="106"/>
  <c r="E393" i="106"/>
  <c r="E394" i="106"/>
  <c r="E395" i="106"/>
  <c r="E396" i="106"/>
  <c r="E397" i="106"/>
  <c r="E398" i="106"/>
  <c r="E399" i="106"/>
  <c r="E400" i="106"/>
  <c r="E401" i="106"/>
  <c r="E402" i="106"/>
  <c r="E403" i="106"/>
  <c r="E404" i="106"/>
  <c r="E405" i="106"/>
  <c r="E406" i="106"/>
  <c r="E407" i="106"/>
  <c r="E408" i="106"/>
  <c r="E409" i="106"/>
  <c r="E410" i="106"/>
  <c r="E411" i="106"/>
  <c r="E412" i="106"/>
  <c r="E413" i="106"/>
  <c r="E414" i="106"/>
  <c r="E415" i="106"/>
  <c r="E416" i="106"/>
  <c r="E417" i="106"/>
  <c r="E418" i="106"/>
  <c r="E419" i="106"/>
  <c r="E420" i="106"/>
  <c r="E421" i="106"/>
  <c r="E422" i="106"/>
  <c r="E423" i="106"/>
  <c r="E424" i="106"/>
  <c r="E425" i="106"/>
  <c r="E426" i="106"/>
  <c r="E427" i="106"/>
  <c r="E428" i="106"/>
  <c r="E429" i="106"/>
  <c r="E430" i="106"/>
  <c r="E431" i="106"/>
  <c r="E432" i="106"/>
  <c r="E433" i="106"/>
  <c r="E434" i="106"/>
  <c r="E435" i="106"/>
  <c r="E436" i="106"/>
  <c r="E437" i="106"/>
  <c r="E438" i="106"/>
  <c r="E439" i="106"/>
  <c r="E440" i="106"/>
  <c r="E441" i="106"/>
  <c r="E442" i="106"/>
  <c r="E443" i="106"/>
  <c r="E444" i="106"/>
  <c r="E445" i="106"/>
  <c r="E446" i="106"/>
  <c r="E447" i="106"/>
  <c r="E448" i="106"/>
  <c r="E449" i="106"/>
  <c r="E450" i="106"/>
  <c r="E451" i="106"/>
  <c r="E452" i="106"/>
  <c r="E453" i="106"/>
  <c r="E454" i="106"/>
  <c r="E455" i="106"/>
  <c r="E456" i="106"/>
  <c r="E457" i="106"/>
  <c r="E458" i="106"/>
  <c r="E459" i="106"/>
  <c r="E460" i="106"/>
  <c r="E461" i="106"/>
  <c r="E462" i="106"/>
  <c r="E463" i="106"/>
  <c r="E464" i="106"/>
  <c r="E465" i="106"/>
  <c r="E466" i="106"/>
  <c r="E467" i="106"/>
  <c r="E468" i="106"/>
  <c r="E469" i="106"/>
  <c r="E470" i="106"/>
  <c r="E471" i="106"/>
  <c r="E472" i="106"/>
  <c r="E473" i="106"/>
  <c r="E474" i="106"/>
  <c r="E475" i="106"/>
  <c r="E476" i="106"/>
  <c r="E477" i="106"/>
  <c r="E478" i="106"/>
  <c r="E479" i="106"/>
  <c r="E480" i="106"/>
  <c r="E481" i="106"/>
  <c r="E482" i="106"/>
  <c r="E483" i="106"/>
  <c r="E484" i="106"/>
  <c r="E485" i="106"/>
  <c r="E486" i="106"/>
  <c r="E487" i="106"/>
  <c r="E488" i="106"/>
  <c r="E489" i="106"/>
  <c r="E490" i="106"/>
  <c r="E491" i="106"/>
  <c r="E492" i="106"/>
  <c r="E493" i="106"/>
  <c r="E494" i="106"/>
  <c r="E495" i="106"/>
  <c r="E496" i="106"/>
  <c r="E497" i="106"/>
  <c r="E498" i="106"/>
  <c r="E499" i="106"/>
  <c r="E500" i="106"/>
  <c r="E501" i="106"/>
  <c r="E502" i="106"/>
  <c r="E503" i="106"/>
  <c r="E504" i="106"/>
  <c r="E505" i="106"/>
  <c r="E506" i="106"/>
  <c r="E507" i="106"/>
  <c r="E508" i="106"/>
  <c r="E509" i="106"/>
  <c r="E510" i="106"/>
  <c r="E511" i="106"/>
  <c r="E512" i="106"/>
  <c r="E513" i="106"/>
  <c r="E514" i="106"/>
  <c r="E515" i="106"/>
  <c r="E516" i="106"/>
  <c r="E517" i="106"/>
  <c r="E518" i="106"/>
  <c r="E519" i="106"/>
  <c r="E520" i="106"/>
  <c r="E521" i="106"/>
  <c r="E522" i="106"/>
  <c r="E523" i="106"/>
  <c r="E524" i="106"/>
  <c r="E525" i="106"/>
  <c r="E526" i="106"/>
  <c r="E527" i="106"/>
  <c r="E528" i="106"/>
  <c r="E529" i="106"/>
  <c r="E530" i="106"/>
  <c r="E531" i="106"/>
  <c r="E532" i="106"/>
  <c r="E533" i="106"/>
  <c r="E534" i="106"/>
  <c r="E535" i="106"/>
  <c r="E536" i="106"/>
  <c r="E537" i="106"/>
  <c r="E538" i="106"/>
  <c r="E539" i="106"/>
  <c r="E540" i="106"/>
  <c r="E541" i="106"/>
  <c r="E542" i="106"/>
  <c r="E543" i="106"/>
  <c r="E544" i="106"/>
  <c r="E545" i="106"/>
  <c r="E546" i="106"/>
  <c r="E547" i="106"/>
  <c r="E548" i="106"/>
  <c r="E549" i="106"/>
  <c r="E550" i="106"/>
  <c r="E551" i="106"/>
  <c r="E552" i="106"/>
  <c r="E553" i="106"/>
  <c r="E554" i="106"/>
  <c r="E555" i="106"/>
  <c r="E556" i="106"/>
  <c r="E557" i="106"/>
  <c r="E558" i="106"/>
  <c r="E559" i="106"/>
  <c r="E560" i="106"/>
  <c r="E561" i="106"/>
  <c r="E562" i="106"/>
  <c r="E563" i="106"/>
  <c r="E564" i="106"/>
  <c r="E565" i="106"/>
  <c r="E566" i="106"/>
  <c r="E567" i="106"/>
  <c r="E568" i="106"/>
  <c r="E569" i="106"/>
  <c r="E570" i="106"/>
  <c r="E571" i="106"/>
  <c r="E572" i="106"/>
  <c r="E573" i="106"/>
  <c r="E574" i="106"/>
  <c r="E575" i="106"/>
  <c r="E576" i="106"/>
  <c r="E577" i="106"/>
  <c r="E578" i="106"/>
  <c r="E579" i="106"/>
  <c r="E580" i="106"/>
  <c r="E581" i="106"/>
  <c r="E582" i="106"/>
  <c r="E583" i="106"/>
  <c r="E584" i="106"/>
  <c r="E585" i="106"/>
  <c r="E586" i="106"/>
  <c r="E587" i="106"/>
  <c r="E588" i="106"/>
  <c r="E589" i="106"/>
  <c r="E590" i="106"/>
  <c r="E591" i="106"/>
  <c r="E592" i="106"/>
  <c r="E593" i="106"/>
  <c r="E594" i="106"/>
  <c r="E595" i="106"/>
  <c r="E596" i="106"/>
  <c r="E597" i="106"/>
  <c r="E598" i="106"/>
  <c r="E599" i="106"/>
  <c r="E600" i="106"/>
  <c r="E601" i="106"/>
  <c r="E602" i="106"/>
  <c r="E603" i="106"/>
  <c r="E604" i="106"/>
  <c r="E605" i="106"/>
  <c r="E606" i="106"/>
  <c r="E607" i="106"/>
  <c r="E608" i="106"/>
  <c r="E609" i="106"/>
  <c r="E610" i="106"/>
  <c r="F11" i="106"/>
  <c r="K6" i="106" l="1"/>
  <c r="K5" i="106"/>
  <c r="B12" i="106"/>
  <c r="F12" i="106" s="1"/>
  <c r="G12" i="106" s="1"/>
  <c r="B13" i="106"/>
  <c r="F13" i="106" s="1"/>
  <c r="G13" i="106" s="1"/>
  <c r="B14" i="106"/>
  <c r="F14" i="106" s="1"/>
  <c r="G14" i="106" s="1"/>
  <c r="B15" i="106"/>
  <c r="F15" i="106"/>
  <c r="G15" i="106" s="1"/>
  <c r="B16" i="106"/>
  <c r="F16" i="106" s="1"/>
  <c r="G16" i="106" s="1"/>
  <c r="B17" i="106"/>
  <c r="F17" i="106" s="1"/>
  <c r="G17" i="106" s="1"/>
  <c r="B18" i="106"/>
  <c r="F18" i="106" s="1"/>
  <c r="G18" i="106" s="1"/>
  <c r="B19" i="106"/>
  <c r="F19" i="106" s="1"/>
  <c r="G19" i="106" s="1"/>
  <c r="B20" i="106"/>
  <c r="B21" i="106"/>
  <c r="F21" i="106" s="1"/>
  <c r="G21" i="106" s="1"/>
  <c r="B22" i="106"/>
  <c r="F22" i="106" s="1"/>
  <c r="G22" i="106" s="1"/>
  <c r="B23" i="106"/>
  <c r="F23" i="106" s="1"/>
  <c r="G23" i="106" s="1"/>
  <c r="B24" i="106"/>
  <c r="F24" i="106" s="1"/>
  <c r="G24" i="106" s="1"/>
  <c r="B25" i="106"/>
  <c r="F25" i="106" s="1"/>
  <c r="G25" i="106" s="1"/>
  <c r="B26" i="106"/>
  <c r="F26" i="106" s="1"/>
  <c r="G26" i="106" s="1"/>
  <c r="B27" i="106"/>
  <c r="F27" i="106" s="1"/>
  <c r="G27" i="106" s="1"/>
  <c r="B28" i="106"/>
  <c r="F28" i="106" s="1"/>
  <c r="G28" i="106" s="1"/>
  <c r="B29" i="106"/>
  <c r="F29" i="106"/>
  <c r="G29" i="106" s="1"/>
  <c r="B30" i="106"/>
  <c r="F30" i="106" s="1"/>
  <c r="G30" i="106" s="1"/>
  <c r="B31" i="106"/>
  <c r="F31" i="106"/>
  <c r="G31" i="106" s="1"/>
  <c r="B32" i="106"/>
  <c r="F32" i="106" s="1"/>
  <c r="G32" i="106" s="1"/>
  <c r="B33" i="106"/>
  <c r="F33" i="106" s="1"/>
  <c r="G33" i="106" s="1"/>
  <c r="B34" i="106"/>
  <c r="F34" i="106" s="1"/>
  <c r="G34" i="106" s="1"/>
  <c r="B35" i="106"/>
  <c r="F35" i="106" s="1"/>
  <c r="G35" i="106" s="1"/>
  <c r="B36" i="106"/>
  <c r="F36" i="106" s="1"/>
  <c r="G36" i="106" s="1"/>
  <c r="B37" i="106"/>
  <c r="F37" i="106"/>
  <c r="G37" i="106" s="1"/>
  <c r="B38" i="106"/>
  <c r="F38" i="106" s="1"/>
  <c r="G38" i="106" s="1"/>
  <c r="B39" i="106"/>
  <c r="F39" i="106" s="1"/>
  <c r="G39" i="106" s="1"/>
  <c r="B40" i="106"/>
  <c r="F40" i="106" s="1"/>
  <c r="G40" i="106" s="1"/>
  <c r="B41" i="106"/>
  <c r="F41" i="106" s="1"/>
  <c r="G41" i="106" s="1"/>
  <c r="B42" i="106"/>
  <c r="F42" i="106" s="1"/>
  <c r="G42" i="106" s="1"/>
  <c r="B43" i="106"/>
  <c r="F43" i="106" s="1"/>
  <c r="G43" i="106" s="1"/>
  <c r="B44" i="106"/>
  <c r="F44" i="106" s="1"/>
  <c r="G44" i="106" s="1"/>
  <c r="B45" i="106"/>
  <c r="F45" i="106"/>
  <c r="G45" i="106" s="1"/>
  <c r="B46" i="106"/>
  <c r="F46" i="106" s="1"/>
  <c r="G46" i="106" s="1"/>
  <c r="B47" i="106"/>
  <c r="F47" i="106" s="1"/>
  <c r="G47" i="106" s="1"/>
  <c r="B48" i="106"/>
  <c r="F48" i="106" s="1"/>
  <c r="G48" i="106" s="1"/>
  <c r="B49" i="106"/>
  <c r="F49" i="106" s="1"/>
  <c r="G49" i="106" s="1"/>
  <c r="B50" i="106"/>
  <c r="F50" i="106" s="1"/>
  <c r="G50" i="106" s="1"/>
  <c r="B51" i="106"/>
  <c r="F51" i="106" s="1"/>
  <c r="G51" i="106" s="1"/>
  <c r="B52" i="106"/>
  <c r="F52" i="106" s="1"/>
  <c r="G52" i="106" s="1"/>
  <c r="B53" i="106"/>
  <c r="F53" i="106"/>
  <c r="G53" i="106" s="1"/>
  <c r="B54" i="106"/>
  <c r="F54" i="106" s="1"/>
  <c r="G54" i="106" s="1"/>
  <c r="B55" i="106"/>
  <c r="F55" i="106" s="1"/>
  <c r="G55" i="106" s="1"/>
  <c r="B56" i="106"/>
  <c r="F56" i="106" s="1"/>
  <c r="G56" i="106" s="1"/>
  <c r="B57" i="106"/>
  <c r="F57" i="106"/>
  <c r="G57" i="106" s="1"/>
  <c r="B58" i="106"/>
  <c r="F58" i="106" s="1"/>
  <c r="G58" i="106" s="1"/>
  <c r="B59" i="106"/>
  <c r="F59" i="106" s="1"/>
  <c r="G59" i="106" s="1"/>
  <c r="B60" i="106"/>
  <c r="F60" i="106" s="1"/>
  <c r="G60" i="106" s="1"/>
  <c r="B61" i="106"/>
  <c r="F61" i="106" s="1"/>
  <c r="G61" i="106" s="1"/>
  <c r="B62" i="106"/>
  <c r="F62" i="106" s="1"/>
  <c r="G62" i="106" s="1"/>
  <c r="B63" i="106"/>
  <c r="F63" i="106" s="1"/>
  <c r="G63" i="106" s="1"/>
  <c r="B64" i="106"/>
  <c r="F64" i="106" s="1"/>
  <c r="G64" i="106" s="1"/>
  <c r="B65" i="106"/>
  <c r="F65" i="106"/>
  <c r="G65" i="106" s="1"/>
  <c r="B66" i="106"/>
  <c r="F66" i="106" s="1"/>
  <c r="G66" i="106" s="1"/>
  <c r="B67" i="106"/>
  <c r="F67" i="106" s="1"/>
  <c r="G67" i="106" s="1"/>
  <c r="B68" i="106"/>
  <c r="F68" i="106" s="1"/>
  <c r="G68" i="106" s="1"/>
  <c r="B69" i="106"/>
  <c r="F69" i="106" s="1"/>
  <c r="G69" i="106" s="1"/>
  <c r="B70" i="106"/>
  <c r="F70" i="106" s="1"/>
  <c r="G70" i="106" s="1"/>
  <c r="B71" i="106"/>
  <c r="F71" i="106" s="1"/>
  <c r="G71" i="106" s="1"/>
  <c r="B72" i="106"/>
  <c r="F72" i="106" s="1"/>
  <c r="G72" i="106" s="1"/>
  <c r="B73" i="106"/>
  <c r="F73" i="106"/>
  <c r="G73" i="106" s="1"/>
  <c r="B74" i="106"/>
  <c r="F74" i="106" s="1"/>
  <c r="G74" i="106" s="1"/>
  <c r="B75" i="106"/>
  <c r="F75" i="106" s="1"/>
  <c r="G75" i="106" s="1"/>
  <c r="B76" i="106"/>
  <c r="F76" i="106" s="1"/>
  <c r="G76" i="106" s="1"/>
  <c r="B77" i="106"/>
  <c r="F77" i="106" s="1"/>
  <c r="G77" i="106" s="1"/>
  <c r="B78" i="106"/>
  <c r="F78" i="106" s="1"/>
  <c r="G78" i="106" s="1"/>
  <c r="B79" i="106"/>
  <c r="F79" i="106" s="1"/>
  <c r="G79" i="106" s="1"/>
  <c r="B80" i="106"/>
  <c r="F80" i="106" s="1"/>
  <c r="G80" i="106" s="1"/>
  <c r="B81" i="106"/>
  <c r="F81" i="106"/>
  <c r="G81" i="106" s="1"/>
  <c r="B82" i="106"/>
  <c r="F82" i="106" s="1"/>
  <c r="G82" i="106" s="1"/>
  <c r="B83" i="106"/>
  <c r="F83" i="106" s="1"/>
  <c r="G83" i="106" s="1"/>
  <c r="B84" i="106"/>
  <c r="F84" i="106" s="1"/>
  <c r="G84" i="106" s="1"/>
  <c r="B85" i="106"/>
  <c r="F85" i="106" s="1"/>
  <c r="G85" i="106" s="1"/>
  <c r="B86" i="106"/>
  <c r="F86" i="106" s="1"/>
  <c r="G86" i="106" s="1"/>
  <c r="B87" i="106"/>
  <c r="F87" i="106" s="1"/>
  <c r="G87" i="106" s="1"/>
  <c r="B88" i="106"/>
  <c r="F88" i="106" s="1"/>
  <c r="G88" i="106" s="1"/>
  <c r="B89" i="106"/>
  <c r="F89" i="106"/>
  <c r="G89" i="106" s="1"/>
  <c r="B90" i="106"/>
  <c r="F90" i="106" s="1"/>
  <c r="G90" i="106" s="1"/>
  <c r="B91" i="106"/>
  <c r="F91" i="106" s="1"/>
  <c r="G91" i="106" s="1"/>
  <c r="B92" i="106"/>
  <c r="F92" i="106" s="1"/>
  <c r="G92" i="106" s="1"/>
  <c r="B93" i="106"/>
  <c r="F93" i="106" s="1"/>
  <c r="G93" i="106" s="1"/>
  <c r="B94" i="106"/>
  <c r="F94" i="106" s="1"/>
  <c r="G94" i="106" s="1"/>
  <c r="B95" i="106"/>
  <c r="F95" i="106" s="1"/>
  <c r="G95" i="106" s="1"/>
  <c r="B96" i="106"/>
  <c r="F96" i="106" s="1"/>
  <c r="G96" i="106" s="1"/>
  <c r="B97" i="106"/>
  <c r="F97" i="106"/>
  <c r="G97" i="106" s="1"/>
  <c r="B98" i="106"/>
  <c r="F98" i="106" s="1"/>
  <c r="G98" i="106" s="1"/>
  <c r="B99" i="106"/>
  <c r="F99" i="106" s="1"/>
  <c r="G99" i="106" s="1"/>
  <c r="B100" i="106"/>
  <c r="F100" i="106" s="1"/>
  <c r="G100" i="106" s="1"/>
  <c r="B101" i="106"/>
  <c r="F101" i="106" s="1"/>
  <c r="G101" i="106" s="1"/>
  <c r="B102" i="106"/>
  <c r="F102" i="106" s="1"/>
  <c r="G102" i="106" s="1"/>
  <c r="B103" i="106"/>
  <c r="F103" i="106" s="1"/>
  <c r="G103" i="106" s="1"/>
  <c r="B104" i="106"/>
  <c r="F104" i="106" s="1"/>
  <c r="G104" i="106" s="1"/>
  <c r="B105" i="106"/>
  <c r="F105" i="106"/>
  <c r="G105" i="106" s="1"/>
  <c r="B106" i="106"/>
  <c r="F106" i="106" s="1"/>
  <c r="G106" i="106" s="1"/>
  <c r="B107" i="106"/>
  <c r="F107" i="106" s="1"/>
  <c r="G107" i="106" s="1"/>
  <c r="B108" i="106"/>
  <c r="F108" i="106" s="1"/>
  <c r="G108" i="106" s="1"/>
  <c r="B109" i="106"/>
  <c r="F109" i="106" s="1"/>
  <c r="G109" i="106" s="1"/>
  <c r="B110" i="106"/>
  <c r="F110" i="106" s="1"/>
  <c r="G110" i="106" s="1"/>
  <c r="B111" i="106"/>
  <c r="F111" i="106" s="1"/>
  <c r="G111" i="106" s="1"/>
  <c r="B112" i="106"/>
  <c r="F112" i="106" s="1"/>
  <c r="G112" i="106" s="1"/>
  <c r="B113" i="106"/>
  <c r="F113" i="106"/>
  <c r="G113" i="106" s="1"/>
  <c r="B114" i="106"/>
  <c r="F114" i="106" s="1"/>
  <c r="G114" i="106" s="1"/>
  <c r="B115" i="106"/>
  <c r="F115" i="106" s="1"/>
  <c r="G115" i="106" s="1"/>
  <c r="B116" i="106"/>
  <c r="F116" i="106" s="1"/>
  <c r="G116" i="106" s="1"/>
  <c r="B117" i="106"/>
  <c r="F117" i="106" s="1"/>
  <c r="G117" i="106" s="1"/>
  <c r="B118" i="106"/>
  <c r="F118" i="106" s="1"/>
  <c r="G118" i="106" s="1"/>
  <c r="B119" i="106"/>
  <c r="F119" i="106" s="1"/>
  <c r="G119" i="106" s="1"/>
  <c r="B120" i="106"/>
  <c r="F120" i="106" s="1"/>
  <c r="G120" i="106" s="1"/>
  <c r="B121" i="106"/>
  <c r="F121" i="106"/>
  <c r="G121" i="106" s="1"/>
  <c r="B122" i="106"/>
  <c r="F122" i="106" s="1"/>
  <c r="G122" i="106" s="1"/>
  <c r="B123" i="106"/>
  <c r="F123" i="106" s="1"/>
  <c r="G123" i="106" s="1"/>
  <c r="B124" i="106"/>
  <c r="F124" i="106" s="1"/>
  <c r="G124" i="106" s="1"/>
  <c r="B125" i="106"/>
  <c r="F125" i="106" s="1"/>
  <c r="G125" i="106" s="1"/>
  <c r="B126" i="106"/>
  <c r="F126" i="106" s="1"/>
  <c r="G126" i="106" s="1"/>
  <c r="B127" i="106"/>
  <c r="F127" i="106" s="1"/>
  <c r="G127" i="106" s="1"/>
  <c r="B128" i="106"/>
  <c r="F128" i="106" s="1"/>
  <c r="G128" i="106" s="1"/>
  <c r="B129" i="106"/>
  <c r="F129" i="106"/>
  <c r="G129" i="106" s="1"/>
  <c r="B130" i="106"/>
  <c r="F130" i="106" s="1"/>
  <c r="G130" i="106" s="1"/>
  <c r="B131" i="106"/>
  <c r="F131" i="106" s="1"/>
  <c r="G131" i="106" s="1"/>
  <c r="B132" i="106"/>
  <c r="F132" i="106" s="1"/>
  <c r="G132" i="106" s="1"/>
  <c r="B133" i="106"/>
  <c r="F133" i="106" s="1"/>
  <c r="G133" i="106" s="1"/>
  <c r="B134" i="106"/>
  <c r="F134" i="106" s="1"/>
  <c r="G134" i="106" s="1"/>
  <c r="B135" i="106"/>
  <c r="F135" i="106" s="1"/>
  <c r="G135" i="106" s="1"/>
  <c r="B136" i="106"/>
  <c r="F136" i="106" s="1"/>
  <c r="G136" i="106" s="1"/>
  <c r="B137" i="106"/>
  <c r="F137" i="106"/>
  <c r="G137" i="106" s="1"/>
  <c r="B138" i="106"/>
  <c r="F138" i="106" s="1"/>
  <c r="G138" i="106" s="1"/>
  <c r="B139" i="106"/>
  <c r="F139" i="106" s="1"/>
  <c r="G139" i="106" s="1"/>
  <c r="B140" i="106"/>
  <c r="F140" i="106" s="1"/>
  <c r="G140" i="106" s="1"/>
  <c r="B141" i="106"/>
  <c r="F141" i="106" s="1"/>
  <c r="G141" i="106" s="1"/>
  <c r="B142" i="106"/>
  <c r="F142" i="106" s="1"/>
  <c r="G142" i="106" s="1"/>
  <c r="B143" i="106"/>
  <c r="F143" i="106" s="1"/>
  <c r="G143" i="106" s="1"/>
  <c r="B144" i="106"/>
  <c r="F144" i="106" s="1"/>
  <c r="G144" i="106" s="1"/>
  <c r="B145" i="106"/>
  <c r="F145" i="106"/>
  <c r="G145" i="106" s="1"/>
  <c r="B146" i="106"/>
  <c r="F146" i="106" s="1"/>
  <c r="G146" i="106" s="1"/>
  <c r="B147" i="106"/>
  <c r="F147" i="106" s="1"/>
  <c r="G147" i="106" s="1"/>
  <c r="B148" i="106"/>
  <c r="F148" i="106" s="1"/>
  <c r="G148" i="106" s="1"/>
  <c r="B149" i="106"/>
  <c r="F149" i="106" s="1"/>
  <c r="G149" i="106" s="1"/>
  <c r="B150" i="106"/>
  <c r="F150" i="106" s="1"/>
  <c r="G150" i="106" s="1"/>
  <c r="B151" i="106"/>
  <c r="F151" i="106" s="1"/>
  <c r="G151" i="106" s="1"/>
  <c r="B152" i="106"/>
  <c r="F152" i="106" s="1"/>
  <c r="G152" i="106" s="1"/>
  <c r="B153" i="106"/>
  <c r="F153" i="106"/>
  <c r="G153" i="106" s="1"/>
  <c r="B154" i="106"/>
  <c r="F154" i="106" s="1"/>
  <c r="G154" i="106" s="1"/>
  <c r="B155" i="106"/>
  <c r="F155" i="106" s="1"/>
  <c r="G155" i="106" s="1"/>
  <c r="B156" i="106"/>
  <c r="F156" i="106" s="1"/>
  <c r="G156" i="106" s="1"/>
  <c r="B157" i="106"/>
  <c r="F157" i="106" s="1"/>
  <c r="G157" i="106" s="1"/>
  <c r="B158" i="106"/>
  <c r="F158" i="106" s="1"/>
  <c r="G158" i="106" s="1"/>
  <c r="B159" i="106"/>
  <c r="F159" i="106" s="1"/>
  <c r="G159" i="106" s="1"/>
  <c r="B160" i="106"/>
  <c r="F160" i="106" s="1"/>
  <c r="G160" i="106" s="1"/>
  <c r="B161" i="106"/>
  <c r="F161" i="106"/>
  <c r="G161" i="106" s="1"/>
  <c r="B162" i="106"/>
  <c r="F162" i="106" s="1"/>
  <c r="G162" i="106" s="1"/>
  <c r="B163" i="106"/>
  <c r="F163" i="106" s="1"/>
  <c r="G163" i="106" s="1"/>
  <c r="B164" i="106"/>
  <c r="F164" i="106" s="1"/>
  <c r="G164" i="106" s="1"/>
  <c r="B165" i="106"/>
  <c r="F165" i="106" s="1"/>
  <c r="G165" i="106" s="1"/>
  <c r="B166" i="106"/>
  <c r="F166" i="106" s="1"/>
  <c r="G166" i="106" s="1"/>
  <c r="B167" i="106"/>
  <c r="F167" i="106" s="1"/>
  <c r="G167" i="106" s="1"/>
  <c r="B168" i="106"/>
  <c r="F168" i="106" s="1"/>
  <c r="G168" i="106" s="1"/>
  <c r="B169" i="106"/>
  <c r="F169" i="106"/>
  <c r="G169" i="106" s="1"/>
  <c r="B170" i="106"/>
  <c r="F170" i="106" s="1"/>
  <c r="G170" i="106" s="1"/>
  <c r="B171" i="106"/>
  <c r="F171" i="106" s="1"/>
  <c r="G171" i="106" s="1"/>
  <c r="B172" i="106"/>
  <c r="F172" i="106" s="1"/>
  <c r="G172" i="106" s="1"/>
  <c r="B173" i="106"/>
  <c r="F173" i="106" s="1"/>
  <c r="G173" i="106" s="1"/>
  <c r="B174" i="106"/>
  <c r="F174" i="106" s="1"/>
  <c r="G174" i="106" s="1"/>
  <c r="B175" i="106"/>
  <c r="F175" i="106" s="1"/>
  <c r="G175" i="106" s="1"/>
  <c r="B176" i="106"/>
  <c r="F176" i="106" s="1"/>
  <c r="G176" i="106" s="1"/>
  <c r="B177" i="106"/>
  <c r="F177" i="106"/>
  <c r="G177" i="106" s="1"/>
  <c r="B178" i="106"/>
  <c r="F178" i="106" s="1"/>
  <c r="G178" i="106" s="1"/>
  <c r="B179" i="106"/>
  <c r="F179" i="106" s="1"/>
  <c r="G179" i="106" s="1"/>
  <c r="B180" i="106"/>
  <c r="F180" i="106" s="1"/>
  <c r="G180" i="106" s="1"/>
  <c r="B181" i="106"/>
  <c r="F181" i="106" s="1"/>
  <c r="G181" i="106" s="1"/>
  <c r="B182" i="106"/>
  <c r="F182" i="106" s="1"/>
  <c r="G182" i="106" s="1"/>
  <c r="B183" i="106"/>
  <c r="F183" i="106"/>
  <c r="G183" i="106" s="1"/>
  <c r="B184" i="106"/>
  <c r="F184" i="106" s="1"/>
  <c r="G184" i="106" s="1"/>
  <c r="B185" i="106"/>
  <c r="F185" i="106" s="1"/>
  <c r="G185" i="106" s="1"/>
  <c r="B186" i="106"/>
  <c r="F186" i="106" s="1"/>
  <c r="G186" i="106" s="1"/>
  <c r="B187" i="106"/>
  <c r="F187" i="106" s="1"/>
  <c r="G187" i="106" s="1"/>
  <c r="B188" i="106"/>
  <c r="F188" i="106" s="1"/>
  <c r="G188" i="106" s="1"/>
  <c r="B189" i="106"/>
  <c r="F189" i="106" s="1"/>
  <c r="G189" i="106" s="1"/>
  <c r="B190" i="106"/>
  <c r="F190" i="106" s="1"/>
  <c r="G190" i="106" s="1"/>
  <c r="B191" i="106"/>
  <c r="F191" i="106" s="1"/>
  <c r="G191" i="106" s="1"/>
  <c r="B192" i="106"/>
  <c r="F192" i="106" s="1"/>
  <c r="G192" i="106" s="1"/>
  <c r="B193" i="106"/>
  <c r="F193" i="106" s="1"/>
  <c r="G193" i="106" s="1"/>
  <c r="B194" i="106"/>
  <c r="F194" i="106" s="1"/>
  <c r="G194" i="106" s="1"/>
  <c r="B195" i="106"/>
  <c r="F195" i="106" s="1"/>
  <c r="G195" i="106" s="1"/>
  <c r="B196" i="106"/>
  <c r="F196" i="106" s="1"/>
  <c r="G196" i="106" s="1"/>
  <c r="B197" i="106"/>
  <c r="F197" i="106" s="1"/>
  <c r="G197" i="106" s="1"/>
  <c r="B198" i="106"/>
  <c r="F198" i="106" s="1"/>
  <c r="G198" i="106" s="1"/>
  <c r="B199" i="106"/>
  <c r="F199" i="106" s="1"/>
  <c r="G199" i="106" s="1"/>
  <c r="B200" i="106"/>
  <c r="F200" i="106" s="1"/>
  <c r="G200" i="106" s="1"/>
  <c r="B201" i="106"/>
  <c r="F201" i="106" s="1"/>
  <c r="G201" i="106" s="1"/>
  <c r="B202" i="106"/>
  <c r="F202" i="106" s="1"/>
  <c r="G202" i="106" s="1"/>
  <c r="B203" i="106"/>
  <c r="F203" i="106" s="1"/>
  <c r="G203" i="106" s="1"/>
  <c r="B204" i="106"/>
  <c r="F204" i="106" s="1"/>
  <c r="G204" i="106" s="1"/>
  <c r="B205" i="106"/>
  <c r="F205" i="106" s="1"/>
  <c r="G205" i="106" s="1"/>
  <c r="B206" i="106"/>
  <c r="F206" i="106" s="1"/>
  <c r="G206" i="106" s="1"/>
  <c r="B207" i="106"/>
  <c r="F207" i="106" s="1"/>
  <c r="G207" i="106" s="1"/>
  <c r="B208" i="106"/>
  <c r="F208" i="106" s="1"/>
  <c r="G208" i="106" s="1"/>
  <c r="B209" i="106"/>
  <c r="F209" i="106" s="1"/>
  <c r="G209" i="106" s="1"/>
  <c r="B210" i="106"/>
  <c r="F210" i="106" s="1"/>
  <c r="G210" i="106" s="1"/>
  <c r="B211" i="106"/>
  <c r="F211" i="106" s="1"/>
  <c r="G211" i="106" s="1"/>
  <c r="B212" i="106"/>
  <c r="F212" i="106" s="1"/>
  <c r="G212" i="106" s="1"/>
  <c r="B213" i="106"/>
  <c r="F213" i="106" s="1"/>
  <c r="G213" i="106" s="1"/>
  <c r="B214" i="106"/>
  <c r="F214" i="106" s="1"/>
  <c r="G214" i="106" s="1"/>
  <c r="B215" i="106"/>
  <c r="F215" i="106" s="1"/>
  <c r="G215" i="106" s="1"/>
  <c r="B216" i="106"/>
  <c r="F216" i="106" s="1"/>
  <c r="G216" i="106" s="1"/>
  <c r="B217" i="106"/>
  <c r="F217" i="106" s="1"/>
  <c r="G217" i="106" s="1"/>
  <c r="B218" i="106"/>
  <c r="F218" i="106" s="1"/>
  <c r="G218" i="106" s="1"/>
  <c r="B219" i="106"/>
  <c r="F219" i="106"/>
  <c r="G219" i="106" s="1"/>
  <c r="B220" i="106"/>
  <c r="F220" i="106"/>
  <c r="G220" i="106" s="1"/>
  <c r="B221" i="106"/>
  <c r="F221" i="106"/>
  <c r="G221" i="106" s="1"/>
  <c r="B222" i="106"/>
  <c r="F222" i="106"/>
  <c r="G222" i="106" s="1"/>
  <c r="B223" i="106"/>
  <c r="F223" i="106"/>
  <c r="G223" i="106" s="1"/>
  <c r="B224" i="106"/>
  <c r="F224" i="106"/>
  <c r="G224" i="106" s="1"/>
  <c r="B225" i="106"/>
  <c r="F225" i="106"/>
  <c r="G225" i="106" s="1"/>
  <c r="B226" i="106"/>
  <c r="F226" i="106"/>
  <c r="G226" i="106" s="1"/>
  <c r="B227" i="106"/>
  <c r="F227" i="106"/>
  <c r="G227" i="106" s="1"/>
  <c r="B228" i="106"/>
  <c r="F228" i="106"/>
  <c r="G228" i="106" s="1"/>
  <c r="B229" i="106"/>
  <c r="F229" i="106"/>
  <c r="G229" i="106" s="1"/>
  <c r="B230" i="106"/>
  <c r="F230" i="106"/>
  <c r="G230" i="106" s="1"/>
  <c r="B231" i="106"/>
  <c r="F231" i="106"/>
  <c r="G231" i="106" s="1"/>
  <c r="B232" i="106"/>
  <c r="F232" i="106"/>
  <c r="G232" i="106" s="1"/>
  <c r="B233" i="106"/>
  <c r="F233" i="106"/>
  <c r="G233" i="106" s="1"/>
  <c r="B234" i="106"/>
  <c r="F234" i="106"/>
  <c r="G234" i="106" s="1"/>
  <c r="B235" i="106"/>
  <c r="F235" i="106"/>
  <c r="G235" i="106" s="1"/>
  <c r="B236" i="106"/>
  <c r="F236" i="106"/>
  <c r="G236" i="106" s="1"/>
  <c r="B237" i="106"/>
  <c r="F237" i="106"/>
  <c r="G237" i="106" s="1"/>
  <c r="B238" i="106"/>
  <c r="F238" i="106"/>
  <c r="G238" i="106" s="1"/>
  <c r="B239" i="106"/>
  <c r="F239" i="106"/>
  <c r="G239" i="106" s="1"/>
  <c r="B240" i="106"/>
  <c r="F240" i="106"/>
  <c r="G240" i="106" s="1"/>
  <c r="B241" i="106"/>
  <c r="F241" i="106"/>
  <c r="G241" i="106" s="1"/>
  <c r="B242" i="106"/>
  <c r="F242" i="106"/>
  <c r="G242" i="106" s="1"/>
  <c r="B243" i="106"/>
  <c r="F243" i="106"/>
  <c r="G243" i="106" s="1"/>
  <c r="B244" i="106"/>
  <c r="F244" i="106"/>
  <c r="G244" i="106" s="1"/>
  <c r="B245" i="106"/>
  <c r="F245" i="106"/>
  <c r="G245" i="106" s="1"/>
  <c r="B246" i="106"/>
  <c r="F246" i="106"/>
  <c r="G246" i="106" s="1"/>
  <c r="B247" i="106"/>
  <c r="F247" i="106"/>
  <c r="G247" i="106" s="1"/>
  <c r="B248" i="106"/>
  <c r="F248" i="106"/>
  <c r="G248" i="106" s="1"/>
  <c r="B249" i="106"/>
  <c r="F249" i="106"/>
  <c r="G249" i="106" s="1"/>
  <c r="B250" i="106"/>
  <c r="F250" i="106"/>
  <c r="G250" i="106" s="1"/>
  <c r="B251" i="106"/>
  <c r="F251" i="106"/>
  <c r="G251" i="106" s="1"/>
  <c r="B252" i="106"/>
  <c r="F252" i="106"/>
  <c r="G252" i="106" s="1"/>
  <c r="B253" i="106"/>
  <c r="F253" i="106"/>
  <c r="G253" i="106" s="1"/>
  <c r="B254" i="106"/>
  <c r="F254" i="106"/>
  <c r="G254" i="106" s="1"/>
  <c r="B255" i="106"/>
  <c r="F255" i="106"/>
  <c r="G255" i="106" s="1"/>
  <c r="B256" i="106"/>
  <c r="F256" i="106"/>
  <c r="G256" i="106" s="1"/>
  <c r="B257" i="106"/>
  <c r="F257" i="106"/>
  <c r="G257" i="106" s="1"/>
  <c r="B258" i="106"/>
  <c r="F258" i="106"/>
  <c r="G258" i="106" s="1"/>
  <c r="B259" i="106"/>
  <c r="F259" i="106"/>
  <c r="G259" i="106" s="1"/>
  <c r="B260" i="106"/>
  <c r="F260" i="106"/>
  <c r="G260" i="106" s="1"/>
  <c r="B261" i="106"/>
  <c r="F261" i="106"/>
  <c r="G261" i="106" s="1"/>
  <c r="B262" i="106"/>
  <c r="F262" i="106"/>
  <c r="G262" i="106" s="1"/>
  <c r="B263" i="106"/>
  <c r="F263" i="106"/>
  <c r="G263" i="106" s="1"/>
  <c r="B264" i="106"/>
  <c r="F264" i="106"/>
  <c r="G264" i="106" s="1"/>
  <c r="B265" i="106"/>
  <c r="F265" i="106"/>
  <c r="G265" i="106" s="1"/>
  <c r="B266" i="106"/>
  <c r="F266" i="106"/>
  <c r="G266" i="106" s="1"/>
  <c r="B267" i="106"/>
  <c r="F267" i="106"/>
  <c r="G267" i="106" s="1"/>
  <c r="B268" i="106"/>
  <c r="F268" i="106"/>
  <c r="G268" i="106" s="1"/>
  <c r="B269" i="106"/>
  <c r="F269" i="106"/>
  <c r="G269" i="106" s="1"/>
  <c r="B270" i="106"/>
  <c r="F270" i="106"/>
  <c r="G270" i="106" s="1"/>
  <c r="B271" i="106"/>
  <c r="F271" i="106"/>
  <c r="G271" i="106" s="1"/>
  <c r="B272" i="106"/>
  <c r="F272" i="106"/>
  <c r="G272" i="106" s="1"/>
  <c r="B273" i="106"/>
  <c r="F273" i="106"/>
  <c r="G273" i="106" s="1"/>
  <c r="B274" i="106"/>
  <c r="F274" i="106"/>
  <c r="G274" i="106" s="1"/>
  <c r="B275" i="106"/>
  <c r="F275" i="106"/>
  <c r="G275" i="106" s="1"/>
  <c r="B276" i="106"/>
  <c r="F276" i="106"/>
  <c r="G276" i="106" s="1"/>
  <c r="B277" i="106"/>
  <c r="F277" i="106"/>
  <c r="G277" i="106" s="1"/>
  <c r="B278" i="106"/>
  <c r="F278" i="106"/>
  <c r="G278" i="106" s="1"/>
  <c r="B279" i="106"/>
  <c r="F279" i="106"/>
  <c r="G279" i="106" s="1"/>
  <c r="B280" i="106"/>
  <c r="F280" i="106"/>
  <c r="G280" i="106" s="1"/>
  <c r="B281" i="106"/>
  <c r="F281" i="106"/>
  <c r="G281" i="106" s="1"/>
  <c r="B282" i="106"/>
  <c r="F282" i="106"/>
  <c r="G282" i="106" s="1"/>
  <c r="B283" i="106"/>
  <c r="F283" i="106"/>
  <c r="G283" i="106" s="1"/>
  <c r="B284" i="106"/>
  <c r="F284" i="106"/>
  <c r="G284" i="106" s="1"/>
  <c r="B285" i="106"/>
  <c r="F285" i="106"/>
  <c r="G285" i="106" s="1"/>
  <c r="B286" i="106"/>
  <c r="F286" i="106"/>
  <c r="G286" i="106" s="1"/>
  <c r="B287" i="106"/>
  <c r="F287" i="106"/>
  <c r="G287" i="106" s="1"/>
  <c r="B288" i="106"/>
  <c r="F288" i="106"/>
  <c r="G288" i="106" s="1"/>
  <c r="B289" i="106"/>
  <c r="F289" i="106"/>
  <c r="G289" i="106" s="1"/>
  <c r="B290" i="106"/>
  <c r="F290" i="106"/>
  <c r="G290" i="106" s="1"/>
  <c r="B291" i="106"/>
  <c r="F291" i="106"/>
  <c r="G291" i="106" s="1"/>
  <c r="B292" i="106"/>
  <c r="F292" i="106"/>
  <c r="G292" i="106" s="1"/>
  <c r="B293" i="106"/>
  <c r="F293" i="106"/>
  <c r="G293" i="106" s="1"/>
  <c r="B294" i="106"/>
  <c r="F294" i="106"/>
  <c r="G294" i="106" s="1"/>
  <c r="B295" i="106"/>
  <c r="F295" i="106"/>
  <c r="G295" i="106" s="1"/>
  <c r="B296" i="106"/>
  <c r="F296" i="106"/>
  <c r="G296" i="106" s="1"/>
  <c r="B297" i="106"/>
  <c r="F297" i="106"/>
  <c r="G297" i="106" s="1"/>
  <c r="B298" i="106"/>
  <c r="F298" i="106"/>
  <c r="G298" i="106" s="1"/>
  <c r="B299" i="106"/>
  <c r="F299" i="106"/>
  <c r="G299" i="106" s="1"/>
  <c r="B300" i="106"/>
  <c r="F300" i="106"/>
  <c r="G300" i="106" s="1"/>
  <c r="B301" i="106"/>
  <c r="F301" i="106"/>
  <c r="G301" i="106" s="1"/>
  <c r="B302" i="106"/>
  <c r="F302" i="106"/>
  <c r="G302" i="106" s="1"/>
  <c r="B303" i="106"/>
  <c r="F303" i="106"/>
  <c r="G303" i="106" s="1"/>
  <c r="B304" i="106"/>
  <c r="F304" i="106"/>
  <c r="G304" i="106" s="1"/>
  <c r="B305" i="106"/>
  <c r="F305" i="106"/>
  <c r="G305" i="106" s="1"/>
  <c r="B306" i="106"/>
  <c r="F306" i="106"/>
  <c r="G306" i="106" s="1"/>
  <c r="B307" i="106"/>
  <c r="F307" i="106"/>
  <c r="G307" i="106" s="1"/>
  <c r="B308" i="106"/>
  <c r="F308" i="106"/>
  <c r="G308" i="106" s="1"/>
  <c r="B309" i="106"/>
  <c r="F309" i="106"/>
  <c r="G309" i="106" s="1"/>
  <c r="B310" i="106"/>
  <c r="F310" i="106"/>
  <c r="G310" i="106" s="1"/>
  <c r="B311" i="106"/>
  <c r="F311" i="106"/>
  <c r="G311" i="106" s="1"/>
  <c r="B312" i="106"/>
  <c r="F312" i="106"/>
  <c r="G312" i="106" s="1"/>
  <c r="B313" i="106"/>
  <c r="F313" i="106"/>
  <c r="G313" i="106" s="1"/>
  <c r="B314" i="106"/>
  <c r="F314" i="106"/>
  <c r="G314" i="106" s="1"/>
  <c r="B315" i="106"/>
  <c r="F315" i="106"/>
  <c r="G315" i="106" s="1"/>
  <c r="B316" i="106"/>
  <c r="F316" i="106"/>
  <c r="G316" i="106" s="1"/>
  <c r="B317" i="106"/>
  <c r="F317" i="106"/>
  <c r="G317" i="106" s="1"/>
  <c r="B318" i="106"/>
  <c r="F318" i="106"/>
  <c r="G318" i="106" s="1"/>
  <c r="B319" i="106"/>
  <c r="F319" i="106"/>
  <c r="G319" i="106" s="1"/>
  <c r="B320" i="106"/>
  <c r="F320" i="106"/>
  <c r="G320" i="106" s="1"/>
  <c r="B321" i="106"/>
  <c r="F321" i="106"/>
  <c r="G321" i="106" s="1"/>
  <c r="B322" i="106"/>
  <c r="F322" i="106"/>
  <c r="G322" i="106" s="1"/>
  <c r="B323" i="106"/>
  <c r="F323" i="106"/>
  <c r="G323" i="106" s="1"/>
  <c r="B324" i="106"/>
  <c r="F324" i="106"/>
  <c r="G324" i="106" s="1"/>
  <c r="B325" i="106"/>
  <c r="F325" i="106"/>
  <c r="G325" i="106" s="1"/>
  <c r="B326" i="106"/>
  <c r="F326" i="106"/>
  <c r="G326" i="106" s="1"/>
  <c r="B327" i="106"/>
  <c r="F327" i="106"/>
  <c r="G327" i="106" s="1"/>
  <c r="B328" i="106"/>
  <c r="F328" i="106"/>
  <c r="G328" i="106" s="1"/>
  <c r="B329" i="106"/>
  <c r="F329" i="106"/>
  <c r="G329" i="106" s="1"/>
  <c r="B330" i="106"/>
  <c r="F330" i="106"/>
  <c r="G330" i="106" s="1"/>
  <c r="B331" i="106"/>
  <c r="F331" i="106"/>
  <c r="G331" i="106" s="1"/>
  <c r="B332" i="106"/>
  <c r="F332" i="106"/>
  <c r="G332" i="106" s="1"/>
  <c r="B333" i="106"/>
  <c r="F333" i="106"/>
  <c r="G333" i="106" s="1"/>
  <c r="B334" i="106"/>
  <c r="F334" i="106"/>
  <c r="G334" i="106" s="1"/>
  <c r="B335" i="106"/>
  <c r="F335" i="106"/>
  <c r="G335" i="106" s="1"/>
  <c r="B336" i="106"/>
  <c r="F336" i="106"/>
  <c r="G336" i="106" s="1"/>
  <c r="B337" i="106"/>
  <c r="F337" i="106"/>
  <c r="G337" i="106" s="1"/>
  <c r="B338" i="106"/>
  <c r="F338" i="106"/>
  <c r="G338" i="106" s="1"/>
  <c r="B339" i="106"/>
  <c r="F339" i="106"/>
  <c r="G339" i="106" s="1"/>
  <c r="B340" i="106"/>
  <c r="F340" i="106"/>
  <c r="G340" i="106" s="1"/>
  <c r="B341" i="106"/>
  <c r="F341" i="106"/>
  <c r="G341" i="106" s="1"/>
  <c r="B342" i="106"/>
  <c r="F342" i="106"/>
  <c r="G342" i="106" s="1"/>
  <c r="B343" i="106"/>
  <c r="F343" i="106"/>
  <c r="G343" i="106" s="1"/>
  <c r="B344" i="106"/>
  <c r="F344" i="106"/>
  <c r="G344" i="106" s="1"/>
  <c r="B345" i="106"/>
  <c r="F345" i="106"/>
  <c r="G345" i="106" s="1"/>
  <c r="B346" i="106"/>
  <c r="F346" i="106"/>
  <c r="G346" i="106" s="1"/>
  <c r="B347" i="106"/>
  <c r="F347" i="106"/>
  <c r="G347" i="106" s="1"/>
  <c r="B348" i="106"/>
  <c r="F348" i="106"/>
  <c r="G348" i="106" s="1"/>
  <c r="B349" i="106"/>
  <c r="F349" i="106"/>
  <c r="G349" i="106" s="1"/>
  <c r="B350" i="106"/>
  <c r="F350" i="106"/>
  <c r="G350" i="106" s="1"/>
  <c r="B351" i="106"/>
  <c r="F351" i="106"/>
  <c r="G351" i="106" s="1"/>
  <c r="B352" i="106"/>
  <c r="F352" i="106"/>
  <c r="G352" i="106" s="1"/>
  <c r="B353" i="106"/>
  <c r="F353" i="106"/>
  <c r="G353" i="106" s="1"/>
  <c r="B354" i="106"/>
  <c r="F354" i="106"/>
  <c r="G354" i="106" s="1"/>
  <c r="B355" i="106"/>
  <c r="F355" i="106"/>
  <c r="G355" i="106" s="1"/>
  <c r="B356" i="106"/>
  <c r="F356" i="106"/>
  <c r="G356" i="106" s="1"/>
  <c r="B357" i="106"/>
  <c r="F357" i="106"/>
  <c r="G357" i="106" s="1"/>
  <c r="B358" i="106"/>
  <c r="F358" i="106"/>
  <c r="G358" i="106" s="1"/>
  <c r="B359" i="106"/>
  <c r="F359" i="106"/>
  <c r="G359" i="106" s="1"/>
  <c r="B360" i="106"/>
  <c r="F360" i="106"/>
  <c r="G360" i="106" s="1"/>
  <c r="B361" i="106"/>
  <c r="F361" i="106"/>
  <c r="G361" i="106" s="1"/>
  <c r="B362" i="106"/>
  <c r="F362" i="106"/>
  <c r="G362" i="106" s="1"/>
  <c r="B363" i="106"/>
  <c r="F363" i="106"/>
  <c r="G363" i="106" s="1"/>
  <c r="B364" i="106"/>
  <c r="F364" i="106"/>
  <c r="G364" i="106" s="1"/>
  <c r="B365" i="106"/>
  <c r="F365" i="106"/>
  <c r="G365" i="106" s="1"/>
  <c r="B366" i="106"/>
  <c r="F366" i="106"/>
  <c r="G366" i="106" s="1"/>
  <c r="B367" i="106"/>
  <c r="F367" i="106"/>
  <c r="G367" i="106" s="1"/>
  <c r="B368" i="106"/>
  <c r="F368" i="106"/>
  <c r="G368" i="106" s="1"/>
  <c r="B369" i="106"/>
  <c r="F369" i="106"/>
  <c r="G369" i="106" s="1"/>
  <c r="B370" i="106"/>
  <c r="F370" i="106"/>
  <c r="G370" i="106" s="1"/>
  <c r="B371" i="106"/>
  <c r="F371" i="106"/>
  <c r="G371" i="106" s="1"/>
  <c r="B372" i="106"/>
  <c r="F372" i="106"/>
  <c r="G372" i="106" s="1"/>
  <c r="B373" i="106"/>
  <c r="F373" i="106"/>
  <c r="G373" i="106" s="1"/>
  <c r="B374" i="106"/>
  <c r="F374" i="106"/>
  <c r="G374" i="106" s="1"/>
  <c r="B375" i="106"/>
  <c r="F375" i="106"/>
  <c r="G375" i="106" s="1"/>
  <c r="B376" i="106"/>
  <c r="F376" i="106"/>
  <c r="G376" i="106" s="1"/>
  <c r="B377" i="106"/>
  <c r="F377" i="106"/>
  <c r="G377" i="106" s="1"/>
  <c r="B378" i="106"/>
  <c r="F378" i="106"/>
  <c r="G378" i="106" s="1"/>
  <c r="B379" i="106"/>
  <c r="F379" i="106"/>
  <c r="G379" i="106" s="1"/>
  <c r="B380" i="106"/>
  <c r="F380" i="106"/>
  <c r="G380" i="106" s="1"/>
  <c r="B381" i="106"/>
  <c r="F381" i="106"/>
  <c r="G381" i="106" s="1"/>
  <c r="B382" i="106"/>
  <c r="F382" i="106"/>
  <c r="G382" i="106" s="1"/>
  <c r="B383" i="106"/>
  <c r="F383" i="106"/>
  <c r="G383" i="106" s="1"/>
  <c r="B384" i="106"/>
  <c r="F384" i="106"/>
  <c r="G384" i="106" s="1"/>
  <c r="B385" i="106"/>
  <c r="F385" i="106"/>
  <c r="G385" i="106" s="1"/>
  <c r="B386" i="106"/>
  <c r="F386" i="106"/>
  <c r="G386" i="106" s="1"/>
  <c r="B387" i="106"/>
  <c r="F387" i="106"/>
  <c r="G387" i="106" s="1"/>
  <c r="B388" i="106"/>
  <c r="F388" i="106"/>
  <c r="G388" i="106" s="1"/>
  <c r="B389" i="106"/>
  <c r="F389" i="106"/>
  <c r="G389" i="106" s="1"/>
  <c r="B390" i="106"/>
  <c r="F390" i="106"/>
  <c r="G390" i="106" s="1"/>
  <c r="B391" i="106"/>
  <c r="F391" i="106"/>
  <c r="G391" i="106" s="1"/>
  <c r="B392" i="106"/>
  <c r="F392" i="106"/>
  <c r="G392" i="106" s="1"/>
  <c r="B393" i="106"/>
  <c r="F393" i="106"/>
  <c r="G393" i="106" s="1"/>
  <c r="B394" i="106"/>
  <c r="F394" i="106"/>
  <c r="G394" i="106" s="1"/>
  <c r="B395" i="106"/>
  <c r="F395" i="106"/>
  <c r="G395" i="106" s="1"/>
  <c r="B396" i="106"/>
  <c r="F396" i="106"/>
  <c r="G396" i="106" s="1"/>
  <c r="B397" i="106"/>
  <c r="F397" i="106"/>
  <c r="G397" i="106" s="1"/>
  <c r="B398" i="106"/>
  <c r="F398" i="106"/>
  <c r="G398" i="106" s="1"/>
  <c r="B399" i="106"/>
  <c r="F399" i="106"/>
  <c r="G399" i="106" s="1"/>
  <c r="B400" i="106"/>
  <c r="F400" i="106"/>
  <c r="G400" i="106" s="1"/>
  <c r="B401" i="106"/>
  <c r="F401" i="106"/>
  <c r="G401" i="106" s="1"/>
  <c r="B402" i="106"/>
  <c r="F402" i="106"/>
  <c r="G402" i="106" s="1"/>
  <c r="B403" i="106"/>
  <c r="F403" i="106"/>
  <c r="G403" i="106" s="1"/>
  <c r="B404" i="106"/>
  <c r="F404" i="106"/>
  <c r="G404" i="106" s="1"/>
  <c r="B405" i="106"/>
  <c r="F405" i="106"/>
  <c r="G405" i="106" s="1"/>
  <c r="B406" i="106"/>
  <c r="F406" i="106"/>
  <c r="G406" i="106" s="1"/>
  <c r="B407" i="106"/>
  <c r="F407" i="106"/>
  <c r="G407" i="106" s="1"/>
  <c r="B408" i="106"/>
  <c r="F408" i="106"/>
  <c r="G408" i="106" s="1"/>
  <c r="B409" i="106"/>
  <c r="F409" i="106"/>
  <c r="G409" i="106" s="1"/>
  <c r="B410" i="106"/>
  <c r="F410" i="106"/>
  <c r="G410" i="106" s="1"/>
  <c r="B411" i="106"/>
  <c r="F411" i="106"/>
  <c r="G411" i="106" s="1"/>
  <c r="B412" i="106"/>
  <c r="F412" i="106"/>
  <c r="G412" i="106" s="1"/>
  <c r="B413" i="106"/>
  <c r="F413" i="106"/>
  <c r="G413" i="106" s="1"/>
  <c r="B414" i="106"/>
  <c r="F414" i="106"/>
  <c r="G414" i="106" s="1"/>
  <c r="B415" i="106"/>
  <c r="F415" i="106"/>
  <c r="G415" i="106" s="1"/>
  <c r="B416" i="106"/>
  <c r="F416" i="106"/>
  <c r="G416" i="106" s="1"/>
  <c r="B417" i="106"/>
  <c r="F417" i="106"/>
  <c r="G417" i="106" s="1"/>
  <c r="B418" i="106"/>
  <c r="F418" i="106"/>
  <c r="G418" i="106" s="1"/>
  <c r="B419" i="106"/>
  <c r="F419" i="106"/>
  <c r="G419" i="106" s="1"/>
  <c r="B420" i="106"/>
  <c r="F420" i="106"/>
  <c r="G420" i="106" s="1"/>
  <c r="B421" i="106"/>
  <c r="F421" i="106"/>
  <c r="G421" i="106" s="1"/>
  <c r="B422" i="106"/>
  <c r="F422" i="106"/>
  <c r="G422" i="106" s="1"/>
  <c r="B423" i="106"/>
  <c r="F423" i="106"/>
  <c r="G423" i="106" s="1"/>
  <c r="B424" i="106"/>
  <c r="F424" i="106"/>
  <c r="G424" i="106" s="1"/>
  <c r="B425" i="106"/>
  <c r="F425" i="106"/>
  <c r="G425" i="106" s="1"/>
  <c r="B426" i="106"/>
  <c r="F426" i="106"/>
  <c r="G426" i="106" s="1"/>
  <c r="B427" i="106"/>
  <c r="F427" i="106"/>
  <c r="G427" i="106" s="1"/>
  <c r="B428" i="106"/>
  <c r="F428" i="106"/>
  <c r="G428" i="106" s="1"/>
  <c r="B429" i="106"/>
  <c r="F429" i="106"/>
  <c r="G429" i="106" s="1"/>
  <c r="B430" i="106"/>
  <c r="F430" i="106"/>
  <c r="G430" i="106" s="1"/>
  <c r="B431" i="106"/>
  <c r="F431" i="106"/>
  <c r="G431" i="106" s="1"/>
  <c r="B432" i="106"/>
  <c r="F432" i="106"/>
  <c r="G432" i="106" s="1"/>
  <c r="B433" i="106"/>
  <c r="F433" i="106"/>
  <c r="G433" i="106" s="1"/>
  <c r="B434" i="106"/>
  <c r="F434" i="106"/>
  <c r="G434" i="106" s="1"/>
  <c r="B435" i="106"/>
  <c r="F435" i="106"/>
  <c r="G435" i="106" s="1"/>
  <c r="B436" i="106"/>
  <c r="F436" i="106"/>
  <c r="G436" i="106" s="1"/>
  <c r="B437" i="106"/>
  <c r="F437" i="106"/>
  <c r="G437" i="106" s="1"/>
  <c r="B438" i="106"/>
  <c r="F438" i="106"/>
  <c r="G438" i="106" s="1"/>
  <c r="B439" i="106"/>
  <c r="F439" i="106"/>
  <c r="G439" i="106" s="1"/>
  <c r="B440" i="106"/>
  <c r="F440" i="106"/>
  <c r="G440" i="106" s="1"/>
  <c r="B441" i="106"/>
  <c r="F441" i="106"/>
  <c r="G441" i="106" s="1"/>
  <c r="B442" i="106"/>
  <c r="F442" i="106"/>
  <c r="G442" i="106" s="1"/>
  <c r="B443" i="106"/>
  <c r="F443" i="106"/>
  <c r="G443" i="106" s="1"/>
  <c r="B444" i="106"/>
  <c r="F444" i="106"/>
  <c r="G444" i="106" s="1"/>
  <c r="B445" i="106"/>
  <c r="F445" i="106"/>
  <c r="G445" i="106" s="1"/>
  <c r="B446" i="106"/>
  <c r="F446" i="106"/>
  <c r="G446" i="106" s="1"/>
  <c r="B447" i="106"/>
  <c r="F447" i="106"/>
  <c r="G447" i="106" s="1"/>
  <c r="B448" i="106"/>
  <c r="F448" i="106"/>
  <c r="G448" i="106" s="1"/>
  <c r="B449" i="106"/>
  <c r="F449" i="106"/>
  <c r="G449" i="106" s="1"/>
  <c r="B450" i="106"/>
  <c r="F450" i="106"/>
  <c r="G450" i="106" s="1"/>
  <c r="B451" i="106"/>
  <c r="F451" i="106"/>
  <c r="G451" i="106" s="1"/>
  <c r="B452" i="106"/>
  <c r="F452" i="106"/>
  <c r="G452" i="106" s="1"/>
  <c r="B453" i="106"/>
  <c r="F453" i="106"/>
  <c r="G453" i="106" s="1"/>
  <c r="B454" i="106"/>
  <c r="F454" i="106"/>
  <c r="G454" i="106" s="1"/>
  <c r="B455" i="106"/>
  <c r="F455" i="106"/>
  <c r="G455" i="106" s="1"/>
  <c r="B456" i="106"/>
  <c r="F456" i="106"/>
  <c r="G456" i="106" s="1"/>
  <c r="B457" i="106"/>
  <c r="F457" i="106"/>
  <c r="G457" i="106" s="1"/>
  <c r="B458" i="106"/>
  <c r="F458" i="106"/>
  <c r="G458" i="106" s="1"/>
  <c r="B459" i="106"/>
  <c r="F459" i="106"/>
  <c r="G459" i="106" s="1"/>
  <c r="B460" i="106"/>
  <c r="F460" i="106"/>
  <c r="G460" i="106" s="1"/>
  <c r="B461" i="106"/>
  <c r="F461" i="106"/>
  <c r="G461" i="106" s="1"/>
  <c r="B462" i="106"/>
  <c r="F462" i="106"/>
  <c r="G462" i="106" s="1"/>
  <c r="B463" i="106"/>
  <c r="F463" i="106"/>
  <c r="G463" i="106" s="1"/>
  <c r="B464" i="106"/>
  <c r="F464" i="106"/>
  <c r="G464" i="106" s="1"/>
  <c r="B465" i="106"/>
  <c r="F465" i="106"/>
  <c r="G465" i="106" s="1"/>
  <c r="B466" i="106"/>
  <c r="F466" i="106"/>
  <c r="G466" i="106" s="1"/>
  <c r="B467" i="106"/>
  <c r="F467" i="106"/>
  <c r="G467" i="106" s="1"/>
  <c r="B468" i="106"/>
  <c r="F468" i="106"/>
  <c r="G468" i="106" s="1"/>
  <c r="B469" i="106"/>
  <c r="F469" i="106"/>
  <c r="G469" i="106" s="1"/>
  <c r="B470" i="106"/>
  <c r="F470" i="106"/>
  <c r="G470" i="106" s="1"/>
  <c r="B471" i="106"/>
  <c r="F471" i="106"/>
  <c r="G471" i="106" s="1"/>
  <c r="B472" i="106"/>
  <c r="F472" i="106"/>
  <c r="G472" i="106" s="1"/>
  <c r="B473" i="106"/>
  <c r="F473" i="106"/>
  <c r="G473" i="106" s="1"/>
  <c r="B474" i="106"/>
  <c r="F474" i="106"/>
  <c r="G474" i="106" s="1"/>
  <c r="B475" i="106"/>
  <c r="F475" i="106"/>
  <c r="G475" i="106" s="1"/>
  <c r="B476" i="106"/>
  <c r="F476" i="106"/>
  <c r="G476" i="106" s="1"/>
  <c r="B477" i="106"/>
  <c r="F477" i="106"/>
  <c r="G477" i="106" s="1"/>
  <c r="B478" i="106"/>
  <c r="F478" i="106"/>
  <c r="G478" i="106" s="1"/>
  <c r="B479" i="106"/>
  <c r="F479" i="106"/>
  <c r="G479" i="106" s="1"/>
  <c r="B480" i="106"/>
  <c r="F480" i="106"/>
  <c r="G480" i="106" s="1"/>
  <c r="B481" i="106"/>
  <c r="F481" i="106"/>
  <c r="G481" i="106" s="1"/>
  <c r="B482" i="106"/>
  <c r="F482" i="106"/>
  <c r="G482" i="106" s="1"/>
  <c r="B483" i="106"/>
  <c r="F483" i="106"/>
  <c r="G483" i="106" s="1"/>
  <c r="B484" i="106"/>
  <c r="F484" i="106"/>
  <c r="G484" i="106" s="1"/>
  <c r="B485" i="106"/>
  <c r="F485" i="106"/>
  <c r="G485" i="106" s="1"/>
  <c r="B486" i="106"/>
  <c r="F486" i="106"/>
  <c r="G486" i="106" s="1"/>
  <c r="B487" i="106"/>
  <c r="F487" i="106"/>
  <c r="G487" i="106" s="1"/>
  <c r="B488" i="106"/>
  <c r="F488" i="106"/>
  <c r="G488" i="106" s="1"/>
  <c r="B489" i="106"/>
  <c r="F489" i="106"/>
  <c r="G489" i="106" s="1"/>
  <c r="B490" i="106"/>
  <c r="F490" i="106"/>
  <c r="G490" i="106" s="1"/>
  <c r="B491" i="106"/>
  <c r="F491" i="106"/>
  <c r="G491" i="106" s="1"/>
  <c r="B492" i="106"/>
  <c r="F492" i="106"/>
  <c r="G492" i="106" s="1"/>
  <c r="B493" i="106"/>
  <c r="F493" i="106"/>
  <c r="G493" i="106" s="1"/>
  <c r="B494" i="106"/>
  <c r="F494" i="106"/>
  <c r="G494" i="106" s="1"/>
  <c r="B495" i="106"/>
  <c r="F495" i="106"/>
  <c r="G495" i="106" s="1"/>
  <c r="B496" i="106"/>
  <c r="F496" i="106"/>
  <c r="G496" i="106" s="1"/>
  <c r="B497" i="106"/>
  <c r="F497" i="106"/>
  <c r="G497" i="106" s="1"/>
  <c r="B498" i="106"/>
  <c r="F498" i="106"/>
  <c r="G498" i="106" s="1"/>
  <c r="B499" i="106"/>
  <c r="F499" i="106"/>
  <c r="G499" i="106" s="1"/>
  <c r="B500" i="106"/>
  <c r="F500" i="106"/>
  <c r="G500" i="106" s="1"/>
  <c r="B501" i="106"/>
  <c r="F501" i="106"/>
  <c r="G501" i="106" s="1"/>
  <c r="B502" i="106"/>
  <c r="F502" i="106"/>
  <c r="G502" i="106" s="1"/>
  <c r="B503" i="106"/>
  <c r="F503" i="106"/>
  <c r="G503" i="106" s="1"/>
  <c r="B504" i="106"/>
  <c r="F504" i="106"/>
  <c r="G504" i="106" s="1"/>
  <c r="B505" i="106"/>
  <c r="F505" i="106"/>
  <c r="G505" i="106" s="1"/>
  <c r="B506" i="106"/>
  <c r="F506" i="106"/>
  <c r="G506" i="106" s="1"/>
  <c r="B507" i="106"/>
  <c r="F507" i="106"/>
  <c r="G507" i="106" s="1"/>
  <c r="B508" i="106"/>
  <c r="F508" i="106"/>
  <c r="G508" i="106" s="1"/>
  <c r="B509" i="106"/>
  <c r="F509" i="106"/>
  <c r="G509" i="106" s="1"/>
  <c r="B510" i="106"/>
  <c r="F510" i="106"/>
  <c r="G510" i="106" s="1"/>
  <c r="B511" i="106"/>
  <c r="F511" i="106"/>
  <c r="G511" i="106" s="1"/>
  <c r="B512" i="106"/>
  <c r="F512" i="106"/>
  <c r="G512" i="106" s="1"/>
  <c r="B513" i="106"/>
  <c r="F513" i="106"/>
  <c r="G513" i="106" s="1"/>
  <c r="B514" i="106"/>
  <c r="F514" i="106"/>
  <c r="G514" i="106" s="1"/>
  <c r="B515" i="106"/>
  <c r="F515" i="106"/>
  <c r="G515" i="106" s="1"/>
  <c r="B516" i="106"/>
  <c r="F516" i="106"/>
  <c r="G516" i="106" s="1"/>
  <c r="B517" i="106"/>
  <c r="F517" i="106"/>
  <c r="G517" i="106" s="1"/>
  <c r="B518" i="106"/>
  <c r="F518" i="106"/>
  <c r="G518" i="106" s="1"/>
  <c r="B519" i="106"/>
  <c r="F519" i="106"/>
  <c r="G519" i="106" s="1"/>
  <c r="B520" i="106"/>
  <c r="F520" i="106"/>
  <c r="G520" i="106" s="1"/>
  <c r="B521" i="106"/>
  <c r="F521" i="106"/>
  <c r="G521" i="106" s="1"/>
  <c r="B522" i="106"/>
  <c r="F522" i="106"/>
  <c r="G522" i="106" s="1"/>
  <c r="B523" i="106"/>
  <c r="F523" i="106"/>
  <c r="G523" i="106" s="1"/>
  <c r="B524" i="106"/>
  <c r="F524" i="106"/>
  <c r="G524" i="106" s="1"/>
  <c r="B525" i="106"/>
  <c r="F525" i="106"/>
  <c r="G525" i="106" s="1"/>
  <c r="B526" i="106"/>
  <c r="F526" i="106"/>
  <c r="G526" i="106" s="1"/>
  <c r="B527" i="106"/>
  <c r="F527" i="106"/>
  <c r="G527" i="106" s="1"/>
  <c r="B528" i="106"/>
  <c r="F528" i="106"/>
  <c r="G528" i="106" s="1"/>
  <c r="B529" i="106"/>
  <c r="F529" i="106"/>
  <c r="G529" i="106" s="1"/>
  <c r="B530" i="106"/>
  <c r="F530" i="106"/>
  <c r="G530" i="106" s="1"/>
  <c r="B531" i="106"/>
  <c r="F531" i="106"/>
  <c r="G531" i="106" s="1"/>
  <c r="B532" i="106"/>
  <c r="F532" i="106"/>
  <c r="G532" i="106" s="1"/>
  <c r="B533" i="106"/>
  <c r="F533" i="106"/>
  <c r="G533" i="106" s="1"/>
  <c r="B534" i="106"/>
  <c r="F534" i="106"/>
  <c r="G534" i="106" s="1"/>
  <c r="B535" i="106"/>
  <c r="F535" i="106"/>
  <c r="G535" i="106" s="1"/>
  <c r="B536" i="106"/>
  <c r="F536" i="106"/>
  <c r="G536" i="106" s="1"/>
  <c r="B537" i="106"/>
  <c r="F537" i="106"/>
  <c r="G537" i="106" s="1"/>
  <c r="B538" i="106"/>
  <c r="F538" i="106"/>
  <c r="G538" i="106" s="1"/>
  <c r="B539" i="106"/>
  <c r="F539" i="106"/>
  <c r="G539" i="106" s="1"/>
  <c r="B540" i="106"/>
  <c r="F540" i="106"/>
  <c r="G540" i="106" s="1"/>
  <c r="B541" i="106"/>
  <c r="F541" i="106"/>
  <c r="G541" i="106" s="1"/>
  <c r="B542" i="106"/>
  <c r="F542" i="106"/>
  <c r="G542" i="106" s="1"/>
  <c r="B543" i="106"/>
  <c r="F543" i="106"/>
  <c r="G543" i="106" s="1"/>
  <c r="B544" i="106"/>
  <c r="F544" i="106"/>
  <c r="G544" i="106" s="1"/>
  <c r="B545" i="106"/>
  <c r="F545" i="106"/>
  <c r="G545" i="106" s="1"/>
  <c r="B546" i="106"/>
  <c r="F546" i="106"/>
  <c r="G546" i="106" s="1"/>
  <c r="B547" i="106"/>
  <c r="F547" i="106"/>
  <c r="G547" i="106" s="1"/>
  <c r="B548" i="106"/>
  <c r="F548" i="106"/>
  <c r="G548" i="106" s="1"/>
  <c r="B549" i="106"/>
  <c r="F549" i="106"/>
  <c r="G549" i="106" s="1"/>
  <c r="B550" i="106"/>
  <c r="F550" i="106"/>
  <c r="G550" i="106" s="1"/>
  <c r="B551" i="106"/>
  <c r="F551" i="106"/>
  <c r="G551" i="106" s="1"/>
  <c r="B552" i="106"/>
  <c r="F552" i="106"/>
  <c r="G552" i="106" s="1"/>
  <c r="B553" i="106"/>
  <c r="F553" i="106"/>
  <c r="G553" i="106" s="1"/>
  <c r="B554" i="106"/>
  <c r="F554" i="106"/>
  <c r="G554" i="106" s="1"/>
  <c r="B555" i="106"/>
  <c r="F555" i="106"/>
  <c r="G555" i="106" s="1"/>
  <c r="B556" i="106"/>
  <c r="F556" i="106"/>
  <c r="G556" i="106" s="1"/>
  <c r="B557" i="106"/>
  <c r="F557" i="106"/>
  <c r="G557" i="106" s="1"/>
  <c r="B558" i="106"/>
  <c r="F558" i="106"/>
  <c r="G558" i="106" s="1"/>
  <c r="B559" i="106"/>
  <c r="F559" i="106"/>
  <c r="G559" i="106" s="1"/>
  <c r="B560" i="106"/>
  <c r="F560" i="106"/>
  <c r="G560" i="106" s="1"/>
  <c r="B561" i="106"/>
  <c r="F561" i="106"/>
  <c r="G561" i="106" s="1"/>
  <c r="B562" i="106"/>
  <c r="F562" i="106"/>
  <c r="G562" i="106" s="1"/>
  <c r="B563" i="106"/>
  <c r="F563" i="106"/>
  <c r="G563" i="106" s="1"/>
  <c r="B564" i="106"/>
  <c r="F564" i="106"/>
  <c r="G564" i="106" s="1"/>
  <c r="B565" i="106"/>
  <c r="F565" i="106"/>
  <c r="G565" i="106" s="1"/>
  <c r="B566" i="106"/>
  <c r="F566" i="106"/>
  <c r="G566" i="106" s="1"/>
  <c r="B567" i="106"/>
  <c r="F567" i="106"/>
  <c r="G567" i="106" s="1"/>
  <c r="B568" i="106"/>
  <c r="F568" i="106"/>
  <c r="G568" i="106" s="1"/>
  <c r="B569" i="106"/>
  <c r="F569" i="106"/>
  <c r="G569" i="106" s="1"/>
  <c r="B570" i="106"/>
  <c r="F570" i="106"/>
  <c r="G570" i="106" s="1"/>
  <c r="B571" i="106"/>
  <c r="F571" i="106"/>
  <c r="G571" i="106" s="1"/>
  <c r="B572" i="106"/>
  <c r="F572" i="106"/>
  <c r="G572" i="106" s="1"/>
  <c r="B573" i="106"/>
  <c r="F573" i="106"/>
  <c r="G573" i="106" s="1"/>
  <c r="B574" i="106"/>
  <c r="F574" i="106"/>
  <c r="G574" i="106" s="1"/>
  <c r="B575" i="106"/>
  <c r="F575" i="106"/>
  <c r="G575" i="106" s="1"/>
  <c r="B576" i="106"/>
  <c r="F576" i="106"/>
  <c r="G576" i="106" s="1"/>
  <c r="B577" i="106"/>
  <c r="F577" i="106"/>
  <c r="G577" i="106" s="1"/>
  <c r="B578" i="106"/>
  <c r="F578" i="106"/>
  <c r="G578" i="106" s="1"/>
  <c r="B579" i="106"/>
  <c r="F579" i="106"/>
  <c r="G579" i="106" s="1"/>
  <c r="B580" i="106"/>
  <c r="F580" i="106"/>
  <c r="G580" i="106" s="1"/>
  <c r="B581" i="106"/>
  <c r="F581" i="106"/>
  <c r="G581" i="106" s="1"/>
  <c r="B582" i="106"/>
  <c r="F582" i="106"/>
  <c r="G582" i="106" s="1"/>
  <c r="B583" i="106"/>
  <c r="F583" i="106"/>
  <c r="G583" i="106" s="1"/>
  <c r="B584" i="106"/>
  <c r="F584" i="106"/>
  <c r="G584" i="106" s="1"/>
  <c r="B585" i="106"/>
  <c r="F585" i="106"/>
  <c r="G585" i="106" s="1"/>
  <c r="B586" i="106"/>
  <c r="F586" i="106"/>
  <c r="G586" i="106" s="1"/>
  <c r="B587" i="106"/>
  <c r="F587" i="106"/>
  <c r="G587" i="106" s="1"/>
  <c r="B588" i="106"/>
  <c r="F588" i="106"/>
  <c r="G588" i="106" s="1"/>
  <c r="B589" i="106"/>
  <c r="F589" i="106"/>
  <c r="G589" i="106" s="1"/>
  <c r="B590" i="106"/>
  <c r="F590" i="106"/>
  <c r="G590" i="106" s="1"/>
  <c r="B591" i="106"/>
  <c r="F591" i="106"/>
  <c r="G591" i="106" s="1"/>
  <c r="B592" i="106"/>
  <c r="F592" i="106"/>
  <c r="G592" i="106" s="1"/>
  <c r="B593" i="106"/>
  <c r="F593" i="106"/>
  <c r="G593" i="106" s="1"/>
  <c r="B594" i="106"/>
  <c r="F594" i="106"/>
  <c r="G594" i="106" s="1"/>
  <c r="B595" i="106"/>
  <c r="F595" i="106"/>
  <c r="G595" i="106" s="1"/>
  <c r="B596" i="106"/>
  <c r="F596" i="106"/>
  <c r="G596" i="106" s="1"/>
  <c r="B597" i="106"/>
  <c r="F597" i="106"/>
  <c r="G597" i="106" s="1"/>
  <c r="B598" i="106"/>
  <c r="F598" i="106"/>
  <c r="G598" i="106" s="1"/>
  <c r="B599" i="106"/>
  <c r="F599" i="106"/>
  <c r="G599" i="106" s="1"/>
  <c r="B600" i="106"/>
  <c r="F600" i="106"/>
  <c r="G600" i="106" s="1"/>
  <c r="B601" i="106"/>
  <c r="F601" i="106"/>
  <c r="G601" i="106" s="1"/>
  <c r="B602" i="106"/>
  <c r="F602" i="106"/>
  <c r="G602" i="106" s="1"/>
  <c r="B603" i="106"/>
  <c r="F603" i="106"/>
  <c r="G603" i="106" s="1"/>
  <c r="B604" i="106"/>
  <c r="F604" i="106"/>
  <c r="G604" i="106" s="1"/>
  <c r="B605" i="106"/>
  <c r="F605" i="106"/>
  <c r="G605" i="106" s="1"/>
  <c r="B606" i="106"/>
  <c r="F606" i="106"/>
  <c r="G606" i="106" s="1"/>
  <c r="B607" i="106"/>
  <c r="F607" i="106"/>
  <c r="G607" i="106" s="1"/>
  <c r="B608" i="106"/>
  <c r="F608" i="106"/>
  <c r="G608" i="106" s="1"/>
  <c r="B609" i="106"/>
  <c r="F609" i="106"/>
  <c r="G609" i="106" s="1"/>
  <c r="B610" i="106"/>
  <c r="F610" i="106"/>
  <c r="G610" i="106" s="1"/>
  <c r="B11" i="106"/>
  <c r="G11" i="106" s="1"/>
  <c r="L5" i="106"/>
  <c r="L6" i="106"/>
  <c r="L8" i="106"/>
  <c r="L7" i="106"/>
  <c r="AA41" i="106" l="1"/>
  <c r="AA40" i="106"/>
  <c r="AA36" i="106"/>
  <c r="AA35" i="106"/>
  <c r="AA31" i="106"/>
  <c r="AA30" i="106"/>
  <c r="AA26" i="106"/>
  <c r="AA25" i="106"/>
  <c r="AA21" i="106"/>
  <c r="AA20" i="106"/>
  <c r="AA16" i="106"/>
  <c r="AA15" i="106"/>
  <c r="AA11" i="106"/>
  <c r="AA10" i="106"/>
  <c r="AA6" i="106"/>
  <c r="AA5" i="106"/>
  <c r="F20" i="106"/>
  <c r="G20" i="106" s="1"/>
  <c r="H11" i="106"/>
  <c r="C4" i="39" l="1"/>
  <c r="C5" i="106" l="1"/>
</calcChain>
</file>

<file path=xl/sharedStrings.xml><?xml version="1.0" encoding="utf-8"?>
<sst xmlns="http://schemas.openxmlformats.org/spreadsheetml/2006/main" count="547" uniqueCount="183">
  <si>
    <t>PDI</t>
  </si>
  <si>
    <t>Lam/A</t>
  </si>
  <si>
    <t>Refin</t>
  </si>
  <si>
    <t>A2</t>
  </si>
  <si>
    <t>Overall strategy is run the program twice:</t>
  </si>
  <si>
    <t>first time identifies bad runs &amp; makes overall average with statistics</t>
  </si>
  <si>
    <t>second time select all runs (ctrl-A on input) then delete bad runs; generate selected average and statistics</t>
  </si>
  <si>
    <t>I keep killing the design notes tab, but here's the gist of it</t>
  </si>
  <si>
    <t xml:space="preserve">Current problems: </t>
  </si>
  <si>
    <t>Cleanup of Final4 plots</t>
  </si>
  <si>
    <t xml:space="preserve">Importing and averaging the ALV's cumulants results </t>
  </si>
  <si>
    <t>Moving ahead to fits (Frisken, nonlinear least squares, etc)</t>
  </si>
  <si>
    <t>Gamma vs q2, Rhapp vs q2 plots</t>
  </si>
  <si>
    <t>Rearrange averaged &amp; noise plots for Origin plotting</t>
  </si>
  <si>
    <t>I think the 1/16/2022 version contained some of the fixes necessitated by whatever disaster</t>
  </si>
  <si>
    <t xml:space="preserve">attends the downgrade from Office365 to 2019. It looked like the </t>
  </si>
  <si>
    <t>.find property cannot use xlformulas2 library. I fixed some of these on 1/16/2022 but</t>
  </si>
  <si>
    <t xml:space="preserve">maybe not all of them. I thought it was running, but today it does not. Maybe this is one of </t>
  </si>
  <si>
    <t>those cases where I stopped after figuring it out, but did not follow through with everything.</t>
  </si>
  <si>
    <t xml:space="preserve">In defense, Mary's stroke came on 1/19/2022 so I did not quickly get back to this issue. </t>
  </si>
  <si>
    <t>What I remember was I had to retype the whole line (or do something wholly) from the start</t>
  </si>
  <si>
    <t xml:space="preserve">Just changing xlformulas2 to xlformulas did not cut it. </t>
  </si>
  <si>
    <t xml:space="preserve">Ah…now it comes back to me. I think I had to make a new Excel file and record that macro in </t>
  </si>
  <si>
    <t xml:space="preserve">Excel 2019. </t>
  </si>
  <si>
    <t xml:space="preserve">This time, searching the .find statements and replacing xlformulas2 with xlformulas did fix a crash. </t>
  </si>
  <si>
    <t>Next: clear sheets routine should remove the graphs of average correlation functions</t>
  </si>
  <si>
    <t>Also, the axes should be altered for a sensible ymax and crosses at values</t>
  </si>
  <si>
    <t>Users should be offered a chance to set xmax &amp; ymax for all runs after first correlogram is displayed</t>
  </si>
  <si>
    <t>Clear sheets now removes graphs of the averaged plots</t>
  </si>
  <si>
    <t>To begin the cumulants analysis, added ForExport worksheet and macro to populate it; can use in Origin</t>
  </si>
  <si>
    <t xml:space="preserve">        and maybe this becomes the start of the cumulants package. </t>
  </si>
  <si>
    <t xml:space="preserve">See a .txt file for some links to weighted polynomial least squares. </t>
  </si>
  <si>
    <t xml:space="preserve">Maybe the best way is the nonlinear, as it is easy to minimize the weighted sum of squares. </t>
  </si>
  <si>
    <t>Still no xmax &amp; ymax after first run displayed…marking that red (see 2 rows up) for undone (not sure it really matters)</t>
  </si>
  <si>
    <t>Angle/deg</t>
  </si>
  <si>
    <t>Base Adjust</t>
  </si>
  <si>
    <t>A1</t>
  </si>
  <si>
    <t>A3</t>
  </si>
  <si>
    <t>Gamma1</t>
  </si>
  <si>
    <t>Gamma2</t>
  </si>
  <si>
    <t>Gamma3</t>
  </si>
  <si>
    <r>
      <t>q</t>
    </r>
    <r>
      <rPr>
        <vertAlign val="superscript"/>
        <sz val="11"/>
        <color theme="1"/>
        <rFont val="Calibri"/>
        <family val="2"/>
        <scheme val="minor"/>
      </rPr>
      <t>2</t>
    </r>
    <r>
      <rPr>
        <sz val="11"/>
        <color theme="1"/>
        <rFont val="Calibri"/>
        <family val="2"/>
        <scheme val="minor"/>
      </rPr>
      <t>/cm</t>
    </r>
    <r>
      <rPr>
        <vertAlign val="superscript"/>
        <sz val="11"/>
        <color theme="1"/>
        <rFont val="Calibri"/>
        <family val="2"/>
        <scheme val="minor"/>
      </rPr>
      <t>-2</t>
    </r>
  </si>
  <si>
    <t>lag time/s</t>
  </si>
  <si>
    <t>lag time/ms</t>
  </si>
  <si>
    <t>SSE</t>
  </si>
  <si>
    <r>
      <t>g</t>
    </r>
    <r>
      <rPr>
        <vertAlign val="superscript"/>
        <sz val="11"/>
        <color theme="1"/>
        <rFont val="Calibri"/>
        <family val="2"/>
        <scheme val="minor"/>
      </rPr>
      <t>(2)</t>
    </r>
    <r>
      <rPr>
        <sz val="11"/>
        <color theme="1"/>
        <rFont val="Calibri"/>
        <family val="2"/>
        <scheme val="minor"/>
      </rPr>
      <t>-1</t>
    </r>
  </si>
  <si>
    <r>
      <t>g</t>
    </r>
    <r>
      <rPr>
        <vertAlign val="superscript"/>
        <sz val="11"/>
        <color theme="1"/>
        <rFont val="Calibri"/>
        <family val="2"/>
        <scheme val="minor"/>
      </rPr>
      <t>(2)</t>
    </r>
    <r>
      <rPr>
        <sz val="11"/>
        <color theme="1"/>
        <rFont val="Calibri"/>
        <family val="2"/>
        <scheme val="minor"/>
      </rPr>
      <t>-1, calc</t>
    </r>
  </si>
  <si>
    <t>First Channel Used</t>
  </si>
  <si>
    <t>Index</t>
  </si>
  <si>
    <t>SE</t>
  </si>
  <si>
    <t>Error</t>
  </si>
  <si>
    <t>Last  Channel Used</t>
  </si>
  <si>
    <t>row #</t>
  </si>
  <si>
    <t>q2/cm-2</t>
  </si>
  <si>
    <t>kHz</t>
  </si>
  <si>
    <r>
      <t>q</t>
    </r>
    <r>
      <rPr>
        <vertAlign val="superscript"/>
        <sz val="11"/>
        <color theme="1"/>
        <rFont val="Calibri"/>
        <family val="2"/>
        <scheme val="minor"/>
      </rPr>
      <t>2</t>
    </r>
    <r>
      <rPr>
        <sz val="11"/>
        <color theme="1"/>
        <rFont val="Calibri"/>
        <family val="2"/>
        <scheme val="minor"/>
      </rPr>
      <t>/10</t>
    </r>
    <r>
      <rPr>
        <vertAlign val="superscript"/>
        <sz val="11"/>
        <color theme="1"/>
        <rFont val="Calibri"/>
        <family val="2"/>
        <scheme val="minor"/>
      </rPr>
      <t>10</t>
    </r>
  </si>
  <si>
    <t>TdegC</t>
  </si>
  <si>
    <t>TdegK</t>
  </si>
  <si>
    <r>
      <t>cm</t>
    </r>
    <r>
      <rPr>
        <vertAlign val="superscript"/>
        <sz val="11"/>
        <color theme="1"/>
        <rFont val="Calibri"/>
        <family val="2"/>
        <scheme val="minor"/>
      </rPr>
      <t>2</t>
    </r>
    <r>
      <rPr>
        <sz val="11"/>
        <color theme="1"/>
        <rFont val="Calibri"/>
        <family val="2"/>
        <scheme val="minor"/>
      </rPr>
      <t>s</t>
    </r>
    <r>
      <rPr>
        <vertAlign val="superscript"/>
        <sz val="11"/>
        <color theme="1"/>
        <rFont val="Calibri"/>
        <family val="2"/>
        <scheme val="minor"/>
      </rPr>
      <t>-1</t>
    </r>
  </si>
  <si>
    <r>
      <t>Dapp1/10</t>
    </r>
    <r>
      <rPr>
        <vertAlign val="superscript"/>
        <sz val="11"/>
        <color theme="1"/>
        <rFont val="Calibri"/>
        <family val="2"/>
        <scheme val="minor"/>
      </rPr>
      <t>-7</t>
    </r>
  </si>
  <si>
    <r>
      <t>Dapp2/10</t>
    </r>
    <r>
      <rPr>
        <vertAlign val="superscript"/>
        <sz val="11"/>
        <color theme="1"/>
        <rFont val="Calibri"/>
        <family val="2"/>
        <scheme val="minor"/>
      </rPr>
      <t>-7</t>
    </r>
  </si>
  <si>
    <r>
      <t>Dapp3/10</t>
    </r>
    <r>
      <rPr>
        <vertAlign val="superscript"/>
        <sz val="11"/>
        <color theme="1"/>
        <rFont val="Calibri"/>
        <family val="2"/>
        <scheme val="minor"/>
      </rPr>
      <t>-7</t>
    </r>
  </si>
  <si>
    <t>Rhapp1</t>
  </si>
  <si>
    <t>Rhapp2</t>
  </si>
  <si>
    <t>Rhapp3</t>
  </si>
  <si>
    <t>nm</t>
  </si>
  <si>
    <r>
      <t>kBoltz/erg.K</t>
    </r>
    <r>
      <rPr>
        <vertAlign val="superscript"/>
        <sz val="11"/>
        <color theme="1"/>
        <rFont val="Calibri"/>
        <family val="2"/>
        <scheme val="minor"/>
      </rPr>
      <t>-1</t>
    </r>
  </si>
  <si>
    <r>
      <t>Eta/cP (P=g.cm</t>
    </r>
    <r>
      <rPr>
        <vertAlign val="superscript"/>
        <sz val="11"/>
        <color theme="1"/>
        <rFont val="Calibri"/>
        <family val="2"/>
        <scheme val="minor"/>
      </rPr>
      <t>-1</t>
    </r>
    <r>
      <rPr>
        <sz val="11"/>
        <color theme="1"/>
        <rFont val="Calibri"/>
        <family val="2"/>
        <scheme val="minor"/>
      </rPr>
      <t>.s</t>
    </r>
    <r>
      <rPr>
        <vertAlign val="superscript"/>
        <sz val="11"/>
        <color theme="1"/>
        <rFont val="Calibri"/>
        <family val="2"/>
        <scheme val="minor"/>
      </rPr>
      <t>-1</t>
    </r>
    <r>
      <rPr>
        <sz val="11"/>
        <color theme="1"/>
        <rFont val="Calibri"/>
        <family val="2"/>
        <scheme val="minor"/>
      </rPr>
      <t>)</t>
    </r>
  </si>
  <si>
    <t>Multiple exponential fitting has been achieved (MEXP via intermediate ForExport sheet)</t>
  </si>
  <si>
    <t>The ForExport sheet can be exported to Origin or similar programs</t>
  </si>
  <si>
    <t>Seems to work remarkably well; this is the first time I have operated Solver from VBA;</t>
  </si>
  <si>
    <t xml:space="preserve">I don't know why we have to look at the approval of the Solver results dialog, but it's probably not a bad idea anyway. </t>
  </si>
  <si>
    <t>Data could be copied out of the ForExport sheet for a traditional linear fitting cumulants approach</t>
  </si>
  <si>
    <t>The next thing is to experiment whether the MEXP sheet can be copied and turned into a Frisken-like nonlinear cumulants</t>
  </si>
  <si>
    <t>Added plots showing noise (uncertainties) after the averaging</t>
  </si>
  <si>
    <t>Repaired data that got "splinched" due to a missing Sheets("Main").select line in the routine that populates ForExport</t>
  </si>
  <si>
    <t>G</t>
  </si>
  <si>
    <r>
      <rPr>
        <sz val="11"/>
        <color theme="1"/>
        <rFont val="Symbol"/>
        <family val="1"/>
        <charset val="2"/>
      </rPr>
      <t>m</t>
    </r>
    <r>
      <rPr>
        <vertAlign val="subscript"/>
        <sz val="11"/>
        <color theme="1"/>
        <rFont val="Calibri"/>
        <family val="2"/>
        <scheme val="minor"/>
      </rPr>
      <t>2</t>
    </r>
  </si>
  <si>
    <r>
      <t>m</t>
    </r>
    <r>
      <rPr>
        <vertAlign val="subscript"/>
        <sz val="11"/>
        <color theme="1"/>
        <rFont val="Symbol"/>
        <family val="1"/>
        <charset val="2"/>
      </rPr>
      <t>3</t>
    </r>
  </si>
  <si>
    <t>f</t>
  </si>
  <si>
    <r>
      <rPr>
        <sz val="11"/>
        <color theme="1"/>
        <rFont val="Symbol"/>
        <family val="1"/>
        <charset val="2"/>
      </rPr>
      <t>m</t>
    </r>
    <r>
      <rPr>
        <vertAlign val="subscript"/>
        <sz val="11"/>
        <color theme="1"/>
        <rFont val="Calibri"/>
        <family val="2"/>
        <scheme val="minor"/>
      </rPr>
      <t>4</t>
    </r>
  </si>
  <si>
    <r>
      <t>m</t>
    </r>
    <r>
      <rPr>
        <vertAlign val="subscript"/>
        <sz val="11"/>
        <color theme="0" tint="-4.9989318521683403E-2"/>
        <rFont val="Symbol"/>
        <family val="1"/>
        <charset val="2"/>
      </rPr>
      <t>3</t>
    </r>
  </si>
  <si>
    <r>
      <t>m</t>
    </r>
    <r>
      <rPr>
        <vertAlign val="subscript"/>
        <sz val="11"/>
        <color theme="1"/>
        <rFont val="Symbol"/>
        <family val="1"/>
        <charset val="2"/>
      </rPr>
      <t>4</t>
    </r>
  </si>
  <si>
    <r>
      <t>Dapp/10</t>
    </r>
    <r>
      <rPr>
        <vertAlign val="superscript"/>
        <sz val="11"/>
        <color theme="1"/>
        <rFont val="Calibri"/>
        <family val="2"/>
        <scheme val="minor"/>
      </rPr>
      <t>-7</t>
    </r>
  </si>
  <si>
    <t>unitless</t>
  </si>
  <si>
    <r>
      <t>cm</t>
    </r>
    <r>
      <rPr>
        <vertAlign val="superscript"/>
        <sz val="11"/>
        <color theme="1"/>
        <rFont val="Calibri"/>
        <family val="2"/>
        <scheme val="minor"/>
      </rPr>
      <t>-2</t>
    </r>
  </si>
  <si>
    <r>
      <t>kHz</t>
    </r>
    <r>
      <rPr>
        <vertAlign val="superscript"/>
        <sz val="11"/>
        <color theme="1"/>
        <rFont val="Calibri"/>
        <family val="2"/>
        <scheme val="minor"/>
      </rPr>
      <t>2</t>
    </r>
  </si>
  <si>
    <r>
      <t>kHz</t>
    </r>
    <r>
      <rPr>
        <vertAlign val="superscript"/>
        <sz val="11"/>
        <color theme="1"/>
        <rFont val="Calibri"/>
        <family val="2"/>
        <scheme val="minor"/>
      </rPr>
      <t>3</t>
    </r>
  </si>
  <si>
    <r>
      <t>kHz</t>
    </r>
    <r>
      <rPr>
        <vertAlign val="superscript"/>
        <sz val="11"/>
        <color theme="1"/>
        <rFont val="Calibri"/>
        <family val="2"/>
        <scheme val="minor"/>
      </rPr>
      <t>4</t>
    </r>
  </si>
  <si>
    <t>kHz2</t>
  </si>
  <si>
    <t>kHz3</t>
  </si>
  <si>
    <t>Much effort to implement the cumulants; harder than you'd think!</t>
  </si>
  <si>
    <t>Discovered calculate "manual" option…Excel seems to protect itself when given weird tasks (e.g., Solver using a string as one of the variables when it should be number)</t>
  </si>
  <si>
    <t xml:space="preserve">Matched the color codes, but "paste as values" from the array that runs Solver seems to trample formatting; oh well. </t>
  </si>
  <si>
    <t>Probably relatively simple to add a "Russo" and "Frisken" type cumulants…just another calculated column; choose which to use when computing errors</t>
  </si>
  <si>
    <t>Or…calculate both &amp; choose which to minimize with Solver</t>
  </si>
  <si>
    <t>lagtime/s</t>
  </si>
  <si>
    <t xml:space="preserve"> For vertical indicators</t>
  </si>
  <si>
    <t>For vertical indicators</t>
  </si>
  <si>
    <t>m2</t>
  </si>
  <si>
    <r>
      <t>m</t>
    </r>
    <r>
      <rPr>
        <vertAlign val="subscript"/>
        <sz val="11"/>
        <color theme="1"/>
        <rFont val="Symbol"/>
        <family val="1"/>
        <charset val="2"/>
      </rPr>
      <t>2</t>
    </r>
    <r>
      <rPr>
        <sz val="11"/>
        <color theme="1"/>
        <rFont val="Symbol"/>
        <family val="1"/>
        <charset val="2"/>
      </rPr>
      <t>/G</t>
    </r>
    <r>
      <rPr>
        <vertAlign val="superscript"/>
        <sz val="11"/>
        <color theme="1"/>
        <rFont val="Symbol"/>
        <family val="1"/>
        <charset val="2"/>
      </rPr>
      <t>2</t>
    </r>
  </si>
  <si>
    <t>Added vertical lines for first &amp; last channels used to fitted plots</t>
  </si>
  <si>
    <t xml:space="preserve">Have been using this for a while. It still needs removal of extra BS like the GammaVsQ2 sheet, but basically it works. </t>
  </si>
  <si>
    <r>
      <rPr>
        <sz val="11"/>
        <color theme="0" tint="-4.9989318521683403E-2"/>
        <rFont val="Symbol"/>
        <family val="1"/>
        <charset val="2"/>
      </rPr>
      <t>m</t>
    </r>
    <r>
      <rPr>
        <vertAlign val="subscript"/>
        <sz val="11"/>
        <color theme="0" tint="-4.9989318521683403E-2"/>
        <rFont val="Calibri"/>
        <family val="2"/>
        <scheme val="minor"/>
      </rPr>
      <t>4</t>
    </r>
  </si>
  <si>
    <t xml:space="preserve">The default parameters were set to 6850 wavelength. Not sure it matters because maybe the wavelengths are read with the file. Did not </t>
  </si>
  <si>
    <t>seem to change after-the-calculation results.</t>
  </si>
  <si>
    <t xml:space="preserve">Added a routine to clear the Cumulants results; linked that to reset on Main too. This clear option does leave behind a few tracks, but they will be </t>
  </si>
  <si>
    <t>rewritten if new cumulants data is brought in. At least the plots go away; that was potentially deceptive.</t>
  </si>
  <si>
    <t>Done</t>
  </si>
  <si>
    <t>Cumulant 1.Order [Det 1]</t>
  </si>
  <si>
    <t>Gamma [1/ms]</t>
  </si>
  <si>
    <t>Cumulant 2.Order [Det 1]</t>
  </si>
  <si>
    <t>Expansion Parameter ╡2</t>
  </si>
  <si>
    <t>Cumulant 3.Order [Det 1]</t>
  </si>
  <si>
    <t>Expansion Parameter ╡3</t>
  </si>
  <si>
    <t>Cumulant 1.Order [Det 2]</t>
  </si>
  <si>
    <t>Cumulant 2.Order [Det 2]</t>
  </si>
  <si>
    <t>Cumulant 3.Order [Det 2]</t>
  </si>
  <si>
    <t>Cumulant 1.Order [Det 3]</t>
  </si>
  <si>
    <t>Cumulant 2.Order [Det 3]</t>
  </si>
  <si>
    <t>Cumulant 3.Order [Det 3]</t>
  </si>
  <si>
    <t>Cumulant 1.Order [Det 4]</t>
  </si>
  <si>
    <t>Cumulant 2.Order [Det 4]</t>
  </si>
  <si>
    <t>Cumulant 3.Order [Det 4]</t>
  </si>
  <si>
    <t>Cumulant 1.Order [Det 5]</t>
  </si>
  <si>
    <t>Cumulant 2.Order [Det 5]</t>
  </si>
  <si>
    <t>Cumulant 3.Order [Det 5]</t>
  </si>
  <si>
    <t>Cumulant 1.Order [Det 6]</t>
  </si>
  <si>
    <t>Cumulant 2.Order [Det 6]</t>
  </si>
  <si>
    <t>Cumulant 3.Order [Det 6]</t>
  </si>
  <si>
    <t>Cumulant 1.Order [Det 7]</t>
  </si>
  <si>
    <t>Cumulant 2.Order [Det 7]</t>
  </si>
  <si>
    <t>Cumulant 3.Order [Det 7]</t>
  </si>
  <si>
    <t>Cumulant 1.Order [Det 8]</t>
  </si>
  <si>
    <t>Cumulant 2.Order [Det 8]</t>
  </si>
  <si>
    <t>Cumulant 3.Order [Det 8]</t>
  </si>
  <si>
    <t>q/cm-1</t>
  </si>
  <si>
    <t>Intensity/kHz&gt;&gt;</t>
  </si>
  <si>
    <t>Gamma[1/ms]&gt;&gt;</t>
  </si>
  <si>
    <t>Run number &gt;&gt;</t>
  </si>
  <si>
    <t xml:space="preserve"> Intensity/kHz&gt;&gt;</t>
  </si>
  <si>
    <t xml:space="preserve">   RESULTS BELOW ARE POPULATED BY CODE</t>
  </si>
  <si>
    <t>Background or solvent/kHz</t>
  </si>
  <si>
    <t>LEAVE ENTRIES IN THESE YELLOW CELLS ALONE:  CONTENTS OR POPULATED BY CODE</t>
  </si>
  <si>
    <t>Intensity [Det 1]</t>
  </si>
  <si>
    <t>Intensity [Det 3]</t>
  </si>
  <si>
    <t>Intensity [Det 2]</t>
  </si>
  <si>
    <t>Intensity [Det 8]</t>
  </si>
  <si>
    <t>Intensity [Det 4]</t>
  </si>
  <si>
    <t>Intensity [Det 5]</t>
  </si>
  <si>
    <t>Intensity [Det 7]</t>
  </si>
  <si>
    <t>Intensity [Det 6]</t>
  </si>
  <si>
    <r>
      <t>Normalization Factors (</t>
    </r>
    <r>
      <rPr>
        <sz val="11"/>
        <color rgb="FFFF0000"/>
        <rFont val="Calibri"/>
        <family val="2"/>
        <scheme val="minor"/>
      </rPr>
      <t>user input</t>
    </r>
    <r>
      <rPr>
        <sz val="11"/>
        <color theme="1"/>
        <rFont val="Calibri"/>
        <family val="2"/>
        <scheme val="minor"/>
      </rPr>
      <t>)</t>
    </r>
  </si>
  <si>
    <t>Rh1CUMU/nm&gt;&gt;</t>
  </si>
  <si>
    <t>Rh2CUMU/nm&gt;&gt;</t>
  </si>
  <si>
    <t>Rh3CUMU/nm&gt;&gt;</t>
  </si>
  <si>
    <t>Norm date = Sept 2 2022</t>
  </si>
  <si>
    <r>
      <t xml:space="preserve">Norm sample = </t>
    </r>
    <r>
      <rPr>
        <sz val="11"/>
        <color rgb="FFFF0000"/>
        <rFont val="Calibri"/>
        <family val="2"/>
        <scheme val="minor"/>
      </rPr>
      <t>Brij</t>
    </r>
  </si>
  <si>
    <t xml:space="preserve">  </t>
  </si>
  <si>
    <t xml:space="preserve">Added Trend capability to follow 2CUMU intensities and Rh values in kinetic experiments. </t>
  </si>
  <si>
    <t xml:space="preserve">At one point, the "clear trend sheet" command was wiping out the cumulants page,but I think that is fixed now. </t>
  </si>
  <si>
    <r>
      <rPr>
        <sz val="11"/>
        <color theme="1"/>
        <rFont val="Script MT Bold"/>
        <family val="4"/>
      </rPr>
      <t>ln</t>
    </r>
    <r>
      <rPr>
        <sz val="11"/>
        <color theme="1"/>
        <rFont val="Calibri"/>
        <family val="2"/>
        <scheme val="minor"/>
      </rPr>
      <t>(Intensity)</t>
    </r>
    <r>
      <rPr>
        <sz val="11"/>
        <color theme="1"/>
        <rFont val="Calibri"/>
        <family val="4"/>
        <scheme val="minor"/>
      </rPr>
      <t xml:space="preserve"> </t>
    </r>
  </si>
  <si>
    <t>Guinier plot results</t>
  </si>
  <si>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slope/nm.cm</t>
    </r>
    <r>
      <rPr>
        <b/>
        <vertAlign val="superscript"/>
        <sz val="11"/>
        <color theme="1"/>
        <rFont val="Calibri"/>
        <family val="2"/>
        <scheme val="minor"/>
      </rPr>
      <t>2</t>
    </r>
  </si>
  <si>
    <r>
      <t>R</t>
    </r>
    <r>
      <rPr>
        <b/>
        <vertAlign val="subscript"/>
        <sz val="11"/>
        <color theme="1"/>
        <rFont val="Calibri"/>
        <family val="2"/>
        <scheme val="minor"/>
      </rPr>
      <t xml:space="preserve">h,app </t>
    </r>
    <r>
      <rPr>
        <b/>
        <sz val="11"/>
        <color theme="1"/>
        <rFont val="Calibri"/>
        <family val="2"/>
        <scheme val="minor"/>
      </rPr>
      <t>vs q</t>
    </r>
    <r>
      <rPr>
        <b/>
        <vertAlign val="superscript"/>
        <sz val="11"/>
        <color theme="1"/>
        <rFont val="Calibri"/>
        <family val="2"/>
        <scheme val="minor"/>
      </rPr>
      <t>2</t>
    </r>
    <r>
      <rPr>
        <b/>
        <sz val="11"/>
        <color theme="1"/>
        <rFont val="Calibri"/>
        <family val="2"/>
        <scheme val="minor"/>
      </rPr>
      <t xml:space="preserve"> intercept = R</t>
    </r>
    <r>
      <rPr>
        <b/>
        <vertAlign val="subscript"/>
        <sz val="11"/>
        <color theme="1"/>
        <rFont val="Calibri"/>
        <family val="2"/>
        <scheme val="minor"/>
      </rPr>
      <t xml:space="preserve">h,q=0 </t>
    </r>
    <r>
      <rPr>
        <b/>
        <sz val="11"/>
        <color theme="1"/>
        <rFont val="Calibri"/>
        <family val="2"/>
        <scheme val="minor"/>
      </rPr>
      <t>/ nm</t>
    </r>
  </si>
  <si>
    <r>
      <t>R</t>
    </r>
    <r>
      <rPr>
        <vertAlign val="subscript"/>
        <sz val="11"/>
        <color theme="1"/>
        <rFont val="Calibri"/>
        <family val="2"/>
        <scheme val="minor"/>
      </rPr>
      <t xml:space="preserve">g </t>
    </r>
    <r>
      <rPr>
        <sz val="11"/>
        <color theme="1"/>
        <rFont val="Calibri"/>
        <family val="2"/>
        <scheme val="minor"/>
      </rPr>
      <t>/nm</t>
    </r>
  </si>
  <si>
    <t>I(q=0)/arbitrary</t>
  </si>
  <si>
    <t>2CUMU results</t>
  </si>
  <si>
    <t>Tweaked by factor; check formulae</t>
  </si>
  <si>
    <t>Intensities (user input) This one from Water.ASC File in MysteryLatex_Dil1 9/2/2022</t>
  </si>
  <si>
    <t>Gathering the trend results for Origin plot</t>
  </si>
  <si>
    <t>Run #</t>
  </si>
  <si>
    <t>Normalized I(q=0) from Guinier fit</t>
  </si>
  <si>
    <r>
      <t>R</t>
    </r>
    <r>
      <rPr>
        <vertAlign val="subscript"/>
        <sz val="11"/>
        <color theme="1"/>
        <rFont val="Calibri"/>
        <family val="2"/>
        <scheme val="minor"/>
      </rPr>
      <t>g</t>
    </r>
    <r>
      <rPr>
        <sz val="11"/>
        <color theme="1"/>
        <rFont val="Calibri"/>
        <family val="2"/>
        <scheme val="minor"/>
      </rPr>
      <t>(q=0)/nm</t>
    </r>
  </si>
  <si>
    <r>
      <t>R</t>
    </r>
    <r>
      <rPr>
        <vertAlign val="subscript"/>
        <sz val="11"/>
        <color theme="1"/>
        <rFont val="Calibri"/>
        <family val="2"/>
        <scheme val="minor"/>
      </rPr>
      <t>h</t>
    </r>
    <r>
      <rPr>
        <sz val="11"/>
        <color theme="1"/>
        <rFont val="Calibri"/>
        <family val="2"/>
        <scheme val="minor"/>
      </rPr>
      <t>(q=0)/nm</t>
    </r>
  </si>
  <si>
    <t>Row form</t>
  </si>
  <si>
    <t>Column form</t>
  </si>
  <si>
    <r>
      <t>R</t>
    </r>
    <r>
      <rPr>
        <b/>
        <vertAlign val="subscript"/>
        <sz val="11"/>
        <color theme="1"/>
        <rFont val="Calibri"/>
        <family val="2"/>
        <scheme val="minor"/>
      </rPr>
      <t>g</t>
    </r>
    <r>
      <rPr>
        <b/>
        <sz val="11"/>
        <color theme="1"/>
        <rFont val="Calibri"/>
        <family val="2"/>
        <scheme val="minor"/>
      </rPr>
      <t>(q=0)/nm</t>
    </r>
  </si>
  <si>
    <r>
      <t>R</t>
    </r>
    <r>
      <rPr>
        <b/>
        <vertAlign val="subscript"/>
        <sz val="11"/>
        <color theme="1"/>
        <rFont val="Calibri"/>
        <family val="2"/>
        <scheme val="minor"/>
      </rPr>
      <t>h</t>
    </r>
    <r>
      <rPr>
        <b/>
        <sz val="11"/>
        <color theme="1"/>
        <rFont val="Calibri"/>
        <family val="2"/>
        <scheme val="minor"/>
      </rPr>
      <t>(q=0)/nm</t>
    </r>
  </si>
  <si>
    <r>
      <t>Rho=R</t>
    </r>
    <r>
      <rPr>
        <b/>
        <vertAlign val="subscript"/>
        <sz val="11"/>
        <color theme="1"/>
        <rFont val="Calibri"/>
        <family val="2"/>
        <scheme val="minor"/>
      </rPr>
      <t>g</t>
    </r>
    <r>
      <rPr>
        <b/>
        <sz val="11"/>
        <color theme="1"/>
        <rFont val="Calibri"/>
        <family val="2"/>
        <scheme val="minor"/>
      </rPr>
      <t>/R</t>
    </r>
    <r>
      <rPr>
        <b/>
        <vertAlign val="subscript"/>
        <sz val="11"/>
        <color theme="1"/>
        <rFont val="Calibri"/>
        <family val="2"/>
        <scheme val="minor"/>
      </rPr>
      <t>h</t>
    </r>
  </si>
  <si>
    <r>
      <t>Collected R</t>
    </r>
    <r>
      <rPr>
        <b/>
        <vertAlign val="subscript"/>
        <sz val="11"/>
        <color theme="1"/>
        <rFont val="Calibri"/>
        <family val="2"/>
        <scheme val="minor"/>
      </rPr>
      <t>h,app</t>
    </r>
    <r>
      <rPr>
        <b/>
        <sz val="11"/>
        <color theme="1"/>
        <rFont val="Calibri"/>
        <family val="2"/>
        <scheme val="minor"/>
      </rPr>
      <t xml:space="preserve"> </t>
    </r>
  </si>
  <si>
    <t>Alterations to solver for tighter convergence (multistart, central limits)</t>
  </si>
  <si>
    <t>Cosmetic fix to a label in Trend; tried to use Trend to collect data from separate samples (e.g., concentration trend)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</si>
</sst>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000E+00"/>
    <numFmt numFmtId="167" formatCode="0.00000E+00"/>
    <numFmt numFmtId="168" formatCode="0.0"/>
  </numFmts>
  <fonts count="26">
    <font>
      <sz val="11"/>
      <color theme="1"/>
      <name val="Calibri"/>
      <family val="2"/>
      <scheme val="minor"/>
    </font>
    <font>
      <sz val="11"/>
      <color rgb="FF000000"/>
      <name val="Calibri"/>
      <family val="2"/>
    </font>
    <font>
      <sz val="11"/>
      <color rgb="FFFF0000"/>
      <name val="Calibri"/>
      <family val="2"/>
    </font>
    <font>
      <sz val="11"/>
      <color rgb="FFFF0000"/>
      <name val="Calibri"/>
      <family val="2"/>
      <scheme val="minor"/>
    </font>
    <font>
      <vertAlign val="superscript"/>
      <sz val="11"/>
      <color theme="1"/>
      <name val="Calibri"/>
      <family val="2"/>
      <scheme val="minor"/>
    </font>
    <font>
      <sz val="11"/>
      <color theme="0" tint="-0.14999847407452621"/>
      <name val="Calibri"/>
      <family val="2"/>
      <scheme val="minor"/>
    </font>
    <font>
      <b/>
      <sz val="11"/>
      <color theme="0" tint="-0.249977111117893"/>
      <name val="Calibri"/>
      <family val="2"/>
      <scheme val="minor"/>
    </font>
    <font>
      <sz val="11"/>
      <color theme="1"/>
      <name val="Symbol"/>
      <family val="1"/>
      <charset val="2"/>
    </font>
    <font>
      <sz val="11"/>
      <color theme="1"/>
      <name val="Calibri"/>
      <family val="1"/>
      <charset val="2"/>
      <scheme val="minor"/>
    </font>
    <font>
      <vertAlign val="subscript"/>
      <sz val="11"/>
      <color theme="1"/>
      <name val="Calibri"/>
      <family val="2"/>
      <scheme val="minor"/>
    </font>
    <font>
      <vertAlign val="subscript"/>
      <sz val="11"/>
      <color theme="1"/>
      <name val="Symbol"/>
      <family val="1"/>
      <charset val="2"/>
    </font>
    <font>
      <sz val="11"/>
      <color theme="1"/>
      <name val="Arial"/>
      <family val="2"/>
    </font>
    <font>
      <sz val="11"/>
      <color theme="0" tint="-4.9989318521683403E-2"/>
      <name val="Calibri"/>
      <family val="2"/>
      <scheme val="minor"/>
    </font>
    <font>
      <sz val="11"/>
      <color theme="0" tint="-4.9989318521683403E-2"/>
      <name val="Symbol"/>
      <family val="1"/>
      <charset val="2"/>
    </font>
    <font>
      <vertAlign val="subscript"/>
      <sz val="11"/>
      <color theme="0" tint="-4.9989318521683403E-2"/>
      <name val="Symbol"/>
      <family val="1"/>
      <charset val="2"/>
    </font>
    <font>
      <sz val="11"/>
      <color theme="0" tint="-4.9989318521683403E-2"/>
      <name val="Arial"/>
      <family val="2"/>
    </font>
    <font>
      <sz val="11"/>
      <color theme="0" tint="-4.9989318521683403E-2"/>
      <name val="Calibri"/>
      <family val="1"/>
      <charset val="2"/>
      <scheme val="minor"/>
    </font>
    <font>
      <vertAlign val="superscript"/>
      <sz val="11"/>
      <color theme="1"/>
      <name val="Symbol"/>
      <family val="1"/>
      <charset val="2"/>
    </font>
    <font>
      <vertAlign val="subscript"/>
      <sz val="11"/>
      <color theme="0" tint="-4.9989318521683403E-2"/>
      <name val="Calibri"/>
      <family val="2"/>
      <scheme val="minor"/>
    </font>
    <font>
      <sz val="11"/>
      <name val="Calibri"/>
      <family val="2"/>
      <scheme val="minor"/>
    </font>
    <font>
      <sz val="11"/>
      <color theme="1"/>
      <name val="Script MT Bold"/>
      <family val="4"/>
    </font>
    <font>
      <sz val="11"/>
      <color theme="1"/>
      <name val="Calibri"/>
      <family val="4"/>
      <scheme val="minor"/>
    </font>
    <font>
      <sz val="9"/>
      <color rgb="FF595959"/>
      <name val="Calibri"/>
      <family val="2"/>
      <scheme val="minor"/>
    </font>
    <font>
      <b/>
      <sz val="11"/>
      <color theme="1"/>
      <name val="Calibri"/>
      <family val="2"/>
      <scheme val="minor"/>
    </font>
    <font>
      <b/>
      <vertAlign val="subscript"/>
      <sz val="11"/>
      <color theme="1"/>
      <name val="Calibri"/>
      <family val="2"/>
      <scheme val="minor"/>
    </font>
    <font>
      <b/>
      <vertAlign val="superscript"/>
      <sz val="11"/>
      <color theme="1"/>
      <name val="Calibri"/>
      <family val="2"/>
      <scheme val="minor"/>
    </font>
  </fonts>
  <fills count="16">
    <fill>
      <patternFill patternType="none"/>
    </fill>
    <fill>
      <patternFill patternType="gray125"/>
    </fill>
    <fill>
      <patternFill patternType="solid">
        <fgColor rgb="FF92D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rgb="FFFF0000"/>
        <bgColor indexed="64"/>
      </patternFill>
    </fill>
    <fill>
      <patternFill patternType="solid">
        <fgColor rgb="FFFFFF00"/>
        <bgColor indexed="64"/>
      </patternFill>
    </fill>
    <fill>
      <patternFill patternType="solid">
        <fgColor rgb="FF00B0F0"/>
        <bgColor indexed="64"/>
      </patternFill>
    </fill>
    <fill>
      <patternFill patternType="solid">
        <fgColor rgb="FF00B050"/>
        <bgColor indexed="64"/>
      </patternFill>
    </fill>
    <fill>
      <patternFill patternType="solid">
        <fgColor rgb="FFC00000"/>
        <bgColor indexed="64"/>
      </patternFill>
    </fill>
    <fill>
      <patternFill patternType="solid">
        <fgColor rgb="FF0070C0"/>
        <bgColor indexed="64"/>
      </patternFill>
    </fill>
    <fill>
      <patternFill patternType="solid">
        <fgColor theme="0" tint="-0.249977111117893"/>
        <bgColor indexed="64"/>
      </patternFill>
    </fill>
    <fill>
      <patternFill patternType="solid">
        <fgColor rgb="FFFFFFCC"/>
        <bgColor indexed="64"/>
      </patternFill>
    </fill>
    <fill>
      <patternFill patternType="solid">
        <fgColor theme="5"/>
        <bgColor indexed="64"/>
      </patternFill>
    </fill>
    <fill>
      <patternFill patternType="solid">
        <fgColor rgb="FFFFCC66"/>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1">
    <xf numFmtId="0" fontId="0" fillId="0" borderId="0"/>
  </cellStyleXfs>
  <cellXfs count="85">
    <xf numFmtId="0" fontId="0" fillId="0" borderId="0" xfId="0"/>
    <xf numFmtId="0" fontId="0" fillId="2" borderId="0" xfId="0" applyFill="1"/>
    <xf numFmtId="165" fontId="0" fillId="0" borderId="0" xfId="0" applyNumberFormat="1"/>
    <xf numFmtId="0" fontId="0" fillId="0" borderId="0" xfId="0" applyAlignment="1">
      <alignment horizontal="right"/>
    </xf>
    <xf numFmtId="14" fontId="0" fillId="0" borderId="0" xfId="0" applyNumberFormat="1"/>
    <xf numFmtId="19" fontId="0" fillId="0" borderId="0" xfId="0" applyNumberFormat="1" applyAlignment="1">
      <alignment horizontal="left"/>
    </xf>
    <xf numFmtId="15" fontId="0" fillId="0" borderId="0" xfId="0" applyNumberFormat="1"/>
    <xf numFmtId="0" fontId="0" fillId="0" borderId="0" xfId="0" quotePrefix="1"/>
    <xf numFmtId="0" fontId="3" fillId="0" borderId="0" xfId="0" applyFont="1"/>
    <xf numFmtId="0" fontId="0" fillId="0" borderId="1" xfId="0" applyBorder="1"/>
    <xf numFmtId="0" fontId="0" fillId="4" borderId="1" xfId="0" applyFill="1" applyBorder="1"/>
    <xf numFmtId="0" fontId="0" fillId="5" borderId="1" xfId="0" applyFill="1" applyBorder="1"/>
    <xf numFmtId="0" fontId="0" fillId="0" borderId="1" xfId="0" applyBorder="1" applyAlignment="1">
      <alignment horizontal="center"/>
    </xf>
    <xf numFmtId="166" fontId="0" fillId="0" borderId="1" xfId="0" applyNumberFormat="1" applyBorder="1"/>
    <xf numFmtId="0" fontId="0" fillId="0" borderId="0" xfId="0" applyFill="1"/>
    <xf numFmtId="0" fontId="0" fillId="2" borderId="1" xfId="0" applyFill="1" applyBorder="1"/>
    <xf numFmtId="0" fontId="5" fillId="6" borderId="1" xfId="0" applyFont="1" applyFill="1" applyBorder="1"/>
    <xf numFmtId="0" fontId="0" fillId="7" borderId="1" xfId="0" applyFill="1" applyBorder="1"/>
    <xf numFmtId="0" fontId="0" fillId="8" borderId="1" xfId="0" applyFill="1" applyBorder="1"/>
    <xf numFmtId="0" fontId="0" fillId="9" borderId="1" xfId="0" applyFill="1" applyBorder="1"/>
    <xf numFmtId="0" fontId="5" fillId="10" borderId="1" xfId="0" applyFont="1" applyFill="1" applyBorder="1"/>
    <xf numFmtId="0" fontId="0" fillId="3" borderId="1" xfId="0" applyFill="1" applyBorder="1"/>
    <xf numFmtId="0" fontId="5" fillId="11" borderId="1" xfId="0" applyFont="1" applyFill="1" applyBorder="1"/>
    <xf numFmtId="0" fontId="6" fillId="6" borderId="0" xfId="0" applyFont="1" applyFill="1"/>
    <xf numFmtId="0" fontId="0" fillId="0" borderId="0" xfId="0" applyFont="1"/>
    <xf numFmtId="0" fontId="7" fillId="0" borderId="1" xfId="0" applyFont="1" applyBorder="1"/>
    <xf numFmtId="0" fontId="8" fillId="0" borderId="1" xfId="0" applyFont="1" applyBorder="1"/>
    <xf numFmtId="0" fontId="11" fillId="0" borderId="1" xfId="0" applyFont="1" applyBorder="1"/>
    <xf numFmtId="0" fontId="0" fillId="0" borderId="0" xfId="0" applyFill="1" applyBorder="1"/>
    <xf numFmtId="0" fontId="8" fillId="0" borderId="0" xfId="0" applyFont="1"/>
    <xf numFmtId="0" fontId="12" fillId="6" borderId="1" xfId="0" applyFont="1" applyFill="1" applyBorder="1"/>
    <xf numFmtId="0" fontId="13" fillId="6" borderId="1" xfId="0" applyFont="1" applyFill="1" applyBorder="1"/>
    <xf numFmtId="0" fontId="11" fillId="7" borderId="1" xfId="0" applyFont="1" applyFill="1" applyBorder="1"/>
    <xf numFmtId="0" fontId="7" fillId="7" borderId="1" xfId="0" applyFont="1" applyFill="1" applyBorder="1"/>
    <xf numFmtId="0" fontId="8" fillId="7" borderId="1" xfId="0" applyFont="1" applyFill="1" applyBorder="1"/>
    <xf numFmtId="0" fontId="11" fillId="8" borderId="1" xfId="0" applyFont="1" applyFill="1" applyBorder="1"/>
    <xf numFmtId="0" fontId="7" fillId="8" borderId="1" xfId="0" applyFont="1" applyFill="1" applyBorder="1"/>
    <xf numFmtId="0" fontId="8" fillId="8" borderId="1" xfId="0" applyFont="1" applyFill="1" applyBorder="1"/>
    <xf numFmtId="0" fontId="11" fillId="9" borderId="1" xfId="0" applyFont="1" applyFill="1" applyBorder="1"/>
    <xf numFmtId="0" fontId="7" fillId="9" borderId="1" xfId="0" applyFont="1" applyFill="1" applyBorder="1"/>
    <xf numFmtId="0" fontId="8" fillId="9" borderId="1" xfId="0" applyFont="1" applyFill="1" applyBorder="1"/>
    <xf numFmtId="0" fontId="11" fillId="3" borderId="1" xfId="0" applyFont="1" applyFill="1" applyBorder="1"/>
    <xf numFmtId="0" fontId="7" fillId="3" borderId="1" xfId="0" applyFont="1" applyFill="1" applyBorder="1"/>
    <xf numFmtId="0" fontId="8" fillId="3" borderId="1" xfId="0" applyFont="1" applyFill="1" applyBorder="1"/>
    <xf numFmtId="0" fontId="15" fillId="11" borderId="1" xfId="0" applyFont="1" applyFill="1" applyBorder="1"/>
    <xf numFmtId="0" fontId="13" fillId="11" borderId="1" xfId="0" applyFont="1" applyFill="1" applyBorder="1"/>
    <xf numFmtId="0" fontId="16" fillId="11" borderId="1" xfId="0" applyFont="1" applyFill="1" applyBorder="1"/>
    <xf numFmtId="0" fontId="15" fillId="10" borderId="1" xfId="0" applyFont="1" applyFill="1" applyBorder="1"/>
    <xf numFmtId="0" fontId="13" fillId="10" borderId="1" xfId="0" applyFont="1" applyFill="1" applyBorder="1"/>
    <xf numFmtId="0" fontId="16" fillId="10" borderId="1" xfId="0" applyFont="1" applyFill="1" applyBorder="1"/>
    <xf numFmtId="0" fontId="7" fillId="2" borderId="1" xfId="0" applyFont="1" applyFill="1" applyBorder="1"/>
    <xf numFmtId="0" fontId="7" fillId="0" borderId="0" xfId="0" applyFont="1"/>
    <xf numFmtId="0" fontId="8" fillId="2" borderId="1" xfId="0" applyFont="1" applyFill="1" applyBorder="1"/>
    <xf numFmtId="0" fontId="16" fillId="6" borderId="1" xfId="0" applyFont="1" applyFill="1" applyBorder="1"/>
    <xf numFmtId="0" fontId="0" fillId="12" borderId="1" xfId="0" applyFill="1" applyBorder="1" applyAlignment="1">
      <alignment horizontal="left"/>
    </xf>
    <xf numFmtId="0" fontId="0" fillId="12" borderId="1" xfId="0" applyFill="1" applyBorder="1" applyAlignment="1">
      <alignment horizontal="center"/>
    </xf>
    <xf numFmtId="0" fontId="0" fillId="0" borderId="2" xfId="0" applyBorder="1" applyAlignment="1">
      <alignment horizontal="center"/>
    </xf>
    <xf numFmtId="0" fontId="0" fillId="0" borderId="2" xfId="0" applyBorder="1"/>
    <xf numFmtId="0" fontId="0" fillId="12" borderId="1" xfId="0" applyFill="1" applyBorder="1"/>
    <xf numFmtId="164" fontId="0" fillId="0" borderId="0" xfId="0" applyNumberFormat="1"/>
    <xf numFmtId="2" fontId="0" fillId="0" borderId="0" xfId="0" applyNumberFormat="1"/>
    <xf numFmtId="0" fontId="19" fillId="0" borderId="0" xfId="0" applyFont="1"/>
    <xf numFmtId="11" fontId="0" fillId="0" borderId="0" xfId="0" applyNumberFormat="1"/>
    <xf numFmtId="167" fontId="6" fillId="6" borderId="0" xfId="0" applyNumberFormat="1" applyFont="1" applyFill="1"/>
    <xf numFmtId="0" fontId="0" fillId="13" borderId="1" xfId="0" applyFill="1" applyBorder="1"/>
    <xf numFmtId="0" fontId="0" fillId="13" borderId="1" xfId="0" applyFill="1" applyBorder="1" applyAlignment="1">
      <alignment horizontal="right"/>
    </xf>
    <xf numFmtId="11" fontId="0" fillId="13" borderId="1" xfId="0" applyNumberFormat="1" applyFill="1" applyBorder="1"/>
    <xf numFmtId="0" fontId="0" fillId="8" borderId="0" xfId="0" applyFill="1"/>
    <xf numFmtId="168" fontId="0" fillId="13" borderId="1" xfId="0" applyNumberFormat="1" applyFill="1" applyBorder="1"/>
    <xf numFmtId="0" fontId="0" fillId="9" borderId="1" xfId="0" applyFill="1" applyBorder="1" applyAlignment="1">
      <alignment horizontal="right"/>
    </xf>
    <xf numFmtId="0" fontId="0" fillId="6" borderId="1" xfId="0" applyFill="1" applyBorder="1" applyAlignment="1">
      <alignment horizontal="right"/>
    </xf>
    <xf numFmtId="0" fontId="0" fillId="7" borderId="1" xfId="0" applyFill="1" applyBorder="1" applyAlignment="1">
      <alignment horizontal="right"/>
    </xf>
    <xf numFmtId="0" fontId="0" fillId="8" borderId="1" xfId="0" applyFill="1" applyBorder="1" applyAlignment="1">
      <alignment horizontal="right"/>
    </xf>
    <xf numFmtId="0" fontId="0" fillId="5" borderId="1" xfId="0" applyFill="1" applyBorder="1" applyAlignment="1">
      <alignment horizontal="right"/>
    </xf>
    <xf numFmtId="0" fontId="0" fillId="14" borderId="1" xfId="0" applyFill="1" applyBorder="1" applyAlignment="1">
      <alignment horizontal="right"/>
    </xf>
    <xf numFmtId="0" fontId="0" fillId="15" borderId="1" xfId="0" applyFill="1" applyBorder="1" applyAlignment="1">
      <alignment horizontal="right"/>
    </xf>
    <xf numFmtId="0" fontId="0" fillId="11" borderId="1" xfId="0" applyFill="1" applyBorder="1" applyAlignment="1">
      <alignment horizontal="right"/>
    </xf>
    <xf numFmtId="0" fontId="0" fillId="2" borderId="1" xfId="0" applyFill="1" applyBorder="1" applyAlignment="1">
      <alignment horizontal="right"/>
    </xf>
    <xf numFmtId="0" fontId="0" fillId="2" borderId="1" xfId="0" applyFill="1" applyBorder="1" applyAlignment="1">
      <alignment horizontal="left"/>
    </xf>
    <xf numFmtId="0" fontId="21" fillId="0" borderId="0" xfId="0" applyFont="1"/>
    <xf numFmtId="0" fontId="22" fillId="0" borderId="0" xfId="0" applyFont="1" applyAlignment="1">
      <alignment horizontal="center" vertical="center" readingOrder="1"/>
    </xf>
    <xf numFmtId="0" fontId="23" fillId="0" borderId="0" xfId="0" applyFont="1"/>
    <xf numFmtId="0" fontId="3" fillId="2" borderId="1" xfId="0" applyFont="1" applyFill="1" applyBorder="1" applyAlignment="1">
      <alignment horizontal="left"/>
    </xf>
    <xf numFmtId="0" fontId="3" fillId="7" borderId="1" xfId="0" applyFont="1" applyFill="1" applyBorder="1" applyAlignment="1">
      <alignment horizontal="left"/>
    </xf>
    <xf numFmtId="0" fontId="23" fillId="0" borderId="0" xfId="0" applyFont="1" applyAlignment="1">
      <alignment horizontal="right"/>
    </xf>
  </cellXfs>
  <cellStyles count="1">
    <cellStyle name="Normal" xfId="0" builtinId="0"/>
  </cellStyles>
  <dxfs count="0"/>
  <tableStyles count="0" defaultTableStyle="TableStyleMedium9" defaultPivotStyle="PivotStyleLight16"/>
  <colors>
    <mruColors>
      <color rgb="FFCE029D"/>
      <color rgb="FFFFCC6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noFill/>
              <a:ln w="9525">
                <a:solidFill>
                  <a:schemeClr val="accent1"/>
                </a:solidFill>
              </a:ln>
              <a:effectLst/>
            </c:spPr>
          </c:marker>
          <c:xVal>
            <c:numRef>
              <c:f>MEXP!$B$11:$B$225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MEXP!$D$11:$D$225</c:f>
              <c:numCache>
                <c:formatCode>General</c:formatCode>
                <c:ptCount val="215"/>
              </c:numCache>
            </c:numRef>
          </c:yVal>
          <c:smooth val="0"/>
          <c:extLst>
            <c:ext xmlns:c16="http://schemas.microsoft.com/office/drawing/2014/chart" uri="{C3380CC4-5D6E-409C-BE32-E72D297353CC}">
              <c16:uniqueId val="{00000000-D03A-47FF-A7EE-7814BF642464}"/>
            </c:ext>
          </c:extLst>
        </c:ser>
        <c:ser>
          <c:idx val="1"/>
          <c:order val="1"/>
          <c:tx>
            <c:v>Fit</c:v>
          </c:tx>
          <c:spPr>
            <a:ln w="6350" cap="rnd">
              <a:solidFill>
                <a:srgbClr val="FF0000"/>
              </a:solidFill>
              <a:round/>
            </a:ln>
            <a:effectLst/>
          </c:spPr>
          <c:marker>
            <c:symbol val="none"/>
          </c:marker>
          <c:xVal>
            <c:numRef>
              <c:f>MEXP!$B$11:$B$225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MEXP!$E$11:$E$225</c:f>
              <c:numCache>
                <c:formatCode>General</c:formatCode>
                <c:ptCount val="215"/>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pt idx="31">
                  <c:v>0.25</c:v>
                </c:pt>
                <c:pt idx="32">
                  <c:v>0.25</c:v>
                </c:pt>
                <c:pt idx="33">
                  <c:v>0.25</c:v>
                </c:pt>
                <c:pt idx="34">
                  <c:v>0.25</c:v>
                </c:pt>
                <c:pt idx="35">
                  <c:v>0.25</c:v>
                </c:pt>
                <c:pt idx="36">
                  <c:v>0.25</c:v>
                </c:pt>
                <c:pt idx="37">
                  <c:v>0.25</c:v>
                </c:pt>
                <c:pt idx="38">
                  <c:v>0.25</c:v>
                </c:pt>
                <c:pt idx="39">
                  <c:v>0.25</c:v>
                </c:pt>
                <c:pt idx="40">
                  <c:v>0.25</c:v>
                </c:pt>
                <c:pt idx="41">
                  <c:v>0.25</c:v>
                </c:pt>
                <c:pt idx="42">
                  <c:v>0.25</c:v>
                </c:pt>
                <c:pt idx="43">
                  <c:v>0.25</c:v>
                </c:pt>
                <c:pt idx="44">
                  <c:v>0.25</c:v>
                </c:pt>
                <c:pt idx="45">
                  <c:v>0.25</c:v>
                </c:pt>
                <c:pt idx="46">
                  <c:v>0.25</c:v>
                </c:pt>
                <c:pt idx="47">
                  <c:v>0.25</c:v>
                </c:pt>
                <c:pt idx="48">
                  <c:v>0.25</c:v>
                </c:pt>
                <c:pt idx="49">
                  <c:v>0.25</c:v>
                </c:pt>
                <c:pt idx="50">
                  <c:v>0.25</c:v>
                </c:pt>
                <c:pt idx="51">
                  <c:v>0.25</c:v>
                </c:pt>
                <c:pt idx="52">
                  <c:v>0.25</c:v>
                </c:pt>
                <c:pt idx="53">
                  <c:v>0.25</c:v>
                </c:pt>
                <c:pt idx="54">
                  <c:v>0.25</c:v>
                </c:pt>
                <c:pt idx="55">
                  <c:v>0.25</c:v>
                </c:pt>
                <c:pt idx="56">
                  <c:v>0.25</c:v>
                </c:pt>
                <c:pt idx="57">
                  <c:v>0.25</c:v>
                </c:pt>
                <c:pt idx="58">
                  <c:v>0.25</c:v>
                </c:pt>
                <c:pt idx="59">
                  <c:v>0.25</c:v>
                </c:pt>
                <c:pt idx="60">
                  <c:v>0.25</c:v>
                </c:pt>
                <c:pt idx="61">
                  <c:v>0.25</c:v>
                </c:pt>
                <c:pt idx="62">
                  <c:v>0.25</c:v>
                </c:pt>
                <c:pt idx="63">
                  <c:v>0.25</c:v>
                </c:pt>
                <c:pt idx="64">
                  <c:v>0.25</c:v>
                </c:pt>
                <c:pt idx="65">
                  <c:v>0.25</c:v>
                </c:pt>
                <c:pt idx="66">
                  <c:v>0.25</c:v>
                </c:pt>
                <c:pt idx="67">
                  <c:v>0.25</c:v>
                </c:pt>
                <c:pt idx="68">
                  <c:v>0.25</c:v>
                </c:pt>
                <c:pt idx="69">
                  <c:v>0.25</c:v>
                </c:pt>
                <c:pt idx="70">
                  <c:v>0.25</c:v>
                </c:pt>
                <c:pt idx="71">
                  <c:v>0.25</c:v>
                </c:pt>
                <c:pt idx="72">
                  <c:v>0.25</c:v>
                </c:pt>
                <c:pt idx="73">
                  <c:v>0.25</c:v>
                </c:pt>
                <c:pt idx="74">
                  <c:v>0.25</c:v>
                </c:pt>
                <c:pt idx="75">
                  <c:v>0.25</c:v>
                </c:pt>
                <c:pt idx="76">
                  <c:v>0.25</c:v>
                </c:pt>
                <c:pt idx="77">
                  <c:v>0.25</c:v>
                </c:pt>
                <c:pt idx="78">
                  <c:v>0.25</c:v>
                </c:pt>
                <c:pt idx="79">
                  <c:v>0.25</c:v>
                </c:pt>
                <c:pt idx="80">
                  <c:v>0.25</c:v>
                </c:pt>
                <c:pt idx="81">
                  <c:v>0.25</c:v>
                </c:pt>
                <c:pt idx="82">
                  <c:v>0.25</c:v>
                </c:pt>
                <c:pt idx="83">
                  <c:v>0.25</c:v>
                </c:pt>
                <c:pt idx="84">
                  <c:v>0.25</c:v>
                </c:pt>
                <c:pt idx="85">
                  <c:v>0.25</c:v>
                </c:pt>
                <c:pt idx="86">
                  <c:v>0.25</c:v>
                </c:pt>
                <c:pt idx="87">
                  <c:v>0.25</c:v>
                </c:pt>
                <c:pt idx="88">
                  <c:v>0.25</c:v>
                </c:pt>
                <c:pt idx="89">
                  <c:v>0.25</c:v>
                </c:pt>
                <c:pt idx="90">
                  <c:v>0.25</c:v>
                </c:pt>
                <c:pt idx="91">
                  <c:v>0.25</c:v>
                </c:pt>
                <c:pt idx="92">
                  <c:v>0.25</c:v>
                </c:pt>
                <c:pt idx="93">
                  <c:v>0.25</c:v>
                </c:pt>
                <c:pt idx="94">
                  <c:v>0.25</c:v>
                </c:pt>
                <c:pt idx="95">
                  <c:v>0.25</c:v>
                </c:pt>
                <c:pt idx="96">
                  <c:v>0.25</c:v>
                </c:pt>
                <c:pt idx="97">
                  <c:v>0.25</c:v>
                </c:pt>
                <c:pt idx="98">
                  <c:v>0.25</c:v>
                </c:pt>
                <c:pt idx="99">
                  <c:v>0.25</c:v>
                </c:pt>
                <c:pt idx="100">
                  <c:v>0.25</c:v>
                </c:pt>
                <c:pt idx="101">
                  <c:v>0.25</c:v>
                </c:pt>
                <c:pt idx="102">
                  <c:v>0.25</c:v>
                </c:pt>
                <c:pt idx="103">
                  <c:v>0.25</c:v>
                </c:pt>
                <c:pt idx="104">
                  <c:v>0.25</c:v>
                </c:pt>
                <c:pt idx="105">
                  <c:v>0.25</c:v>
                </c:pt>
                <c:pt idx="106">
                  <c:v>0.25</c:v>
                </c:pt>
                <c:pt idx="107">
                  <c:v>0.25</c:v>
                </c:pt>
                <c:pt idx="108">
                  <c:v>0.25</c:v>
                </c:pt>
                <c:pt idx="109">
                  <c:v>0.25</c:v>
                </c:pt>
                <c:pt idx="110">
                  <c:v>0.25</c:v>
                </c:pt>
                <c:pt idx="111">
                  <c:v>0.25</c:v>
                </c:pt>
                <c:pt idx="112">
                  <c:v>0.25</c:v>
                </c:pt>
                <c:pt idx="113">
                  <c:v>0.25</c:v>
                </c:pt>
                <c:pt idx="114">
                  <c:v>0.25</c:v>
                </c:pt>
                <c:pt idx="115">
                  <c:v>0.25</c:v>
                </c:pt>
                <c:pt idx="116">
                  <c:v>0.25</c:v>
                </c:pt>
                <c:pt idx="117">
                  <c:v>0.25</c:v>
                </c:pt>
                <c:pt idx="118">
                  <c:v>0.25</c:v>
                </c:pt>
                <c:pt idx="119">
                  <c:v>0.25</c:v>
                </c:pt>
                <c:pt idx="120">
                  <c:v>0.25</c:v>
                </c:pt>
                <c:pt idx="121">
                  <c:v>0.25</c:v>
                </c:pt>
                <c:pt idx="122">
                  <c:v>0.25</c:v>
                </c:pt>
                <c:pt idx="123">
                  <c:v>0.25</c:v>
                </c:pt>
                <c:pt idx="124">
                  <c:v>0.25</c:v>
                </c:pt>
                <c:pt idx="125">
                  <c:v>0.25</c:v>
                </c:pt>
                <c:pt idx="126">
                  <c:v>0.25</c:v>
                </c:pt>
                <c:pt idx="127">
                  <c:v>0.25</c:v>
                </c:pt>
                <c:pt idx="128">
                  <c:v>0.25</c:v>
                </c:pt>
                <c:pt idx="129">
                  <c:v>0.25</c:v>
                </c:pt>
                <c:pt idx="130">
                  <c:v>0.25</c:v>
                </c:pt>
                <c:pt idx="131">
                  <c:v>0.25</c:v>
                </c:pt>
                <c:pt idx="132">
                  <c:v>0.25</c:v>
                </c:pt>
                <c:pt idx="133">
                  <c:v>0.25</c:v>
                </c:pt>
                <c:pt idx="134">
                  <c:v>0.25</c:v>
                </c:pt>
                <c:pt idx="135">
                  <c:v>0.25</c:v>
                </c:pt>
                <c:pt idx="136">
                  <c:v>0.25</c:v>
                </c:pt>
                <c:pt idx="137">
                  <c:v>0.25</c:v>
                </c:pt>
                <c:pt idx="138">
                  <c:v>0.25</c:v>
                </c:pt>
                <c:pt idx="139">
                  <c:v>0.25</c:v>
                </c:pt>
                <c:pt idx="140">
                  <c:v>0.25</c:v>
                </c:pt>
                <c:pt idx="141">
                  <c:v>0.25</c:v>
                </c:pt>
                <c:pt idx="142">
                  <c:v>0.25</c:v>
                </c:pt>
                <c:pt idx="143">
                  <c:v>0.25</c:v>
                </c:pt>
                <c:pt idx="144">
                  <c:v>0.25</c:v>
                </c:pt>
                <c:pt idx="145">
                  <c:v>0.25</c:v>
                </c:pt>
                <c:pt idx="146">
                  <c:v>0.25</c:v>
                </c:pt>
                <c:pt idx="147">
                  <c:v>0.25</c:v>
                </c:pt>
                <c:pt idx="148">
                  <c:v>0.25</c:v>
                </c:pt>
                <c:pt idx="149">
                  <c:v>0.25</c:v>
                </c:pt>
                <c:pt idx="150">
                  <c:v>0.25</c:v>
                </c:pt>
                <c:pt idx="151">
                  <c:v>0.25</c:v>
                </c:pt>
                <c:pt idx="152">
                  <c:v>0.25</c:v>
                </c:pt>
                <c:pt idx="153">
                  <c:v>0.25</c:v>
                </c:pt>
                <c:pt idx="154">
                  <c:v>0.25</c:v>
                </c:pt>
                <c:pt idx="155">
                  <c:v>0.25</c:v>
                </c:pt>
                <c:pt idx="156">
                  <c:v>0.25</c:v>
                </c:pt>
                <c:pt idx="157">
                  <c:v>0.25</c:v>
                </c:pt>
                <c:pt idx="158">
                  <c:v>0.25</c:v>
                </c:pt>
                <c:pt idx="159">
                  <c:v>0.25</c:v>
                </c:pt>
                <c:pt idx="160">
                  <c:v>0.25</c:v>
                </c:pt>
                <c:pt idx="161">
                  <c:v>0.25</c:v>
                </c:pt>
                <c:pt idx="162">
                  <c:v>0.25</c:v>
                </c:pt>
                <c:pt idx="163">
                  <c:v>0.25</c:v>
                </c:pt>
                <c:pt idx="164">
                  <c:v>0.25</c:v>
                </c:pt>
                <c:pt idx="165">
                  <c:v>0.25</c:v>
                </c:pt>
                <c:pt idx="166">
                  <c:v>0.25</c:v>
                </c:pt>
                <c:pt idx="167">
                  <c:v>0.25</c:v>
                </c:pt>
                <c:pt idx="168">
                  <c:v>0.25</c:v>
                </c:pt>
                <c:pt idx="169">
                  <c:v>0.25</c:v>
                </c:pt>
                <c:pt idx="170">
                  <c:v>0.25</c:v>
                </c:pt>
                <c:pt idx="171">
                  <c:v>0.25</c:v>
                </c:pt>
                <c:pt idx="172">
                  <c:v>0.25</c:v>
                </c:pt>
                <c:pt idx="173">
                  <c:v>0.25</c:v>
                </c:pt>
                <c:pt idx="174">
                  <c:v>0.25</c:v>
                </c:pt>
                <c:pt idx="175">
                  <c:v>0.25</c:v>
                </c:pt>
                <c:pt idx="176">
                  <c:v>0.25</c:v>
                </c:pt>
                <c:pt idx="177">
                  <c:v>0.25</c:v>
                </c:pt>
                <c:pt idx="178">
                  <c:v>0.25</c:v>
                </c:pt>
                <c:pt idx="179">
                  <c:v>0.25</c:v>
                </c:pt>
                <c:pt idx="180">
                  <c:v>0.25</c:v>
                </c:pt>
                <c:pt idx="181">
                  <c:v>0.25</c:v>
                </c:pt>
                <c:pt idx="182">
                  <c:v>0.25</c:v>
                </c:pt>
                <c:pt idx="183">
                  <c:v>0.25</c:v>
                </c:pt>
                <c:pt idx="184">
                  <c:v>0.25</c:v>
                </c:pt>
                <c:pt idx="185">
                  <c:v>0.25</c:v>
                </c:pt>
                <c:pt idx="186">
                  <c:v>0.25</c:v>
                </c:pt>
                <c:pt idx="187">
                  <c:v>0.25</c:v>
                </c:pt>
                <c:pt idx="188">
                  <c:v>0.25</c:v>
                </c:pt>
                <c:pt idx="189">
                  <c:v>0.25</c:v>
                </c:pt>
                <c:pt idx="190">
                  <c:v>0.25</c:v>
                </c:pt>
                <c:pt idx="191">
                  <c:v>0.25</c:v>
                </c:pt>
                <c:pt idx="192">
                  <c:v>0.25</c:v>
                </c:pt>
                <c:pt idx="193">
                  <c:v>0.25</c:v>
                </c:pt>
                <c:pt idx="194">
                  <c:v>0.25</c:v>
                </c:pt>
                <c:pt idx="195">
                  <c:v>0.25</c:v>
                </c:pt>
                <c:pt idx="196">
                  <c:v>0.25</c:v>
                </c:pt>
                <c:pt idx="197">
                  <c:v>0.25</c:v>
                </c:pt>
                <c:pt idx="198">
                  <c:v>0.25</c:v>
                </c:pt>
                <c:pt idx="199">
                  <c:v>0.25</c:v>
                </c:pt>
                <c:pt idx="200">
                  <c:v>0.25</c:v>
                </c:pt>
                <c:pt idx="201">
                  <c:v>0.25</c:v>
                </c:pt>
                <c:pt idx="202">
                  <c:v>0.25</c:v>
                </c:pt>
                <c:pt idx="203">
                  <c:v>0.25</c:v>
                </c:pt>
                <c:pt idx="204">
                  <c:v>0.25</c:v>
                </c:pt>
                <c:pt idx="205">
                  <c:v>0.25</c:v>
                </c:pt>
                <c:pt idx="206">
                  <c:v>0.25</c:v>
                </c:pt>
                <c:pt idx="207">
                  <c:v>0.25</c:v>
                </c:pt>
                <c:pt idx="208">
                  <c:v>0.25</c:v>
                </c:pt>
                <c:pt idx="209">
                  <c:v>0.25</c:v>
                </c:pt>
                <c:pt idx="210">
                  <c:v>0.25</c:v>
                </c:pt>
                <c:pt idx="211">
                  <c:v>0.25</c:v>
                </c:pt>
                <c:pt idx="212">
                  <c:v>0.25</c:v>
                </c:pt>
                <c:pt idx="213">
                  <c:v>0.25</c:v>
                </c:pt>
                <c:pt idx="214">
                  <c:v>0.25</c:v>
                </c:pt>
              </c:numCache>
            </c:numRef>
          </c:yVal>
          <c:smooth val="0"/>
          <c:extLst>
            <c:ext xmlns:c16="http://schemas.microsoft.com/office/drawing/2014/chart" uri="{C3380CC4-5D6E-409C-BE32-E72D297353CC}">
              <c16:uniqueId val="{00000001-D03A-47FF-A7EE-7814BF642464}"/>
            </c:ext>
          </c:extLst>
        </c:ser>
        <c:ser>
          <c:idx val="2"/>
          <c:order val="2"/>
          <c:tx>
            <c:v>VertLineStart</c:v>
          </c:tx>
          <c:spPr>
            <a:ln w="12700" cap="rnd">
              <a:solidFill>
                <a:srgbClr val="92D050"/>
              </a:solidFill>
              <a:round/>
            </a:ln>
            <a:effectLst/>
          </c:spPr>
          <c:marker>
            <c:symbol val="none"/>
          </c:marker>
          <c:xVal>
            <c:numRef>
              <c:f>MEXP!$L$5:$L$6</c:f>
              <c:numCache>
                <c:formatCode>General</c:formatCode>
                <c:ptCount val="2"/>
                <c:pt idx="0">
                  <c:v>0</c:v>
                </c:pt>
                <c:pt idx="1">
                  <c:v>0</c:v>
                </c:pt>
              </c:numCache>
            </c:numRef>
          </c:xVal>
          <c:yVal>
            <c:numRef>
              <c:f>MEXP!$M$5:$M$6</c:f>
              <c:numCache>
                <c:formatCode>General</c:formatCode>
                <c:ptCount val="2"/>
                <c:pt idx="0">
                  <c:v>0</c:v>
                </c:pt>
                <c:pt idx="1">
                  <c:v>0.95</c:v>
                </c:pt>
              </c:numCache>
            </c:numRef>
          </c:yVal>
          <c:smooth val="0"/>
          <c:extLst>
            <c:ext xmlns:c16="http://schemas.microsoft.com/office/drawing/2014/chart" uri="{C3380CC4-5D6E-409C-BE32-E72D297353CC}">
              <c16:uniqueId val="{00000000-8FD3-4EC7-A424-8D273EF370C1}"/>
            </c:ext>
          </c:extLst>
        </c:ser>
        <c:ser>
          <c:idx val="3"/>
          <c:order val="3"/>
          <c:tx>
            <c:v>VertLineEnd</c:v>
          </c:tx>
          <c:spPr>
            <a:ln w="25400" cap="rnd">
              <a:noFill/>
              <a:round/>
            </a:ln>
            <a:effectLst/>
          </c:spPr>
          <c:marker>
            <c:symbol val="circle"/>
            <c:size val="5"/>
            <c:spPr>
              <a:solidFill>
                <a:schemeClr val="accent4"/>
              </a:solidFill>
              <a:ln w="9525">
                <a:solidFill>
                  <a:schemeClr val="accent4"/>
                </a:solidFill>
              </a:ln>
              <a:effectLst/>
            </c:spPr>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2-8FD3-4EC7-A424-8D273EF370C1}"/>
              </c:ext>
            </c:extLst>
          </c:dPt>
          <c:xVal>
            <c:numRef>
              <c:f>MEXP!$L$7:$L$8</c:f>
              <c:numCache>
                <c:formatCode>General</c:formatCode>
                <c:ptCount val="2"/>
                <c:pt idx="0">
                  <c:v>0</c:v>
                </c:pt>
                <c:pt idx="1">
                  <c:v>0</c:v>
                </c:pt>
              </c:numCache>
            </c:numRef>
          </c:xVal>
          <c:yVal>
            <c:numRef>
              <c:f>MEXP!$M$7:$M$8</c:f>
              <c:numCache>
                <c:formatCode>General</c:formatCode>
                <c:ptCount val="2"/>
                <c:pt idx="0">
                  <c:v>0</c:v>
                </c:pt>
                <c:pt idx="1">
                  <c:v>0.95</c:v>
                </c:pt>
              </c:numCache>
            </c:numRef>
          </c:yVal>
          <c:smooth val="0"/>
          <c:extLst>
            <c:ext xmlns:c16="http://schemas.microsoft.com/office/drawing/2014/chart" uri="{C3380CC4-5D6E-409C-BE32-E72D297353CC}">
              <c16:uniqueId val="{00000001-8FD3-4EC7-A424-8D273EF370C1}"/>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spPr>
            <a:ln w="6350" cap="rnd">
              <a:solidFill>
                <a:srgbClr val="FF0000"/>
              </a:solidFill>
              <a:round/>
            </a:ln>
            <a:effectLst/>
          </c:spPr>
          <c:marker>
            <c:symbol val="none"/>
          </c:marker>
          <c:xVal>
            <c:numRef>
              <c:f>MEXP!$B$11:$B$610</c:f>
              <c:numCache>
                <c:formatCode>General</c:formatCode>
                <c:ptCount val="6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MEXP!$F$11:$F$610</c:f>
              <c:numCache>
                <c:formatCode>General</c:formatCode>
                <c:ptCount val="600"/>
                <c:pt idx="0">
                  <c:v>-0.25</c:v>
                </c:pt>
                <c:pt idx="1">
                  <c:v>-0.25</c:v>
                </c:pt>
                <c:pt idx="2">
                  <c:v>-0.25</c:v>
                </c:pt>
                <c:pt idx="3">
                  <c:v>-0.25</c:v>
                </c:pt>
                <c:pt idx="4">
                  <c:v>-0.25</c:v>
                </c:pt>
                <c:pt idx="5">
                  <c:v>-0.25</c:v>
                </c:pt>
                <c:pt idx="6">
                  <c:v>-0.25</c:v>
                </c:pt>
                <c:pt idx="7">
                  <c:v>-0.25</c:v>
                </c:pt>
                <c:pt idx="8">
                  <c:v>-0.25</c:v>
                </c:pt>
                <c:pt idx="9">
                  <c:v>-0.25</c:v>
                </c:pt>
                <c:pt idx="10">
                  <c:v>-0.25</c:v>
                </c:pt>
                <c:pt idx="11">
                  <c:v>-0.25</c:v>
                </c:pt>
                <c:pt idx="12">
                  <c:v>-0.25</c:v>
                </c:pt>
                <c:pt idx="13">
                  <c:v>-0.25</c:v>
                </c:pt>
                <c:pt idx="14">
                  <c:v>-0.25</c:v>
                </c:pt>
                <c:pt idx="15">
                  <c:v>-0.25</c:v>
                </c:pt>
                <c:pt idx="16">
                  <c:v>-0.25</c:v>
                </c:pt>
                <c:pt idx="17">
                  <c:v>-0.25</c:v>
                </c:pt>
                <c:pt idx="18">
                  <c:v>-0.25</c:v>
                </c:pt>
                <c:pt idx="19">
                  <c:v>-0.25</c:v>
                </c:pt>
                <c:pt idx="20">
                  <c:v>-0.25</c:v>
                </c:pt>
                <c:pt idx="21">
                  <c:v>-0.25</c:v>
                </c:pt>
                <c:pt idx="22">
                  <c:v>-0.25</c:v>
                </c:pt>
                <c:pt idx="23">
                  <c:v>-0.25</c:v>
                </c:pt>
                <c:pt idx="24">
                  <c:v>-0.25</c:v>
                </c:pt>
                <c:pt idx="25">
                  <c:v>-0.25</c:v>
                </c:pt>
                <c:pt idx="26">
                  <c:v>-0.25</c:v>
                </c:pt>
                <c:pt idx="27">
                  <c:v>-0.25</c:v>
                </c:pt>
                <c:pt idx="28">
                  <c:v>-0.25</c:v>
                </c:pt>
                <c:pt idx="29">
                  <c:v>-0.25</c:v>
                </c:pt>
                <c:pt idx="30">
                  <c:v>-0.25</c:v>
                </c:pt>
                <c:pt idx="31">
                  <c:v>-0.25</c:v>
                </c:pt>
                <c:pt idx="32">
                  <c:v>-0.25</c:v>
                </c:pt>
                <c:pt idx="33">
                  <c:v>-0.25</c:v>
                </c:pt>
                <c:pt idx="34">
                  <c:v>-0.25</c:v>
                </c:pt>
                <c:pt idx="35">
                  <c:v>-0.25</c:v>
                </c:pt>
                <c:pt idx="36">
                  <c:v>-0.25</c:v>
                </c:pt>
                <c:pt idx="37">
                  <c:v>-0.25</c:v>
                </c:pt>
                <c:pt idx="38">
                  <c:v>-0.25</c:v>
                </c:pt>
                <c:pt idx="39">
                  <c:v>-0.25</c:v>
                </c:pt>
                <c:pt idx="40">
                  <c:v>-0.25</c:v>
                </c:pt>
                <c:pt idx="41">
                  <c:v>-0.25</c:v>
                </c:pt>
                <c:pt idx="42">
                  <c:v>-0.25</c:v>
                </c:pt>
                <c:pt idx="43">
                  <c:v>-0.25</c:v>
                </c:pt>
                <c:pt idx="44">
                  <c:v>-0.25</c:v>
                </c:pt>
                <c:pt idx="45">
                  <c:v>-0.25</c:v>
                </c:pt>
                <c:pt idx="46">
                  <c:v>-0.25</c:v>
                </c:pt>
                <c:pt idx="47">
                  <c:v>-0.25</c:v>
                </c:pt>
                <c:pt idx="48">
                  <c:v>-0.25</c:v>
                </c:pt>
                <c:pt idx="49">
                  <c:v>-0.25</c:v>
                </c:pt>
                <c:pt idx="50">
                  <c:v>-0.25</c:v>
                </c:pt>
                <c:pt idx="51">
                  <c:v>-0.25</c:v>
                </c:pt>
                <c:pt idx="52">
                  <c:v>-0.25</c:v>
                </c:pt>
                <c:pt idx="53">
                  <c:v>-0.25</c:v>
                </c:pt>
                <c:pt idx="54">
                  <c:v>-0.25</c:v>
                </c:pt>
                <c:pt idx="55">
                  <c:v>-0.25</c:v>
                </c:pt>
                <c:pt idx="56">
                  <c:v>-0.25</c:v>
                </c:pt>
                <c:pt idx="57">
                  <c:v>-0.25</c:v>
                </c:pt>
                <c:pt idx="58">
                  <c:v>-0.25</c:v>
                </c:pt>
                <c:pt idx="59">
                  <c:v>-0.25</c:v>
                </c:pt>
                <c:pt idx="60">
                  <c:v>-0.25</c:v>
                </c:pt>
                <c:pt idx="61">
                  <c:v>-0.25</c:v>
                </c:pt>
                <c:pt idx="62">
                  <c:v>-0.25</c:v>
                </c:pt>
                <c:pt idx="63">
                  <c:v>-0.25</c:v>
                </c:pt>
                <c:pt idx="64">
                  <c:v>-0.25</c:v>
                </c:pt>
                <c:pt idx="65">
                  <c:v>-0.25</c:v>
                </c:pt>
                <c:pt idx="66">
                  <c:v>-0.25</c:v>
                </c:pt>
                <c:pt idx="67">
                  <c:v>-0.25</c:v>
                </c:pt>
                <c:pt idx="68">
                  <c:v>-0.25</c:v>
                </c:pt>
                <c:pt idx="69">
                  <c:v>-0.25</c:v>
                </c:pt>
                <c:pt idx="70">
                  <c:v>-0.25</c:v>
                </c:pt>
                <c:pt idx="71">
                  <c:v>-0.25</c:v>
                </c:pt>
                <c:pt idx="72">
                  <c:v>-0.25</c:v>
                </c:pt>
                <c:pt idx="73">
                  <c:v>-0.25</c:v>
                </c:pt>
                <c:pt idx="74">
                  <c:v>-0.25</c:v>
                </c:pt>
                <c:pt idx="75">
                  <c:v>-0.25</c:v>
                </c:pt>
                <c:pt idx="76">
                  <c:v>-0.25</c:v>
                </c:pt>
                <c:pt idx="77">
                  <c:v>-0.25</c:v>
                </c:pt>
                <c:pt idx="78">
                  <c:v>-0.25</c:v>
                </c:pt>
                <c:pt idx="79">
                  <c:v>-0.25</c:v>
                </c:pt>
                <c:pt idx="80">
                  <c:v>-0.25</c:v>
                </c:pt>
                <c:pt idx="81">
                  <c:v>-0.25</c:v>
                </c:pt>
                <c:pt idx="82">
                  <c:v>-0.25</c:v>
                </c:pt>
                <c:pt idx="83">
                  <c:v>-0.25</c:v>
                </c:pt>
                <c:pt idx="84">
                  <c:v>-0.25</c:v>
                </c:pt>
                <c:pt idx="85">
                  <c:v>-0.25</c:v>
                </c:pt>
                <c:pt idx="86">
                  <c:v>-0.25</c:v>
                </c:pt>
                <c:pt idx="87">
                  <c:v>-0.25</c:v>
                </c:pt>
                <c:pt idx="88">
                  <c:v>-0.25</c:v>
                </c:pt>
                <c:pt idx="89">
                  <c:v>-0.25</c:v>
                </c:pt>
                <c:pt idx="90">
                  <c:v>-0.25</c:v>
                </c:pt>
                <c:pt idx="91">
                  <c:v>-0.25</c:v>
                </c:pt>
                <c:pt idx="92">
                  <c:v>-0.25</c:v>
                </c:pt>
                <c:pt idx="93">
                  <c:v>-0.25</c:v>
                </c:pt>
                <c:pt idx="94">
                  <c:v>-0.25</c:v>
                </c:pt>
                <c:pt idx="95">
                  <c:v>-0.25</c:v>
                </c:pt>
                <c:pt idx="96">
                  <c:v>-0.25</c:v>
                </c:pt>
                <c:pt idx="97">
                  <c:v>-0.25</c:v>
                </c:pt>
                <c:pt idx="98">
                  <c:v>-0.25</c:v>
                </c:pt>
                <c:pt idx="99">
                  <c:v>-0.25</c:v>
                </c:pt>
                <c:pt idx="100">
                  <c:v>-0.25</c:v>
                </c:pt>
                <c:pt idx="101">
                  <c:v>-0.25</c:v>
                </c:pt>
                <c:pt idx="102">
                  <c:v>-0.25</c:v>
                </c:pt>
                <c:pt idx="103">
                  <c:v>-0.25</c:v>
                </c:pt>
                <c:pt idx="104">
                  <c:v>-0.25</c:v>
                </c:pt>
                <c:pt idx="105">
                  <c:v>-0.25</c:v>
                </c:pt>
                <c:pt idx="106">
                  <c:v>-0.25</c:v>
                </c:pt>
                <c:pt idx="107">
                  <c:v>-0.25</c:v>
                </c:pt>
                <c:pt idx="108">
                  <c:v>-0.25</c:v>
                </c:pt>
                <c:pt idx="109">
                  <c:v>-0.25</c:v>
                </c:pt>
                <c:pt idx="110">
                  <c:v>-0.25</c:v>
                </c:pt>
                <c:pt idx="111">
                  <c:v>-0.25</c:v>
                </c:pt>
                <c:pt idx="112">
                  <c:v>-0.25</c:v>
                </c:pt>
                <c:pt idx="113">
                  <c:v>-0.25</c:v>
                </c:pt>
                <c:pt idx="114">
                  <c:v>-0.25</c:v>
                </c:pt>
                <c:pt idx="115">
                  <c:v>-0.25</c:v>
                </c:pt>
                <c:pt idx="116">
                  <c:v>-0.25</c:v>
                </c:pt>
                <c:pt idx="117">
                  <c:v>-0.25</c:v>
                </c:pt>
                <c:pt idx="118">
                  <c:v>-0.25</c:v>
                </c:pt>
                <c:pt idx="119">
                  <c:v>-0.25</c:v>
                </c:pt>
                <c:pt idx="120">
                  <c:v>-0.25</c:v>
                </c:pt>
                <c:pt idx="121">
                  <c:v>-0.25</c:v>
                </c:pt>
                <c:pt idx="122">
                  <c:v>-0.25</c:v>
                </c:pt>
                <c:pt idx="123">
                  <c:v>-0.25</c:v>
                </c:pt>
                <c:pt idx="124">
                  <c:v>-0.25</c:v>
                </c:pt>
                <c:pt idx="125">
                  <c:v>-0.25</c:v>
                </c:pt>
                <c:pt idx="126">
                  <c:v>-0.25</c:v>
                </c:pt>
                <c:pt idx="127">
                  <c:v>-0.25</c:v>
                </c:pt>
                <c:pt idx="128">
                  <c:v>-0.25</c:v>
                </c:pt>
                <c:pt idx="129">
                  <c:v>-0.25</c:v>
                </c:pt>
                <c:pt idx="130">
                  <c:v>-0.25</c:v>
                </c:pt>
                <c:pt idx="131">
                  <c:v>-0.25</c:v>
                </c:pt>
                <c:pt idx="132">
                  <c:v>-0.25</c:v>
                </c:pt>
                <c:pt idx="133">
                  <c:v>-0.25</c:v>
                </c:pt>
                <c:pt idx="134">
                  <c:v>-0.25</c:v>
                </c:pt>
                <c:pt idx="135">
                  <c:v>-0.25</c:v>
                </c:pt>
                <c:pt idx="136">
                  <c:v>-0.25</c:v>
                </c:pt>
                <c:pt idx="137">
                  <c:v>-0.25</c:v>
                </c:pt>
                <c:pt idx="138">
                  <c:v>-0.25</c:v>
                </c:pt>
                <c:pt idx="139">
                  <c:v>-0.25</c:v>
                </c:pt>
                <c:pt idx="140">
                  <c:v>-0.25</c:v>
                </c:pt>
                <c:pt idx="141">
                  <c:v>-0.25</c:v>
                </c:pt>
                <c:pt idx="142">
                  <c:v>-0.25</c:v>
                </c:pt>
                <c:pt idx="143">
                  <c:v>-0.25</c:v>
                </c:pt>
                <c:pt idx="144">
                  <c:v>-0.25</c:v>
                </c:pt>
                <c:pt idx="145">
                  <c:v>-0.25</c:v>
                </c:pt>
                <c:pt idx="146">
                  <c:v>-0.25</c:v>
                </c:pt>
                <c:pt idx="147">
                  <c:v>-0.25</c:v>
                </c:pt>
                <c:pt idx="148">
                  <c:v>-0.25</c:v>
                </c:pt>
                <c:pt idx="149">
                  <c:v>-0.25</c:v>
                </c:pt>
                <c:pt idx="150">
                  <c:v>-0.25</c:v>
                </c:pt>
                <c:pt idx="151">
                  <c:v>-0.25</c:v>
                </c:pt>
                <c:pt idx="152">
                  <c:v>-0.25</c:v>
                </c:pt>
                <c:pt idx="153">
                  <c:v>-0.25</c:v>
                </c:pt>
                <c:pt idx="154">
                  <c:v>-0.25</c:v>
                </c:pt>
                <c:pt idx="155">
                  <c:v>-0.25</c:v>
                </c:pt>
                <c:pt idx="156">
                  <c:v>-0.25</c:v>
                </c:pt>
                <c:pt idx="157">
                  <c:v>-0.25</c:v>
                </c:pt>
                <c:pt idx="158">
                  <c:v>-0.25</c:v>
                </c:pt>
                <c:pt idx="159">
                  <c:v>-0.25</c:v>
                </c:pt>
                <c:pt idx="160">
                  <c:v>-0.25</c:v>
                </c:pt>
                <c:pt idx="161">
                  <c:v>-0.25</c:v>
                </c:pt>
                <c:pt idx="162">
                  <c:v>-0.25</c:v>
                </c:pt>
                <c:pt idx="163">
                  <c:v>-0.25</c:v>
                </c:pt>
                <c:pt idx="164">
                  <c:v>-0.25</c:v>
                </c:pt>
                <c:pt idx="165">
                  <c:v>-0.25</c:v>
                </c:pt>
                <c:pt idx="166">
                  <c:v>-0.25</c:v>
                </c:pt>
                <c:pt idx="167">
                  <c:v>-0.25</c:v>
                </c:pt>
                <c:pt idx="168">
                  <c:v>-0.25</c:v>
                </c:pt>
                <c:pt idx="169">
                  <c:v>-0.25</c:v>
                </c:pt>
                <c:pt idx="170">
                  <c:v>-0.25</c:v>
                </c:pt>
                <c:pt idx="171">
                  <c:v>-0.25</c:v>
                </c:pt>
                <c:pt idx="172">
                  <c:v>-0.25</c:v>
                </c:pt>
                <c:pt idx="173">
                  <c:v>-0.25</c:v>
                </c:pt>
                <c:pt idx="174">
                  <c:v>-0.25</c:v>
                </c:pt>
                <c:pt idx="175">
                  <c:v>-0.25</c:v>
                </c:pt>
                <c:pt idx="176">
                  <c:v>-0.25</c:v>
                </c:pt>
                <c:pt idx="177">
                  <c:v>-0.25</c:v>
                </c:pt>
                <c:pt idx="178">
                  <c:v>-0.25</c:v>
                </c:pt>
                <c:pt idx="179">
                  <c:v>-0.25</c:v>
                </c:pt>
                <c:pt idx="180">
                  <c:v>-0.25</c:v>
                </c:pt>
                <c:pt idx="181">
                  <c:v>-0.25</c:v>
                </c:pt>
                <c:pt idx="182">
                  <c:v>-0.25</c:v>
                </c:pt>
                <c:pt idx="183">
                  <c:v>-0.25</c:v>
                </c:pt>
                <c:pt idx="184">
                  <c:v>-0.25</c:v>
                </c:pt>
                <c:pt idx="185">
                  <c:v>-0.25</c:v>
                </c:pt>
                <c:pt idx="186">
                  <c:v>-0.25</c:v>
                </c:pt>
                <c:pt idx="187">
                  <c:v>-0.25</c:v>
                </c:pt>
                <c:pt idx="188">
                  <c:v>-0.25</c:v>
                </c:pt>
                <c:pt idx="189">
                  <c:v>-0.25</c:v>
                </c:pt>
                <c:pt idx="190">
                  <c:v>-0.25</c:v>
                </c:pt>
                <c:pt idx="191">
                  <c:v>-0.25</c:v>
                </c:pt>
                <c:pt idx="192">
                  <c:v>-0.25</c:v>
                </c:pt>
                <c:pt idx="193">
                  <c:v>-0.25</c:v>
                </c:pt>
                <c:pt idx="194">
                  <c:v>-0.25</c:v>
                </c:pt>
                <c:pt idx="195">
                  <c:v>-0.25</c:v>
                </c:pt>
                <c:pt idx="196">
                  <c:v>-0.25</c:v>
                </c:pt>
                <c:pt idx="197">
                  <c:v>-0.25</c:v>
                </c:pt>
                <c:pt idx="198">
                  <c:v>-0.25</c:v>
                </c:pt>
                <c:pt idx="199">
                  <c:v>-0.25</c:v>
                </c:pt>
                <c:pt idx="200">
                  <c:v>-0.25</c:v>
                </c:pt>
                <c:pt idx="201">
                  <c:v>-0.25</c:v>
                </c:pt>
                <c:pt idx="202">
                  <c:v>-0.25</c:v>
                </c:pt>
                <c:pt idx="203">
                  <c:v>-0.25</c:v>
                </c:pt>
                <c:pt idx="204">
                  <c:v>-0.25</c:v>
                </c:pt>
                <c:pt idx="205">
                  <c:v>-0.25</c:v>
                </c:pt>
                <c:pt idx="206">
                  <c:v>-0.25</c:v>
                </c:pt>
                <c:pt idx="207">
                  <c:v>-0.25</c:v>
                </c:pt>
                <c:pt idx="208">
                  <c:v>-0.25</c:v>
                </c:pt>
                <c:pt idx="209">
                  <c:v>-0.25</c:v>
                </c:pt>
                <c:pt idx="210">
                  <c:v>-0.25</c:v>
                </c:pt>
                <c:pt idx="211">
                  <c:v>-0.25</c:v>
                </c:pt>
                <c:pt idx="212">
                  <c:v>-0.25</c:v>
                </c:pt>
                <c:pt idx="213">
                  <c:v>-0.25</c:v>
                </c:pt>
                <c:pt idx="214">
                  <c:v>-0.25</c:v>
                </c:pt>
                <c:pt idx="215">
                  <c:v>-0.25</c:v>
                </c:pt>
                <c:pt idx="216">
                  <c:v>-0.25</c:v>
                </c:pt>
                <c:pt idx="217">
                  <c:v>-0.25</c:v>
                </c:pt>
                <c:pt idx="218">
                  <c:v>-0.25</c:v>
                </c:pt>
                <c:pt idx="219">
                  <c:v>-0.25</c:v>
                </c:pt>
                <c:pt idx="220">
                  <c:v>-0.25</c:v>
                </c:pt>
                <c:pt idx="221">
                  <c:v>-0.25</c:v>
                </c:pt>
                <c:pt idx="222">
                  <c:v>-0.25</c:v>
                </c:pt>
                <c:pt idx="223">
                  <c:v>-0.25</c:v>
                </c:pt>
                <c:pt idx="224">
                  <c:v>-0.25</c:v>
                </c:pt>
                <c:pt idx="225">
                  <c:v>-0.25</c:v>
                </c:pt>
                <c:pt idx="226">
                  <c:v>-0.25</c:v>
                </c:pt>
                <c:pt idx="227">
                  <c:v>-0.25</c:v>
                </c:pt>
                <c:pt idx="228">
                  <c:v>-0.25</c:v>
                </c:pt>
                <c:pt idx="229">
                  <c:v>-0.25</c:v>
                </c:pt>
                <c:pt idx="230">
                  <c:v>-0.25</c:v>
                </c:pt>
                <c:pt idx="231">
                  <c:v>-0.25</c:v>
                </c:pt>
                <c:pt idx="232">
                  <c:v>-0.25</c:v>
                </c:pt>
                <c:pt idx="233">
                  <c:v>-0.25</c:v>
                </c:pt>
                <c:pt idx="234">
                  <c:v>-0.25</c:v>
                </c:pt>
                <c:pt idx="235">
                  <c:v>-0.25</c:v>
                </c:pt>
                <c:pt idx="236">
                  <c:v>-0.25</c:v>
                </c:pt>
                <c:pt idx="237">
                  <c:v>-0.25</c:v>
                </c:pt>
                <c:pt idx="238">
                  <c:v>-0.25</c:v>
                </c:pt>
                <c:pt idx="239">
                  <c:v>-0.25</c:v>
                </c:pt>
                <c:pt idx="240">
                  <c:v>-0.25</c:v>
                </c:pt>
                <c:pt idx="241">
                  <c:v>-0.25</c:v>
                </c:pt>
                <c:pt idx="242">
                  <c:v>-0.25</c:v>
                </c:pt>
                <c:pt idx="243">
                  <c:v>-0.25</c:v>
                </c:pt>
                <c:pt idx="244">
                  <c:v>-0.25</c:v>
                </c:pt>
                <c:pt idx="245">
                  <c:v>-0.25</c:v>
                </c:pt>
                <c:pt idx="246">
                  <c:v>-0.25</c:v>
                </c:pt>
                <c:pt idx="247">
                  <c:v>-0.25</c:v>
                </c:pt>
                <c:pt idx="248">
                  <c:v>-0.25</c:v>
                </c:pt>
                <c:pt idx="249">
                  <c:v>-0.25</c:v>
                </c:pt>
                <c:pt idx="250">
                  <c:v>-0.25</c:v>
                </c:pt>
                <c:pt idx="251">
                  <c:v>-0.25</c:v>
                </c:pt>
                <c:pt idx="252">
                  <c:v>-0.25</c:v>
                </c:pt>
                <c:pt idx="253">
                  <c:v>-0.25</c:v>
                </c:pt>
                <c:pt idx="254">
                  <c:v>-0.25</c:v>
                </c:pt>
                <c:pt idx="255">
                  <c:v>-0.25</c:v>
                </c:pt>
                <c:pt idx="256">
                  <c:v>-0.25</c:v>
                </c:pt>
                <c:pt idx="257">
                  <c:v>-0.25</c:v>
                </c:pt>
                <c:pt idx="258">
                  <c:v>-0.25</c:v>
                </c:pt>
                <c:pt idx="259">
                  <c:v>-0.25</c:v>
                </c:pt>
                <c:pt idx="260">
                  <c:v>-0.25</c:v>
                </c:pt>
                <c:pt idx="261">
                  <c:v>-0.25</c:v>
                </c:pt>
                <c:pt idx="262">
                  <c:v>-0.25</c:v>
                </c:pt>
                <c:pt idx="263">
                  <c:v>-0.25</c:v>
                </c:pt>
                <c:pt idx="264">
                  <c:v>-0.25</c:v>
                </c:pt>
                <c:pt idx="265">
                  <c:v>-0.25</c:v>
                </c:pt>
                <c:pt idx="266">
                  <c:v>-0.25</c:v>
                </c:pt>
                <c:pt idx="267">
                  <c:v>-0.25</c:v>
                </c:pt>
                <c:pt idx="268">
                  <c:v>-0.25</c:v>
                </c:pt>
                <c:pt idx="269">
                  <c:v>-0.25</c:v>
                </c:pt>
                <c:pt idx="270">
                  <c:v>-0.25</c:v>
                </c:pt>
                <c:pt idx="271">
                  <c:v>-0.25</c:v>
                </c:pt>
                <c:pt idx="272">
                  <c:v>-0.25</c:v>
                </c:pt>
                <c:pt idx="273">
                  <c:v>-0.25</c:v>
                </c:pt>
                <c:pt idx="274">
                  <c:v>-0.25</c:v>
                </c:pt>
                <c:pt idx="275">
                  <c:v>-0.25</c:v>
                </c:pt>
                <c:pt idx="276">
                  <c:v>-0.25</c:v>
                </c:pt>
                <c:pt idx="277">
                  <c:v>-0.25</c:v>
                </c:pt>
                <c:pt idx="278">
                  <c:v>-0.25</c:v>
                </c:pt>
                <c:pt idx="279">
                  <c:v>-0.25</c:v>
                </c:pt>
                <c:pt idx="280">
                  <c:v>-0.25</c:v>
                </c:pt>
                <c:pt idx="281">
                  <c:v>-0.25</c:v>
                </c:pt>
                <c:pt idx="282">
                  <c:v>-0.25</c:v>
                </c:pt>
                <c:pt idx="283">
                  <c:v>-0.25</c:v>
                </c:pt>
                <c:pt idx="284">
                  <c:v>-0.25</c:v>
                </c:pt>
                <c:pt idx="285">
                  <c:v>-0.25</c:v>
                </c:pt>
                <c:pt idx="286">
                  <c:v>-0.25</c:v>
                </c:pt>
                <c:pt idx="287">
                  <c:v>-0.25</c:v>
                </c:pt>
                <c:pt idx="288">
                  <c:v>-0.25</c:v>
                </c:pt>
                <c:pt idx="289">
                  <c:v>-0.25</c:v>
                </c:pt>
                <c:pt idx="290">
                  <c:v>-0.25</c:v>
                </c:pt>
                <c:pt idx="291">
                  <c:v>-0.25</c:v>
                </c:pt>
                <c:pt idx="292">
                  <c:v>-0.25</c:v>
                </c:pt>
                <c:pt idx="293">
                  <c:v>-0.25</c:v>
                </c:pt>
                <c:pt idx="294">
                  <c:v>-0.25</c:v>
                </c:pt>
                <c:pt idx="295">
                  <c:v>-0.25</c:v>
                </c:pt>
                <c:pt idx="296">
                  <c:v>-0.25</c:v>
                </c:pt>
                <c:pt idx="297">
                  <c:v>-0.25</c:v>
                </c:pt>
                <c:pt idx="298">
                  <c:v>-0.25</c:v>
                </c:pt>
                <c:pt idx="299">
                  <c:v>-0.25</c:v>
                </c:pt>
                <c:pt idx="300">
                  <c:v>-0.25</c:v>
                </c:pt>
                <c:pt idx="301">
                  <c:v>-0.25</c:v>
                </c:pt>
                <c:pt idx="302">
                  <c:v>-0.25</c:v>
                </c:pt>
                <c:pt idx="303">
                  <c:v>-0.25</c:v>
                </c:pt>
                <c:pt idx="304">
                  <c:v>-0.25</c:v>
                </c:pt>
                <c:pt idx="305">
                  <c:v>-0.25</c:v>
                </c:pt>
                <c:pt idx="306">
                  <c:v>-0.25</c:v>
                </c:pt>
                <c:pt idx="307">
                  <c:v>-0.25</c:v>
                </c:pt>
                <c:pt idx="308">
                  <c:v>-0.25</c:v>
                </c:pt>
                <c:pt idx="309">
                  <c:v>-0.25</c:v>
                </c:pt>
                <c:pt idx="310">
                  <c:v>-0.25</c:v>
                </c:pt>
                <c:pt idx="311">
                  <c:v>-0.25</c:v>
                </c:pt>
                <c:pt idx="312">
                  <c:v>-0.25</c:v>
                </c:pt>
                <c:pt idx="313">
                  <c:v>-0.25</c:v>
                </c:pt>
                <c:pt idx="314">
                  <c:v>-0.25</c:v>
                </c:pt>
                <c:pt idx="315">
                  <c:v>-0.25</c:v>
                </c:pt>
                <c:pt idx="316">
                  <c:v>-0.25</c:v>
                </c:pt>
                <c:pt idx="317">
                  <c:v>-0.25</c:v>
                </c:pt>
                <c:pt idx="318">
                  <c:v>-0.25</c:v>
                </c:pt>
                <c:pt idx="319">
                  <c:v>-0.25</c:v>
                </c:pt>
                <c:pt idx="320">
                  <c:v>-0.25</c:v>
                </c:pt>
                <c:pt idx="321">
                  <c:v>-0.25</c:v>
                </c:pt>
                <c:pt idx="322">
                  <c:v>-0.25</c:v>
                </c:pt>
                <c:pt idx="323">
                  <c:v>-0.25</c:v>
                </c:pt>
                <c:pt idx="324">
                  <c:v>-0.25</c:v>
                </c:pt>
                <c:pt idx="325">
                  <c:v>-0.25</c:v>
                </c:pt>
                <c:pt idx="326">
                  <c:v>-0.25</c:v>
                </c:pt>
                <c:pt idx="327">
                  <c:v>-0.25</c:v>
                </c:pt>
                <c:pt idx="328">
                  <c:v>-0.25</c:v>
                </c:pt>
                <c:pt idx="329">
                  <c:v>-0.25</c:v>
                </c:pt>
                <c:pt idx="330">
                  <c:v>-0.25</c:v>
                </c:pt>
                <c:pt idx="331">
                  <c:v>-0.25</c:v>
                </c:pt>
                <c:pt idx="332">
                  <c:v>-0.25</c:v>
                </c:pt>
                <c:pt idx="333">
                  <c:v>-0.25</c:v>
                </c:pt>
                <c:pt idx="334">
                  <c:v>-0.25</c:v>
                </c:pt>
                <c:pt idx="335">
                  <c:v>-0.25</c:v>
                </c:pt>
                <c:pt idx="336">
                  <c:v>-0.25</c:v>
                </c:pt>
                <c:pt idx="337">
                  <c:v>-0.25</c:v>
                </c:pt>
                <c:pt idx="338">
                  <c:v>-0.25</c:v>
                </c:pt>
                <c:pt idx="339">
                  <c:v>-0.25</c:v>
                </c:pt>
                <c:pt idx="340">
                  <c:v>-0.25</c:v>
                </c:pt>
                <c:pt idx="341">
                  <c:v>-0.25</c:v>
                </c:pt>
                <c:pt idx="342">
                  <c:v>-0.25</c:v>
                </c:pt>
                <c:pt idx="343">
                  <c:v>-0.25</c:v>
                </c:pt>
                <c:pt idx="344">
                  <c:v>-0.25</c:v>
                </c:pt>
                <c:pt idx="345">
                  <c:v>-0.25</c:v>
                </c:pt>
                <c:pt idx="346">
                  <c:v>-0.25</c:v>
                </c:pt>
                <c:pt idx="347">
                  <c:v>-0.25</c:v>
                </c:pt>
                <c:pt idx="348">
                  <c:v>-0.25</c:v>
                </c:pt>
                <c:pt idx="349">
                  <c:v>-0.25</c:v>
                </c:pt>
                <c:pt idx="350">
                  <c:v>-0.25</c:v>
                </c:pt>
                <c:pt idx="351">
                  <c:v>-0.25</c:v>
                </c:pt>
                <c:pt idx="352">
                  <c:v>-0.25</c:v>
                </c:pt>
                <c:pt idx="353">
                  <c:v>-0.25</c:v>
                </c:pt>
                <c:pt idx="354">
                  <c:v>-0.25</c:v>
                </c:pt>
                <c:pt idx="355">
                  <c:v>-0.25</c:v>
                </c:pt>
                <c:pt idx="356">
                  <c:v>-0.25</c:v>
                </c:pt>
                <c:pt idx="357">
                  <c:v>-0.25</c:v>
                </c:pt>
                <c:pt idx="358">
                  <c:v>-0.25</c:v>
                </c:pt>
                <c:pt idx="359">
                  <c:v>-0.25</c:v>
                </c:pt>
                <c:pt idx="360">
                  <c:v>-0.25</c:v>
                </c:pt>
                <c:pt idx="361">
                  <c:v>-0.25</c:v>
                </c:pt>
                <c:pt idx="362">
                  <c:v>-0.25</c:v>
                </c:pt>
                <c:pt idx="363">
                  <c:v>-0.25</c:v>
                </c:pt>
                <c:pt idx="364">
                  <c:v>-0.25</c:v>
                </c:pt>
                <c:pt idx="365">
                  <c:v>-0.25</c:v>
                </c:pt>
                <c:pt idx="366">
                  <c:v>-0.25</c:v>
                </c:pt>
                <c:pt idx="367">
                  <c:v>-0.25</c:v>
                </c:pt>
                <c:pt idx="368">
                  <c:v>-0.25</c:v>
                </c:pt>
                <c:pt idx="369">
                  <c:v>-0.25</c:v>
                </c:pt>
                <c:pt idx="370">
                  <c:v>-0.25</c:v>
                </c:pt>
                <c:pt idx="371">
                  <c:v>-0.25</c:v>
                </c:pt>
                <c:pt idx="372">
                  <c:v>-0.25</c:v>
                </c:pt>
                <c:pt idx="373">
                  <c:v>-0.25</c:v>
                </c:pt>
                <c:pt idx="374">
                  <c:v>-0.25</c:v>
                </c:pt>
                <c:pt idx="375">
                  <c:v>-0.25</c:v>
                </c:pt>
                <c:pt idx="376">
                  <c:v>-0.25</c:v>
                </c:pt>
                <c:pt idx="377">
                  <c:v>-0.25</c:v>
                </c:pt>
                <c:pt idx="378">
                  <c:v>-0.25</c:v>
                </c:pt>
                <c:pt idx="379">
                  <c:v>-0.25</c:v>
                </c:pt>
                <c:pt idx="380">
                  <c:v>-0.25</c:v>
                </c:pt>
                <c:pt idx="381">
                  <c:v>-0.25</c:v>
                </c:pt>
                <c:pt idx="382">
                  <c:v>-0.25</c:v>
                </c:pt>
                <c:pt idx="383">
                  <c:v>-0.25</c:v>
                </c:pt>
                <c:pt idx="384">
                  <c:v>-0.25</c:v>
                </c:pt>
                <c:pt idx="385">
                  <c:v>-0.25</c:v>
                </c:pt>
                <c:pt idx="386">
                  <c:v>-0.25</c:v>
                </c:pt>
                <c:pt idx="387">
                  <c:v>-0.25</c:v>
                </c:pt>
                <c:pt idx="388">
                  <c:v>-0.25</c:v>
                </c:pt>
                <c:pt idx="389">
                  <c:v>-0.25</c:v>
                </c:pt>
                <c:pt idx="390">
                  <c:v>-0.25</c:v>
                </c:pt>
                <c:pt idx="391">
                  <c:v>-0.25</c:v>
                </c:pt>
                <c:pt idx="392">
                  <c:v>-0.25</c:v>
                </c:pt>
                <c:pt idx="393">
                  <c:v>-0.25</c:v>
                </c:pt>
                <c:pt idx="394">
                  <c:v>-0.25</c:v>
                </c:pt>
                <c:pt idx="395">
                  <c:v>-0.25</c:v>
                </c:pt>
                <c:pt idx="396">
                  <c:v>-0.25</c:v>
                </c:pt>
                <c:pt idx="397">
                  <c:v>-0.25</c:v>
                </c:pt>
                <c:pt idx="398">
                  <c:v>-0.25</c:v>
                </c:pt>
                <c:pt idx="399">
                  <c:v>-0.25</c:v>
                </c:pt>
                <c:pt idx="400">
                  <c:v>-0.25</c:v>
                </c:pt>
                <c:pt idx="401">
                  <c:v>-0.25</c:v>
                </c:pt>
                <c:pt idx="402">
                  <c:v>-0.25</c:v>
                </c:pt>
                <c:pt idx="403">
                  <c:v>-0.25</c:v>
                </c:pt>
                <c:pt idx="404">
                  <c:v>-0.25</c:v>
                </c:pt>
                <c:pt idx="405">
                  <c:v>-0.25</c:v>
                </c:pt>
                <c:pt idx="406">
                  <c:v>-0.25</c:v>
                </c:pt>
                <c:pt idx="407">
                  <c:v>-0.25</c:v>
                </c:pt>
                <c:pt idx="408">
                  <c:v>-0.25</c:v>
                </c:pt>
                <c:pt idx="409">
                  <c:v>-0.25</c:v>
                </c:pt>
                <c:pt idx="410">
                  <c:v>-0.25</c:v>
                </c:pt>
                <c:pt idx="411">
                  <c:v>-0.25</c:v>
                </c:pt>
                <c:pt idx="412">
                  <c:v>-0.25</c:v>
                </c:pt>
                <c:pt idx="413">
                  <c:v>-0.25</c:v>
                </c:pt>
                <c:pt idx="414">
                  <c:v>-0.25</c:v>
                </c:pt>
                <c:pt idx="415">
                  <c:v>-0.25</c:v>
                </c:pt>
                <c:pt idx="416">
                  <c:v>-0.25</c:v>
                </c:pt>
                <c:pt idx="417">
                  <c:v>-0.25</c:v>
                </c:pt>
                <c:pt idx="418">
                  <c:v>-0.25</c:v>
                </c:pt>
                <c:pt idx="419">
                  <c:v>-0.25</c:v>
                </c:pt>
                <c:pt idx="420">
                  <c:v>-0.25</c:v>
                </c:pt>
                <c:pt idx="421">
                  <c:v>-0.25</c:v>
                </c:pt>
                <c:pt idx="422">
                  <c:v>-0.25</c:v>
                </c:pt>
                <c:pt idx="423">
                  <c:v>-0.25</c:v>
                </c:pt>
                <c:pt idx="424">
                  <c:v>-0.25</c:v>
                </c:pt>
                <c:pt idx="425">
                  <c:v>-0.25</c:v>
                </c:pt>
                <c:pt idx="426">
                  <c:v>-0.25</c:v>
                </c:pt>
                <c:pt idx="427">
                  <c:v>-0.25</c:v>
                </c:pt>
                <c:pt idx="428">
                  <c:v>-0.25</c:v>
                </c:pt>
                <c:pt idx="429">
                  <c:v>-0.25</c:v>
                </c:pt>
                <c:pt idx="430">
                  <c:v>-0.25</c:v>
                </c:pt>
                <c:pt idx="431">
                  <c:v>-0.25</c:v>
                </c:pt>
                <c:pt idx="432">
                  <c:v>-0.25</c:v>
                </c:pt>
                <c:pt idx="433">
                  <c:v>-0.25</c:v>
                </c:pt>
                <c:pt idx="434">
                  <c:v>-0.25</c:v>
                </c:pt>
                <c:pt idx="435">
                  <c:v>-0.25</c:v>
                </c:pt>
                <c:pt idx="436">
                  <c:v>-0.25</c:v>
                </c:pt>
                <c:pt idx="437">
                  <c:v>-0.25</c:v>
                </c:pt>
                <c:pt idx="438">
                  <c:v>-0.25</c:v>
                </c:pt>
                <c:pt idx="439">
                  <c:v>-0.25</c:v>
                </c:pt>
                <c:pt idx="440">
                  <c:v>-0.25</c:v>
                </c:pt>
                <c:pt idx="441">
                  <c:v>-0.25</c:v>
                </c:pt>
                <c:pt idx="442">
                  <c:v>-0.25</c:v>
                </c:pt>
                <c:pt idx="443">
                  <c:v>-0.25</c:v>
                </c:pt>
                <c:pt idx="444">
                  <c:v>-0.25</c:v>
                </c:pt>
                <c:pt idx="445">
                  <c:v>-0.25</c:v>
                </c:pt>
                <c:pt idx="446">
                  <c:v>-0.25</c:v>
                </c:pt>
                <c:pt idx="447">
                  <c:v>-0.25</c:v>
                </c:pt>
                <c:pt idx="448">
                  <c:v>-0.25</c:v>
                </c:pt>
                <c:pt idx="449">
                  <c:v>-0.25</c:v>
                </c:pt>
                <c:pt idx="450">
                  <c:v>-0.25</c:v>
                </c:pt>
                <c:pt idx="451">
                  <c:v>-0.25</c:v>
                </c:pt>
                <c:pt idx="452">
                  <c:v>-0.25</c:v>
                </c:pt>
                <c:pt idx="453">
                  <c:v>-0.25</c:v>
                </c:pt>
                <c:pt idx="454">
                  <c:v>-0.25</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-0.25</c:v>
                </c:pt>
                <c:pt idx="541">
                  <c:v>-0.25</c:v>
                </c:pt>
                <c:pt idx="542">
                  <c:v>-0.25</c:v>
                </c:pt>
                <c:pt idx="543">
                  <c:v>-0.25</c:v>
                </c:pt>
                <c:pt idx="544">
                  <c:v>-0.25</c:v>
                </c:pt>
                <c:pt idx="545">
                  <c:v>-0.25</c:v>
                </c:pt>
                <c:pt idx="546">
                  <c:v>-0.25</c:v>
                </c:pt>
                <c:pt idx="547">
                  <c:v>-0.25</c:v>
                </c:pt>
                <c:pt idx="548">
                  <c:v>-0.25</c:v>
                </c:pt>
                <c:pt idx="549">
                  <c:v>-0.25</c:v>
                </c:pt>
                <c:pt idx="550">
                  <c:v>-0.25</c:v>
                </c:pt>
                <c:pt idx="551">
                  <c:v>-0.25</c:v>
                </c:pt>
                <c:pt idx="552">
                  <c:v>-0.25</c:v>
                </c:pt>
                <c:pt idx="553">
                  <c:v>-0.25</c:v>
                </c:pt>
                <c:pt idx="554">
                  <c:v>-0.25</c:v>
                </c:pt>
                <c:pt idx="555">
                  <c:v>-0.25</c:v>
                </c:pt>
                <c:pt idx="556">
                  <c:v>-0.25</c:v>
                </c:pt>
                <c:pt idx="557">
                  <c:v>-0.25</c:v>
                </c:pt>
                <c:pt idx="558">
                  <c:v>-0.25</c:v>
                </c:pt>
                <c:pt idx="559">
                  <c:v>-0.25</c:v>
                </c:pt>
                <c:pt idx="560">
                  <c:v>-0.25</c:v>
                </c:pt>
                <c:pt idx="561">
                  <c:v>-0.25</c:v>
                </c:pt>
                <c:pt idx="562">
                  <c:v>-0.25</c:v>
                </c:pt>
                <c:pt idx="563">
                  <c:v>-0.25</c:v>
                </c:pt>
                <c:pt idx="564">
                  <c:v>-0.25</c:v>
                </c:pt>
                <c:pt idx="565">
                  <c:v>-0.25</c:v>
                </c:pt>
                <c:pt idx="566">
                  <c:v>-0.25</c:v>
                </c:pt>
                <c:pt idx="567">
                  <c:v>-0.25</c:v>
                </c:pt>
                <c:pt idx="568">
                  <c:v>-0.25</c:v>
                </c:pt>
                <c:pt idx="569">
                  <c:v>-0.25</c:v>
                </c:pt>
                <c:pt idx="570">
                  <c:v>-0.25</c:v>
                </c:pt>
                <c:pt idx="571">
                  <c:v>-0.25</c:v>
                </c:pt>
                <c:pt idx="572">
                  <c:v>-0.25</c:v>
                </c:pt>
                <c:pt idx="573">
                  <c:v>-0.25</c:v>
                </c:pt>
                <c:pt idx="574">
                  <c:v>-0.25</c:v>
                </c:pt>
                <c:pt idx="575">
                  <c:v>-0.25</c:v>
                </c:pt>
                <c:pt idx="576">
                  <c:v>-0.25</c:v>
                </c:pt>
                <c:pt idx="577">
                  <c:v>-0.25</c:v>
                </c:pt>
                <c:pt idx="578">
                  <c:v>-0.25</c:v>
                </c:pt>
                <c:pt idx="579">
                  <c:v>-0.25</c:v>
                </c:pt>
                <c:pt idx="580">
                  <c:v>-0.25</c:v>
                </c:pt>
                <c:pt idx="581">
                  <c:v>-0.25</c:v>
                </c:pt>
                <c:pt idx="582">
                  <c:v>-0.25</c:v>
                </c:pt>
                <c:pt idx="583">
                  <c:v>-0.25</c:v>
                </c:pt>
                <c:pt idx="584">
                  <c:v>-0.25</c:v>
                </c:pt>
                <c:pt idx="585">
                  <c:v>-0.25</c:v>
                </c:pt>
                <c:pt idx="586">
                  <c:v>-0.25</c:v>
                </c:pt>
                <c:pt idx="587">
                  <c:v>-0.25</c:v>
                </c:pt>
                <c:pt idx="588">
                  <c:v>-0.25</c:v>
                </c:pt>
                <c:pt idx="589">
                  <c:v>-0.25</c:v>
                </c:pt>
                <c:pt idx="590">
                  <c:v>-0.25</c:v>
                </c:pt>
                <c:pt idx="591">
                  <c:v>-0.25</c:v>
                </c:pt>
                <c:pt idx="592">
                  <c:v>-0.25</c:v>
                </c:pt>
                <c:pt idx="593">
                  <c:v>-0.25</c:v>
                </c:pt>
                <c:pt idx="594">
                  <c:v>-0.25</c:v>
                </c:pt>
                <c:pt idx="595">
                  <c:v>-0.25</c:v>
                </c:pt>
                <c:pt idx="596">
                  <c:v>-0.25</c:v>
                </c:pt>
                <c:pt idx="597">
                  <c:v>-0.25</c:v>
                </c:pt>
                <c:pt idx="598">
                  <c:v>-0.25</c:v>
                </c:pt>
                <c:pt idx="599">
                  <c:v>-0.25</c:v>
                </c:pt>
              </c:numCache>
            </c:numRef>
          </c:yVal>
          <c:smooth val="0"/>
          <c:extLst>
            <c:ext xmlns:c16="http://schemas.microsoft.com/office/drawing/2014/chart" uri="{C3380CC4-5D6E-409C-BE32-E72D297353CC}">
              <c16:uniqueId val="{00000001-06EA-4925-B688-22000A98985F}"/>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q2</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Gamma1</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MEXP!$AD$4:$AD$11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C9B6-4B69-A5D5-60251B10F9B2}"/>
            </c:ext>
          </c:extLst>
        </c:ser>
        <c:ser>
          <c:idx val="1"/>
          <c:order val="1"/>
          <c:tx>
            <c:v>Gamma2</c:v>
          </c:tx>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MEXP!$AE$4:$AE$11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C9B6-4B69-A5D5-60251B10F9B2}"/>
            </c:ext>
          </c:extLst>
        </c:ser>
        <c:ser>
          <c:idx val="2"/>
          <c:order val="2"/>
          <c:tx>
            <c:v>Gamma3</c:v>
          </c:tx>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MEXP!$AF$4:$AF$11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C9B6-4B69-A5D5-60251B10F9B2}"/>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9.4918486863213747E-2"/>
          <c:w val="0.84614566370009503"/>
          <c:h val="0.80337665925156887"/>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MEXP!$AG$4:$AG$11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33EF-4B4B-864F-6FD5A19EE1A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MEXP!$AI$4:$AI$11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33EF-4B4B-864F-6FD5A19EE1A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MEXP!$AG$4:$AG$11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33EF-4B4B-864F-6FD5A19EE1A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MEXP!$AJ$4:$AJ$11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B8BB-4033-9691-563D99E85DFB}"/>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MEXP!$AK$4:$AK$11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B8BB-4033-9691-563D99E85DFB}"/>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MEXP!$AC$4:$AC$11</c:f>
              <c:numCache>
                <c:formatCode>General</c:formatCode>
                <c:ptCount val="8"/>
                <c:pt idx="0">
                  <c:v>0</c:v>
                </c:pt>
                <c:pt idx="1">
                  <c:v>0</c:v>
                </c:pt>
                <c:pt idx="2">
                  <c:v>0</c:v>
                </c:pt>
                <c:pt idx="3">
                  <c:v>0</c:v>
                </c:pt>
                <c:pt idx="4">
                  <c:v>0</c:v>
                </c:pt>
                <c:pt idx="5">
                  <c:v>0</c:v>
                </c:pt>
                <c:pt idx="6">
                  <c:v>0</c:v>
                </c:pt>
                <c:pt idx="7">
                  <c:v>0</c:v>
                </c:pt>
              </c:numCache>
            </c:numRef>
          </c:xVal>
          <c:yVal>
            <c:numRef>
              <c:f>MEXP!$AL$4:$AL$11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2-B8BB-4033-9691-563D99E85DF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noFill/>
              <a:round/>
            </a:ln>
            <a:effectLst/>
          </c:spPr>
          <c:marker>
            <c:symbol val="circle"/>
            <c:size val="5"/>
            <c:spPr>
              <a:noFill/>
              <a:ln w="9525">
                <a:solidFill>
                  <a:schemeClr val="accent1"/>
                </a:solidFill>
              </a:ln>
              <a:effectLst/>
            </c:spPr>
          </c:marker>
          <c:xVal>
            <c:numRef>
              <c:f>Cumulant!$B$11:$B$201</c:f>
              <c:numCache>
                <c:formatCode>General</c:formatCode>
                <c:ptCount val="1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numCache>
            </c:numRef>
          </c:xVal>
          <c:yVal>
            <c:numRef>
              <c:f>Cumulant!$D$11:$D$201</c:f>
              <c:numCache>
                <c:formatCode>General</c:formatCode>
                <c:ptCount val="191"/>
              </c:numCache>
            </c:numRef>
          </c:yVal>
          <c:smooth val="0"/>
          <c:extLst>
            <c:ext xmlns:c16="http://schemas.microsoft.com/office/drawing/2014/chart" uri="{C3380CC4-5D6E-409C-BE32-E72D297353CC}">
              <c16:uniqueId val="{00000000-97C8-4257-A3A4-EB8DB690E145}"/>
            </c:ext>
          </c:extLst>
        </c:ser>
        <c:ser>
          <c:idx val="1"/>
          <c:order val="1"/>
          <c:tx>
            <c:v>Fit</c:v>
          </c:tx>
          <c:spPr>
            <a:ln w="6350" cap="rnd">
              <a:solidFill>
                <a:srgbClr val="FF0000"/>
              </a:solidFill>
              <a:round/>
            </a:ln>
            <a:effectLst/>
          </c:spPr>
          <c:marker>
            <c:symbol val="none"/>
          </c:marker>
          <c:xVal>
            <c:numRef>
              <c:f>Cumulant!$B$11:$B$225</c:f>
              <c:numCache>
                <c:formatCode>General</c:formatCode>
                <c:ptCount val="2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numCache>
            </c:numRef>
          </c:xVal>
          <c:yVal>
            <c:numRef>
              <c:f>Cumulant!$E$11:$E$610</c:f>
              <c:numCache>
                <c:formatCode>General</c:formatCode>
                <c:ptCount val="600"/>
                <c:pt idx="0">
                  <c:v>0.3</c:v>
                </c:pt>
                <c:pt idx="1">
                  <c:v>0.3</c:v>
                </c:pt>
                <c:pt idx="2">
                  <c:v>0.3</c:v>
                </c:pt>
                <c:pt idx="3">
                  <c:v>0.3</c:v>
                </c:pt>
                <c:pt idx="4">
                  <c:v>0.3</c:v>
                </c:pt>
                <c:pt idx="5">
                  <c:v>0.3</c:v>
                </c:pt>
                <c:pt idx="6">
                  <c:v>0.3</c:v>
                </c:pt>
                <c:pt idx="7">
                  <c:v>0.3</c:v>
                </c:pt>
                <c:pt idx="8">
                  <c:v>0.3</c:v>
                </c:pt>
                <c:pt idx="9">
                  <c:v>0.3</c:v>
                </c:pt>
                <c:pt idx="10">
                  <c:v>0.3</c:v>
                </c:pt>
                <c:pt idx="11">
                  <c:v>0.3</c:v>
                </c:pt>
                <c:pt idx="12">
                  <c:v>0.3</c:v>
                </c:pt>
                <c:pt idx="13">
                  <c:v>0.3</c:v>
                </c:pt>
                <c:pt idx="14">
                  <c:v>0.3</c:v>
                </c:pt>
                <c:pt idx="15">
                  <c:v>0.3</c:v>
                </c:pt>
                <c:pt idx="16">
                  <c:v>0.3</c:v>
                </c:pt>
                <c:pt idx="17">
                  <c:v>0.3</c:v>
                </c:pt>
                <c:pt idx="18">
                  <c:v>0.3</c:v>
                </c:pt>
                <c:pt idx="19">
                  <c:v>0.3</c:v>
                </c:pt>
                <c:pt idx="20">
                  <c:v>0.3</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0.3</c:v>
                </c:pt>
                <c:pt idx="43">
                  <c:v>0.3</c:v>
                </c:pt>
                <c:pt idx="44">
                  <c:v>0.3</c:v>
                </c:pt>
                <c:pt idx="45">
                  <c:v>0.3</c:v>
                </c:pt>
                <c:pt idx="46">
                  <c:v>0.3</c:v>
                </c:pt>
                <c:pt idx="47">
                  <c:v>0.3</c:v>
                </c:pt>
                <c:pt idx="48">
                  <c:v>0.3</c:v>
                </c:pt>
                <c:pt idx="49">
                  <c:v>0.3</c:v>
                </c:pt>
                <c:pt idx="50">
                  <c:v>0.3</c:v>
                </c:pt>
                <c:pt idx="51">
                  <c:v>0.3</c:v>
                </c:pt>
                <c:pt idx="52">
                  <c:v>0.3</c:v>
                </c:pt>
                <c:pt idx="53">
                  <c:v>0.3</c:v>
                </c:pt>
                <c:pt idx="54">
                  <c:v>0.3</c:v>
                </c:pt>
                <c:pt idx="55">
                  <c:v>0.3</c:v>
                </c:pt>
                <c:pt idx="56">
                  <c:v>0.3</c:v>
                </c:pt>
                <c:pt idx="57">
                  <c:v>0.3</c:v>
                </c:pt>
                <c:pt idx="58">
                  <c:v>0.3</c:v>
                </c:pt>
                <c:pt idx="59">
                  <c:v>0.3</c:v>
                </c:pt>
                <c:pt idx="60">
                  <c:v>0.3</c:v>
                </c:pt>
                <c:pt idx="61">
                  <c:v>0.3</c:v>
                </c:pt>
                <c:pt idx="62">
                  <c:v>0.3</c:v>
                </c:pt>
                <c:pt idx="63">
                  <c:v>0.3</c:v>
                </c:pt>
                <c:pt idx="64">
                  <c:v>0.3</c:v>
                </c:pt>
                <c:pt idx="65">
                  <c:v>0.3</c:v>
                </c:pt>
                <c:pt idx="66">
                  <c:v>0.3</c:v>
                </c:pt>
                <c:pt idx="67">
                  <c:v>0.3</c:v>
                </c:pt>
                <c:pt idx="68">
                  <c:v>0.3</c:v>
                </c:pt>
                <c:pt idx="69">
                  <c:v>0.3</c:v>
                </c:pt>
                <c:pt idx="70">
                  <c:v>0.3</c:v>
                </c:pt>
                <c:pt idx="71">
                  <c:v>0.3</c:v>
                </c:pt>
                <c:pt idx="72">
                  <c:v>0.3</c:v>
                </c:pt>
                <c:pt idx="73">
                  <c:v>0.3</c:v>
                </c:pt>
                <c:pt idx="74">
                  <c:v>0.3</c:v>
                </c:pt>
                <c:pt idx="75">
                  <c:v>0.3</c:v>
                </c:pt>
                <c:pt idx="76">
                  <c:v>0.3</c:v>
                </c:pt>
                <c:pt idx="77">
                  <c:v>0.3</c:v>
                </c:pt>
                <c:pt idx="78">
                  <c:v>0.3</c:v>
                </c:pt>
                <c:pt idx="79">
                  <c:v>0.3</c:v>
                </c:pt>
                <c:pt idx="80">
                  <c:v>0.3</c:v>
                </c:pt>
                <c:pt idx="81">
                  <c:v>0.3</c:v>
                </c:pt>
                <c:pt idx="82">
                  <c:v>0.3</c:v>
                </c:pt>
                <c:pt idx="83">
                  <c:v>0.3</c:v>
                </c:pt>
                <c:pt idx="84">
                  <c:v>0.3</c:v>
                </c:pt>
                <c:pt idx="85">
                  <c:v>0.3</c:v>
                </c:pt>
                <c:pt idx="86">
                  <c:v>0.3</c:v>
                </c:pt>
                <c:pt idx="87">
                  <c:v>0.3</c:v>
                </c:pt>
                <c:pt idx="88">
                  <c:v>0.3</c:v>
                </c:pt>
                <c:pt idx="89">
                  <c:v>0.3</c:v>
                </c:pt>
                <c:pt idx="90">
                  <c:v>0.3</c:v>
                </c:pt>
                <c:pt idx="91">
                  <c:v>0.3</c:v>
                </c:pt>
                <c:pt idx="92">
                  <c:v>0.3</c:v>
                </c:pt>
                <c:pt idx="93">
                  <c:v>0.3</c:v>
                </c:pt>
                <c:pt idx="94">
                  <c:v>0.3</c:v>
                </c:pt>
                <c:pt idx="95">
                  <c:v>0.3</c:v>
                </c:pt>
                <c:pt idx="96">
                  <c:v>0.3</c:v>
                </c:pt>
                <c:pt idx="97">
                  <c:v>0.3</c:v>
                </c:pt>
                <c:pt idx="98">
                  <c:v>0.3</c:v>
                </c:pt>
                <c:pt idx="99">
                  <c:v>0.3</c:v>
                </c:pt>
                <c:pt idx="100">
                  <c:v>0.3</c:v>
                </c:pt>
                <c:pt idx="101">
                  <c:v>0.3</c:v>
                </c:pt>
                <c:pt idx="102">
                  <c:v>0.3</c:v>
                </c:pt>
                <c:pt idx="103">
                  <c:v>0.3</c:v>
                </c:pt>
                <c:pt idx="104">
                  <c:v>0.3</c:v>
                </c:pt>
                <c:pt idx="105">
                  <c:v>0.3</c:v>
                </c:pt>
                <c:pt idx="106">
                  <c:v>0.3</c:v>
                </c:pt>
                <c:pt idx="107">
                  <c:v>0.3</c:v>
                </c:pt>
                <c:pt idx="108">
                  <c:v>0.3</c:v>
                </c:pt>
                <c:pt idx="109">
                  <c:v>0.3</c:v>
                </c:pt>
                <c:pt idx="110">
                  <c:v>0.3</c:v>
                </c:pt>
                <c:pt idx="111">
                  <c:v>0.3</c:v>
                </c:pt>
                <c:pt idx="112">
                  <c:v>0.3</c:v>
                </c:pt>
                <c:pt idx="113">
                  <c:v>0.3</c:v>
                </c:pt>
                <c:pt idx="114">
                  <c:v>0.3</c:v>
                </c:pt>
                <c:pt idx="115">
                  <c:v>0.3</c:v>
                </c:pt>
                <c:pt idx="116">
                  <c:v>0.3</c:v>
                </c:pt>
                <c:pt idx="117">
                  <c:v>0.3</c:v>
                </c:pt>
                <c:pt idx="118">
                  <c:v>0.3</c:v>
                </c:pt>
                <c:pt idx="119">
                  <c:v>0.3</c:v>
                </c:pt>
                <c:pt idx="120">
                  <c:v>0.3</c:v>
                </c:pt>
                <c:pt idx="121">
                  <c:v>0.3</c:v>
                </c:pt>
                <c:pt idx="122">
                  <c:v>0.3</c:v>
                </c:pt>
                <c:pt idx="123">
                  <c:v>0.3</c:v>
                </c:pt>
                <c:pt idx="124">
                  <c:v>0.3</c:v>
                </c:pt>
                <c:pt idx="125">
                  <c:v>0.3</c:v>
                </c:pt>
                <c:pt idx="126">
                  <c:v>0.3</c:v>
                </c:pt>
                <c:pt idx="127">
                  <c:v>0.3</c:v>
                </c:pt>
                <c:pt idx="128">
                  <c:v>0.3</c:v>
                </c:pt>
                <c:pt idx="129">
                  <c:v>0.3</c:v>
                </c:pt>
                <c:pt idx="130">
                  <c:v>0.3</c:v>
                </c:pt>
                <c:pt idx="131">
                  <c:v>0.3</c:v>
                </c:pt>
                <c:pt idx="132">
                  <c:v>0.3</c:v>
                </c:pt>
                <c:pt idx="133">
                  <c:v>0.3</c:v>
                </c:pt>
                <c:pt idx="134">
                  <c:v>0.3</c:v>
                </c:pt>
                <c:pt idx="135">
                  <c:v>0.3</c:v>
                </c:pt>
                <c:pt idx="136">
                  <c:v>0.3</c:v>
                </c:pt>
                <c:pt idx="137">
                  <c:v>0.3</c:v>
                </c:pt>
                <c:pt idx="138">
                  <c:v>0.3</c:v>
                </c:pt>
                <c:pt idx="139">
                  <c:v>0.3</c:v>
                </c:pt>
                <c:pt idx="140">
                  <c:v>0.3</c:v>
                </c:pt>
                <c:pt idx="141">
                  <c:v>0.3</c:v>
                </c:pt>
                <c:pt idx="142">
                  <c:v>0.3</c:v>
                </c:pt>
                <c:pt idx="143">
                  <c:v>0.3</c:v>
                </c:pt>
                <c:pt idx="144">
                  <c:v>0.3</c:v>
                </c:pt>
                <c:pt idx="145">
                  <c:v>0.3</c:v>
                </c:pt>
                <c:pt idx="146">
                  <c:v>0.3</c:v>
                </c:pt>
                <c:pt idx="147">
                  <c:v>0.3</c:v>
                </c:pt>
                <c:pt idx="148">
                  <c:v>0.3</c:v>
                </c:pt>
                <c:pt idx="149">
                  <c:v>0.3</c:v>
                </c:pt>
                <c:pt idx="150">
                  <c:v>0.3</c:v>
                </c:pt>
                <c:pt idx="151">
                  <c:v>0.3</c:v>
                </c:pt>
                <c:pt idx="152">
                  <c:v>0.3</c:v>
                </c:pt>
                <c:pt idx="153">
                  <c:v>0.3</c:v>
                </c:pt>
                <c:pt idx="154">
                  <c:v>0.3</c:v>
                </c:pt>
                <c:pt idx="155">
                  <c:v>0.3</c:v>
                </c:pt>
                <c:pt idx="156">
                  <c:v>0.3</c:v>
                </c:pt>
                <c:pt idx="157">
                  <c:v>0.3</c:v>
                </c:pt>
                <c:pt idx="158">
                  <c:v>0.3</c:v>
                </c:pt>
                <c:pt idx="159">
                  <c:v>0.3</c:v>
                </c:pt>
                <c:pt idx="160">
                  <c:v>0.3</c:v>
                </c:pt>
                <c:pt idx="161">
                  <c:v>0.3</c:v>
                </c:pt>
                <c:pt idx="162">
                  <c:v>0.3</c:v>
                </c:pt>
                <c:pt idx="163">
                  <c:v>0.3</c:v>
                </c:pt>
                <c:pt idx="164">
                  <c:v>0.3</c:v>
                </c:pt>
                <c:pt idx="165">
                  <c:v>0.3</c:v>
                </c:pt>
                <c:pt idx="166">
                  <c:v>0.3</c:v>
                </c:pt>
                <c:pt idx="167">
                  <c:v>0.3</c:v>
                </c:pt>
                <c:pt idx="168">
                  <c:v>0.3</c:v>
                </c:pt>
                <c:pt idx="169">
                  <c:v>0.3</c:v>
                </c:pt>
                <c:pt idx="170">
                  <c:v>0.3</c:v>
                </c:pt>
                <c:pt idx="171">
                  <c:v>0.3</c:v>
                </c:pt>
                <c:pt idx="172">
                  <c:v>0.3</c:v>
                </c:pt>
                <c:pt idx="173">
                  <c:v>0.3</c:v>
                </c:pt>
                <c:pt idx="174">
                  <c:v>0.3</c:v>
                </c:pt>
                <c:pt idx="175">
                  <c:v>0.3</c:v>
                </c:pt>
                <c:pt idx="176">
                  <c:v>0.3</c:v>
                </c:pt>
                <c:pt idx="177">
                  <c:v>0.3</c:v>
                </c:pt>
                <c:pt idx="178">
                  <c:v>0.3</c:v>
                </c:pt>
                <c:pt idx="179">
                  <c:v>0.3</c:v>
                </c:pt>
                <c:pt idx="180">
                  <c:v>0.3</c:v>
                </c:pt>
                <c:pt idx="181">
                  <c:v>0.3</c:v>
                </c:pt>
                <c:pt idx="182">
                  <c:v>0.3</c:v>
                </c:pt>
                <c:pt idx="183">
                  <c:v>0.3</c:v>
                </c:pt>
                <c:pt idx="184">
                  <c:v>0.3</c:v>
                </c:pt>
                <c:pt idx="185">
                  <c:v>0.3</c:v>
                </c:pt>
                <c:pt idx="186">
                  <c:v>0.3</c:v>
                </c:pt>
                <c:pt idx="187">
                  <c:v>0.3</c:v>
                </c:pt>
                <c:pt idx="188">
                  <c:v>0.3</c:v>
                </c:pt>
                <c:pt idx="189">
                  <c:v>0.3</c:v>
                </c:pt>
                <c:pt idx="190">
                  <c:v>0.3</c:v>
                </c:pt>
                <c:pt idx="191">
                  <c:v>0.3</c:v>
                </c:pt>
                <c:pt idx="192">
                  <c:v>0.3</c:v>
                </c:pt>
                <c:pt idx="193">
                  <c:v>0.3</c:v>
                </c:pt>
                <c:pt idx="194">
                  <c:v>0.3</c:v>
                </c:pt>
                <c:pt idx="195">
                  <c:v>0.3</c:v>
                </c:pt>
                <c:pt idx="196">
                  <c:v>0.3</c:v>
                </c:pt>
                <c:pt idx="197">
                  <c:v>0.3</c:v>
                </c:pt>
                <c:pt idx="198">
                  <c:v>0.3</c:v>
                </c:pt>
                <c:pt idx="199">
                  <c:v>0.3</c:v>
                </c:pt>
                <c:pt idx="200">
                  <c:v>0.3</c:v>
                </c:pt>
                <c:pt idx="201">
                  <c:v>0.3</c:v>
                </c:pt>
                <c:pt idx="202">
                  <c:v>0.3</c:v>
                </c:pt>
                <c:pt idx="203">
                  <c:v>0.3</c:v>
                </c:pt>
                <c:pt idx="204">
                  <c:v>0.3</c:v>
                </c:pt>
                <c:pt idx="205">
                  <c:v>0.3</c:v>
                </c:pt>
                <c:pt idx="206">
                  <c:v>0.3</c:v>
                </c:pt>
                <c:pt idx="207">
                  <c:v>0.3</c:v>
                </c:pt>
                <c:pt idx="208">
                  <c:v>0.3</c:v>
                </c:pt>
                <c:pt idx="209">
                  <c:v>0.3</c:v>
                </c:pt>
                <c:pt idx="210">
                  <c:v>0.3</c:v>
                </c:pt>
                <c:pt idx="211">
                  <c:v>0.3</c:v>
                </c:pt>
                <c:pt idx="212">
                  <c:v>0.3</c:v>
                </c:pt>
                <c:pt idx="213">
                  <c:v>0.3</c:v>
                </c:pt>
                <c:pt idx="214">
                  <c:v>0.3</c:v>
                </c:pt>
                <c:pt idx="215">
                  <c:v>0.3</c:v>
                </c:pt>
                <c:pt idx="216">
                  <c:v>0.3</c:v>
                </c:pt>
                <c:pt idx="217">
                  <c:v>0.3</c:v>
                </c:pt>
                <c:pt idx="218">
                  <c:v>0.3</c:v>
                </c:pt>
                <c:pt idx="219">
                  <c:v>0.3</c:v>
                </c:pt>
                <c:pt idx="220">
                  <c:v>0.3</c:v>
                </c:pt>
                <c:pt idx="221">
                  <c:v>0.3</c:v>
                </c:pt>
                <c:pt idx="222">
                  <c:v>0.3</c:v>
                </c:pt>
                <c:pt idx="223">
                  <c:v>0.3</c:v>
                </c:pt>
                <c:pt idx="224">
                  <c:v>0.3</c:v>
                </c:pt>
                <c:pt idx="225">
                  <c:v>0.3</c:v>
                </c:pt>
                <c:pt idx="226">
                  <c:v>0.3</c:v>
                </c:pt>
                <c:pt idx="227">
                  <c:v>0.3</c:v>
                </c:pt>
                <c:pt idx="228">
                  <c:v>0.3</c:v>
                </c:pt>
                <c:pt idx="229">
                  <c:v>0.3</c:v>
                </c:pt>
                <c:pt idx="230">
                  <c:v>0.3</c:v>
                </c:pt>
                <c:pt idx="231">
                  <c:v>0.3</c:v>
                </c:pt>
                <c:pt idx="232">
                  <c:v>0.3</c:v>
                </c:pt>
                <c:pt idx="233">
                  <c:v>0.3</c:v>
                </c:pt>
                <c:pt idx="234">
                  <c:v>0.3</c:v>
                </c:pt>
                <c:pt idx="235">
                  <c:v>0.3</c:v>
                </c:pt>
                <c:pt idx="236">
                  <c:v>0.3</c:v>
                </c:pt>
                <c:pt idx="237">
                  <c:v>0.3</c:v>
                </c:pt>
                <c:pt idx="238">
                  <c:v>0.3</c:v>
                </c:pt>
                <c:pt idx="239">
                  <c:v>0.3</c:v>
                </c:pt>
                <c:pt idx="240">
                  <c:v>0.3</c:v>
                </c:pt>
                <c:pt idx="241">
                  <c:v>0.3</c:v>
                </c:pt>
                <c:pt idx="242">
                  <c:v>0.3</c:v>
                </c:pt>
                <c:pt idx="243">
                  <c:v>0.3</c:v>
                </c:pt>
                <c:pt idx="244">
                  <c:v>0.3</c:v>
                </c:pt>
                <c:pt idx="245">
                  <c:v>0.3</c:v>
                </c:pt>
                <c:pt idx="246">
                  <c:v>0.3</c:v>
                </c:pt>
                <c:pt idx="247">
                  <c:v>0.3</c:v>
                </c:pt>
                <c:pt idx="248">
                  <c:v>0.3</c:v>
                </c:pt>
                <c:pt idx="249">
                  <c:v>0.3</c:v>
                </c:pt>
                <c:pt idx="250">
                  <c:v>0.3</c:v>
                </c:pt>
                <c:pt idx="251">
                  <c:v>0.3</c:v>
                </c:pt>
                <c:pt idx="252">
                  <c:v>0.3</c:v>
                </c:pt>
                <c:pt idx="253">
                  <c:v>0.3</c:v>
                </c:pt>
                <c:pt idx="254">
                  <c:v>0.3</c:v>
                </c:pt>
                <c:pt idx="255">
                  <c:v>0.3</c:v>
                </c:pt>
                <c:pt idx="256">
                  <c:v>0.3</c:v>
                </c:pt>
                <c:pt idx="257">
                  <c:v>0.3</c:v>
                </c:pt>
                <c:pt idx="258">
                  <c:v>0.3</c:v>
                </c:pt>
                <c:pt idx="259">
                  <c:v>0.3</c:v>
                </c:pt>
                <c:pt idx="260">
                  <c:v>0.3</c:v>
                </c:pt>
                <c:pt idx="261">
                  <c:v>0.3</c:v>
                </c:pt>
                <c:pt idx="262">
                  <c:v>0.3</c:v>
                </c:pt>
                <c:pt idx="263">
                  <c:v>0.3</c:v>
                </c:pt>
                <c:pt idx="264">
                  <c:v>0.3</c:v>
                </c:pt>
                <c:pt idx="265">
                  <c:v>0.3</c:v>
                </c:pt>
                <c:pt idx="266">
                  <c:v>0.3</c:v>
                </c:pt>
                <c:pt idx="267">
                  <c:v>0.3</c:v>
                </c:pt>
                <c:pt idx="268">
                  <c:v>0.3</c:v>
                </c:pt>
                <c:pt idx="269">
                  <c:v>0.3</c:v>
                </c:pt>
                <c:pt idx="270">
                  <c:v>0.3</c:v>
                </c:pt>
                <c:pt idx="271">
                  <c:v>0.3</c:v>
                </c:pt>
                <c:pt idx="272">
                  <c:v>0.3</c:v>
                </c:pt>
                <c:pt idx="273">
                  <c:v>0.3</c:v>
                </c:pt>
                <c:pt idx="274">
                  <c:v>0.3</c:v>
                </c:pt>
                <c:pt idx="275">
                  <c:v>0.3</c:v>
                </c:pt>
                <c:pt idx="276">
                  <c:v>0.3</c:v>
                </c:pt>
                <c:pt idx="277">
                  <c:v>0.3</c:v>
                </c:pt>
                <c:pt idx="278">
                  <c:v>0.3</c:v>
                </c:pt>
                <c:pt idx="279">
                  <c:v>0.3</c:v>
                </c:pt>
                <c:pt idx="280">
                  <c:v>0.3</c:v>
                </c:pt>
                <c:pt idx="281">
                  <c:v>0.3</c:v>
                </c:pt>
                <c:pt idx="282">
                  <c:v>0.3</c:v>
                </c:pt>
                <c:pt idx="283">
                  <c:v>0.3</c:v>
                </c:pt>
                <c:pt idx="284">
                  <c:v>0.3</c:v>
                </c:pt>
                <c:pt idx="285">
                  <c:v>0.3</c:v>
                </c:pt>
                <c:pt idx="286">
                  <c:v>0.3</c:v>
                </c:pt>
                <c:pt idx="287">
                  <c:v>0.3</c:v>
                </c:pt>
                <c:pt idx="288">
                  <c:v>0.3</c:v>
                </c:pt>
                <c:pt idx="289">
                  <c:v>0.3</c:v>
                </c:pt>
                <c:pt idx="290">
                  <c:v>0.3</c:v>
                </c:pt>
                <c:pt idx="291">
                  <c:v>0.3</c:v>
                </c:pt>
                <c:pt idx="292">
                  <c:v>0.3</c:v>
                </c:pt>
                <c:pt idx="293">
                  <c:v>0.3</c:v>
                </c:pt>
                <c:pt idx="294">
                  <c:v>0.3</c:v>
                </c:pt>
                <c:pt idx="295">
                  <c:v>0.3</c:v>
                </c:pt>
                <c:pt idx="296">
                  <c:v>0.3</c:v>
                </c:pt>
                <c:pt idx="297">
                  <c:v>0.3</c:v>
                </c:pt>
                <c:pt idx="298">
                  <c:v>0.3</c:v>
                </c:pt>
                <c:pt idx="299">
                  <c:v>0.3</c:v>
                </c:pt>
                <c:pt idx="300">
                  <c:v>0.3</c:v>
                </c:pt>
                <c:pt idx="301">
                  <c:v>0.3</c:v>
                </c:pt>
                <c:pt idx="302">
                  <c:v>0.3</c:v>
                </c:pt>
                <c:pt idx="303">
                  <c:v>0.3</c:v>
                </c:pt>
                <c:pt idx="304">
                  <c:v>0.3</c:v>
                </c:pt>
                <c:pt idx="305">
                  <c:v>0.3</c:v>
                </c:pt>
                <c:pt idx="306">
                  <c:v>0.3</c:v>
                </c:pt>
                <c:pt idx="307">
                  <c:v>0.3</c:v>
                </c:pt>
                <c:pt idx="308">
                  <c:v>0.3</c:v>
                </c:pt>
                <c:pt idx="309">
                  <c:v>0.3</c:v>
                </c:pt>
                <c:pt idx="310">
                  <c:v>0.3</c:v>
                </c:pt>
                <c:pt idx="311">
                  <c:v>0.3</c:v>
                </c:pt>
                <c:pt idx="312">
                  <c:v>0.3</c:v>
                </c:pt>
                <c:pt idx="313">
                  <c:v>0.3</c:v>
                </c:pt>
                <c:pt idx="314">
                  <c:v>0.3</c:v>
                </c:pt>
                <c:pt idx="315">
                  <c:v>0.3</c:v>
                </c:pt>
                <c:pt idx="316">
                  <c:v>0.3</c:v>
                </c:pt>
                <c:pt idx="317">
                  <c:v>0.3</c:v>
                </c:pt>
                <c:pt idx="318">
                  <c:v>0.3</c:v>
                </c:pt>
                <c:pt idx="319">
                  <c:v>0.3</c:v>
                </c:pt>
                <c:pt idx="320">
                  <c:v>0.3</c:v>
                </c:pt>
                <c:pt idx="321">
                  <c:v>0.3</c:v>
                </c:pt>
                <c:pt idx="322">
                  <c:v>0.3</c:v>
                </c:pt>
                <c:pt idx="323">
                  <c:v>0.3</c:v>
                </c:pt>
                <c:pt idx="324">
                  <c:v>0.3</c:v>
                </c:pt>
                <c:pt idx="325">
                  <c:v>0.3</c:v>
                </c:pt>
                <c:pt idx="326">
                  <c:v>0.3</c:v>
                </c:pt>
                <c:pt idx="327">
                  <c:v>0.3</c:v>
                </c:pt>
                <c:pt idx="328">
                  <c:v>0.3</c:v>
                </c:pt>
                <c:pt idx="329">
                  <c:v>0.3</c:v>
                </c:pt>
                <c:pt idx="330">
                  <c:v>0.3</c:v>
                </c:pt>
                <c:pt idx="331">
                  <c:v>0.3</c:v>
                </c:pt>
                <c:pt idx="332">
                  <c:v>0.3</c:v>
                </c:pt>
                <c:pt idx="333">
                  <c:v>0.3</c:v>
                </c:pt>
                <c:pt idx="334">
                  <c:v>0.3</c:v>
                </c:pt>
                <c:pt idx="335">
                  <c:v>0.3</c:v>
                </c:pt>
                <c:pt idx="336">
                  <c:v>0.3</c:v>
                </c:pt>
                <c:pt idx="337">
                  <c:v>0.3</c:v>
                </c:pt>
                <c:pt idx="338">
                  <c:v>0.3</c:v>
                </c:pt>
                <c:pt idx="339">
                  <c:v>0.3</c:v>
                </c:pt>
                <c:pt idx="340">
                  <c:v>0.3</c:v>
                </c:pt>
                <c:pt idx="341">
                  <c:v>0.3</c:v>
                </c:pt>
                <c:pt idx="342">
                  <c:v>0.3</c:v>
                </c:pt>
                <c:pt idx="343">
                  <c:v>0.3</c:v>
                </c:pt>
                <c:pt idx="344">
                  <c:v>0.3</c:v>
                </c:pt>
                <c:pt idx="345">
                  <c:v>0.3</c:v>
                </c:pt>
                <c:pt idx="346">
                  <c:v>0.3</c:v>
                </c:pt>
                <c:pt idx="347">
                  <c:v>0.3</c:v>
                </c:pt>
                <c:pt idx="348">
                  <c:v>0.3</c:v>
                </c:pt>
                <c:pt idx="349">
                  <c:v>0.3</c:v>
                </c:pt>
                <c:pt idx="350">
                  <c:v>0.3</c:v>
                </c:pt>
                <c:pt idx="351">
                  <c:v>0.3</c:v>
                </c:pt>
                <c:pt idx="352">
                  <c:v>0.3</c:v>
                </c:pt>
                <c:pt idx="353">
                  <c:v>0.3</c:v>
                </c:pt>
                <c:pt idx="354">
                  <c:v>0.3</c:v>
                </c:pt>
                <c:pt idx="355">
                  <c:v>0.3</c:v>
                </c:pt>
                <c:pt idx="356">
                  <c:v>0.3</c:v>
                </c:pt>
                <c:pt idx="357">
                  <c:v>0.3</c:v>
                </c:pt>
                <c:pt idx="358">
                  <c:v>0.3</c:v>
                </c:pt>
                <c:pt idx="359">
                  <c:v>0.3</c:v>
                </c:pt>
                <c:pt idx="360">
                  <c:v>0.3</c:v>
                </c:pt>
                <c:pt idx="361">
                  <c:v>0.3</c:v>
                </c:pt>
                <c:pt idx="362">
                  <c:v>0.3</c:v>
                </c:pt>
                <c:pt idx="363">
                  <c:v>0.3</c:v>
                </c:pt>
                <c:pt idx="364">
                  <c:v>0.3</c:v>
                </c:pt>
                <c:pt idx="365">
                  <c:v>0.3</c:v>
                </c:pt>
                <c:pt idx="366">
                  <c:v>0.3</c:v>
                </c:pt>
                <c:pt idx="367">
                  <c:v>0.3</c:v>
                </c:pt>
                <c:pt idx="368">
                  <c:v>0.3</c:v>
                </c:pt>
                <c:pt idx="369">
                  <c:v>0.3</c:v>
                </c:pt>
                <c:pt idx="370">
                  <c:v>0.3</c:v>
                </c:pt>
                <c:pt idx="371">
                  <c:v>0.3</c:v>
                </c:pt>
                <c:pt idx="372">
                  <c:v>0.3</c:v>
                </c:pt>
                <c:pt idx="373">
                  <c:v>0.3</c:v>
                </c:pt>
                <c:pt idx="374">
                  <c:v>0.3</c:v>
                </c:pt>
                <c:pt idx="375">
                  <c:v>0.3</c:v>
                </c:pt>
                <c:pt idx="376">
                  <c:v>0.3</c:v>
                </c:pt>
                <c:pt idx="377">
                  <c:v>0.3</c:v>
                </c:pt>
                <c:pt idx="378">
                  <c:v>0.3</c:v>
                </c:pt>
                <c:pt idx="379">
                  <c:v>0.3</c:v>
                </c:pt>
                <c:pt idx="380">
                  <c:v>0.3</c:v>
                </c:pt>
                <c:pt idx="381">
                  <c:v>0.3</c:v>
                </c:pt>
                <c:pt idx="382">
                  <c:v>0.3</c:v>
                </c:pt>
                <c:pt idx="383">
                  <c:v>0.3</c:v>
                </c:pt>
                <c:pt idx="384">
                  <c:v>0.3</c:v>
                </c:pt>
                <c:pt idx="385">
                  <c:v>0.3</c:v>
                </c:pt>
                <c:pt idx="386">
                  <c:v>0.3</c:v>
                </c:pt>
                <c:pt idx="387">
                  <c:v>0.3</c:v>
                </c:pt>
                <c:pt idx="388">
                  <c:v>0.3</c:v>
                </c:pt>
                <c:pt idx="389">
                  <c:v>0.3</c:v>
                </c:pt>
                <c:pt idx="390">
                  <c:v>0.3</c:v>
                </c:pt>
                <c:pt idx="391">
                  <c:v>0.3</c:v>
                </c:pt>
                <c:pt idx="392">
                  <c:v>0.3</c:v>
                </c:pt>
                <c:pt idx="393">
                  <c:v>0.3</c:v>
                </c:pt>
                <c:pt idx="394">
                  <c:v>0.3</c:v>
                </c:pt>
                <c:pt idx="395">
                  <c:v>0.3</c:v>
                </c:pt>
                <c:pt idx="396">
                  <c:v>0.3</c:v>
                </c:pt>
                <c:pt idx="397">
                  <c:v>0.3</c:v>
                </c:pt>
                <c:pt idx="398">
                  <c:v>0.3</c:v>
                </c:pt>
                <c:pt idx="399">
                  <c:v>0.3</c:v>
                </c:pt>
                <c:pt idx="400">
                  <c:v>0.3</c:v>
                </c:pt>
                <c:pt idx="401">
                  <c:v>0.3</c:v>
                </c:pt>
                <c:pt idx="402">
                  <c:v>0.3</c:v>
                </c:pt>
                <c:pt idx="403">
                  <c:v>0.3</c:v>
                </c:pt>
                <c:pt idx="404">
                  <c:v>0.3</c:v>
                </c:pt>
                <c:pt idx="405">
                  <c:v>0.3</c:v>
                </c:pt>
                <c:pt idx="406">
                  <c:v>0.3</c:v>
                </c:pt>
                <c:pt idx="407">
                  <c:v>0.3</c:v>
                </c:pt>
                <c:pt idx="408">
                  <c:v>0.3</c:v>
                </c:pt>
                <c:pt idx="409">
                  <c:v>0.3</c:v>
                </c:pt>
                <c:pt idx="410">
                  <c:v>0.3</c:v>
                </c:pt>
                <c:pt idx="411">
                  <c:v>0.3</c:v>
                </c:pt>
                <c:pt idx="412">
                  <c:v>0.3</c:v>
                </c:pt>
                <c:pt idx="413">
                  <c:v>0.3</c:v>
                </c:pt>
                <c:pt idx="414">
                  <c:v>0.3</c:v>
                </c:pt>
                <c:pt idx="415">
                  <c:v>0.3</c:v>
                </c:pt>
                <c:pt idx="416">
                  <c:v>0.3</c:v>
                </c:pt>
                <c:pt idx="417">
                  <c:v>0.3</c:v>
                </c:pt>
                <c:pt idx="418">
                  <c:v>0.3</c:v>
                </c:pt>
                <c:pt idx="419">
                  <c:v>0.3</c:v>
                </c:pt>
                <c:pt idx="420">
                  <c:v>0.3</c:v>
                </c:pt>
                <c:pt idx="421">
                  <c:v>0.3</c:v>
                </c:pt>
                <c:pt idx="422">
                  <c:v>0.3</c:v>
                </c:pt>
                <c:pt idx="423">
                  <c:v>0.3</c:v>
                </c:pt>
                <c:pt idx="424">
                  <c:v>0.3</c:v>
                </c:pt>
                <c:pt idx="425">
                  <c:v>0.3</c:v>
                </c:pt>
                <c:pt idx="426">
                  <c:v>0.3</c:v>
                </c:pt>
                <c:pt idx="427">
                  <c:v>0.3</c:v>
                </c:pt>
                <c:pt idx="428">
                  <c:v>0.3</c:v>
                </c:pt>
                <c:pt idx="429">
                  <c:v>0.3</c:v>
                </c:pt>
                <c:pt idx="430">
                  <c:v>0.3</c:v>
                </c:pt>
                <c:pt idx="431">
                  <c:v>0.3</c:v>
                </c:pt>
                <c:pt idx="432">
                  <c:v>0.3</c:v>
                </c:pt>
                <c:pt idx="433">
                  <c:v>0.3</c:v>
                </c:pt>
                <c:pt idx="434">
                  <c:v>0.3</c:v>
                </c:pt>
                <c:pt idx="435">
                  <c:v>0.3</c:v>
                </c:pt>
                <c:pt idx="436">
                  <c:v>0.3</c:v>
                </c:pt>
                <c:pt idx="437">
                  <c:v>0.3</c:v>
                </c:pt>
                <c:pt idx="438">
                  <c:v>0.3</c:v>
                </c:pt>
                <c:pt idx="439">
                  <c:v>0.3</c:v>
                </c:pt>
                <c:pt idx="440">
                  <c:v>0.3</c:v>
                </c:pt>
                <c:pt idx="441">
                  <c:v>0.3</c:v>
                </c:pt>
                <c:pt idx="442">
                  <c:v>0.3</c:v>
                </c:pt>
                <c:pt idx="443">
                  <c:v>0.3</c:v>
                </c:pt>
                <c:pt idx="444">
                  <c:v>0.3</c:v>
                </c:pt>
                <c:pt idx="445">
                  <c:v>0.3</c:v>
                </c:pt>
                <c:pt idx="446">
                  <c:v>0.3</c:v>
                </c:pt>
                <c:pt idx="447">
                  <c:v>0.3</c:v>
                </c:pt>
                <c:pt idx="448">
                  <c:v>0.3</c:v>
                </c:pt>
                <c:pt idx="449">
                  <c:v>0.3</c:v>
                </c:pt>
                <c:pt idx="450">
                  <c:v>0.3</c:v>
                </c:pt>
                <c:pt idx="451">
                  <c:v>0.3</c:v>
                </c:pt>
                <c:pt idx="452">
                  <c:v>0.3</c:v>
                </c:pt>
                <c:pt idx="453">
                  <c:v>0.3</c:v>
                </c:pt>
                <c:pt idx="454">
                  <c:v>0.3</c:v>
                </c:pt>
                <c:pt idx="455">
                  <c:v>0.3</c:v>
                </c:pt>
                <c:pt idx="456">
                  <c:v>0.3</c:v>
                </c:pt>
                <c:pt idx="457">
                  <c:v>0.3</c:v>
                </c:pt>
                <c:pt idx="458">
                  <c:v>0.3</c:v>
                </c:pt>
                <c:pt idx="459">
                  <c:v>0.3</c:v>
                </c:pt>
                <c:pt idx="460">
                  <c:v>0.3</c:v>
                </c:pt>
                <c:pt idx="461">
                  <c:v>0.3</c:v>
                </c:pt>
                <c:pt idx="462">
                  <c:v>0.3</c:v>
                </c:pt>
                <c:pt idx="463">
                  <c:v>0.3</c:v>
                </c:pt>
                <c:pt idx="464">
                  <c:v>0.3</c:v>
                </c:pt>
                <c:pt idx="465">
                  <c:v>0.3</c:v>
                </c:pt>
                <c:pt idx="466">
                  <c:v>0.3</c:v>
                </c:pt>
                <c:pt idx="467">
                  <c:v>0.3</c:v>
                </c:pt>
                <c:pt idx="468">
                  <c:v>0.3</c:v>
                </c:pt>
                <c:pt idx="469">
                  <c:v>0.3</c:v>
                </c:pt>
                <c:pt idx="470">
                  <c:v>0.3</c:v>
                </c:pt>
                <c:pt idx="471">
                  <c:v>0.3</c:v>
                </c:pt>
                <c:pt idx="472">
                  <c:v>0.3</c:v>
                </c:pt>
                <c:pt idx="473">
                  <c:v>0.3</c:v>
                </c:pt>
                <c:pt idx="474">
                  <c:v>0.3</c:v>
                </c:pt>
                <c:pt idx="475">
                  <c:v>0.3</c:v>
                </c:pt>
                <c:pt idx="476">
                  <c:v>0.3</c:v>
                </c:pt>
                <c:pt idx="477">
                  <c:v>0.3</c:v>
                </c:pt>
                <c:pt idx="478">
                  <c:v>0.3</c:v>
                </c:pt>
                <c:pt idx="479">
                  <c:v>0.3</c:v>
                </c:pt>
                <c:pt idx="480">
                  <c:v>0.3</c:v>
                </c:pt>
                <c:pt idx="481">
                  <c:v>0.3</c:v>
                </c:pt>
                <c:pt idx="482">
                  <c:v>0.3</c:v>
                </c:pt>
                <c:pt idx="483">
                  <c:v>0.3</c:v>
                </c:pt>
                <c:pt idx="484">
                  <c:v>0.3</c:v>
                </c:pt>
                <c:pt idx="485">
                  <c:v>0.3</c:v>
                </c:pt>
                <c:pt idx="486">
                  <c:v>0.3</c:v>
                </c:pt>
                <c:pt idx="487">
                  <c:v>0.3</c:v>
                </c:pt>
                <c:pt idx="488">
                  <c:v>0.3</c:v>
                </c:pt>
                <c:pt idx="489">
                  <c:v>0.3</c:v>
                </c:pt>
                <c:pt idx="490">
                  <c:v>0.3</c:v>
                </c:pt>
                <c:pt idx="491">
                  <c:v>0.3</c:v>
                </c:pt>
                <c:pt idx="492">
                  <c:v>0.3</c:v>
                </c:pt>
                <c:pt idx="493">
                  <c:v>0.3</c:v>
                </c:pt>
                <c:pt idx="494">
                  <c:v>0.3</c:v>
                </c:pt>
                <c:pt idx="495">
                  <c:v>0.3</c:v>
                </c:pt>
                <c:pt idx="496">
                  <c:v>0.3</c:v>
                </c:pt>
                <c:pt idx="497">
                  <c:v>0.3</c:v>
                </c:pt>
                <c:pt idx="498">
                  <c:v>0.3</c:v>
                </c:pt>
                <c:pt idx="499">
                  <c:v>0.3</c:v>
                </c:pt>
                <c:pt idx="500">
                  <c:v>0.3</c:v>
                </c:pt>
                <c:pt idx="501">
                  <c:v>0.3</c:v>
                </c:pt>
                <c:pt idx="502">
                  <c:v>0.3</c:v>
                </c:pt>
                <c:pt idx="503">
                  <c:v>0.3</c:v>
                </c:pt>
                <c:pt idx="504">
                  <c:v>0.3</c:v>
                </c:pt>
                <c:pt idx="505">
                  <c:v>0.3</c:v>
                </c:pt>
                <c:pt idx="506">
                  <c:v>0.3</c:v>
                </c:pt>
                <c:pt idx="507">
                  <c:v>0.3</c:v>
                </c:pt>
                <c:pt idx="508">
                  <c:v>0.3</c:v>
                </c:pt>
                <c:pt idx="509">
                  <c:v>0.3</c:v>
                </c:pt>
                <c:pt idx="510">
                  <c:v>0.3</c:v>
                </c:pt>
                <c:pt idx="511">
                  <c:v>0.3</c:v>
                </c:pt>
                <c:pt idx="512">
                  <c:v>0.3</c:v>
                </c:pt>
                <c:pt idx="513">
                  <c:v>0.3</c:v>
                </c:pt>
                <c:pt idx="514">
                  <c:v>0.3</c:v>
                </c:pt>
                <c:pt idx="515">
                  <c:v>0.3</c:v>
                </c:pt>
                <c:pt idx="516">
                  <c:v>0.3</c:v>
                </c:pt>
                <c:pt idx="517">
                  <c:v>0.3</c:v>
                </c:pt>
                <c:pt idx="518">
                  <c:v>0.3</c:v>
                </c:pt>
                <c:pt idx="519">
                  <c:v>0.3</c:v>
                </c:pt>
                <c:pt idx="520">
                  <c:v>0.3</c:v>
                </c:pt>
                <c:pt idx="521">
                  <c:v>0.3</c:v>
                </c:pt>
                <c:pt idx="522">
                  <c:v>0.3</c:v>
                </c:pt>
                <c:pt idx="523">
                  <c:v>0.3</c:v>
                </c:pt>
                <c:pt idx="524">
                  <c:v>0.3</c:v>
                </c:pt>
                <c:pt idx="525">
                  <c:v>0.3</c:v>
                </c:pt>
                <c:pt idx="526">
                  <c:v>0.3</c:v>
                </c:pt>
                <c:pt idx="527">
                  <c:v>0.3</c:v>
                </c:pt>
                <c:pt idx="528">
                  <c:v>0.3</c:v>
                </c:pt>
                <c:pt idx="529">
                  <c:v>0.3</c:v>
                </c:pt>
                <c:pt idx="530">
                  <c:v>0.3</c:v>
                </c:pt>
                <c:pt idx="531">
                  <c:v>0.3</c:v>
                </c:pt>
                <c:pt idx="532">
                  <c:v>0.3</c:v>
                </c:pt>
                <c:pt idx="533">
                  <c:v>0.3</c:v>
                </c:pt>
                <c:pt idx="534">
                  <c:v>0.3</c:v>
                </c:pt>
                <c:pt idx="535">
                  <c:v>0.3</c:v>
                </c:pt>
                <c:pt idx="536">
                  <c:v>0.3</c:v>
                </c:pt>
                <c:pt idx="537">
                  <c:v>0.3</c:v>
                </c:pt>
                <c:pt idx="538">
                  <c:v>0.3</c:v>
                </c:pt>
                <c:pt idx="539">
                  <c:v>0.3</c:v>
                </c:pt>
                <c:pt idx="540">
                  <c:v>0.3</c:v>
                </c:pt>
                <c:pt idx="541">
                  <c:v>0.3</c:v>
                </c:pt>
                <c:pt idx="542">
                  <c:v>0.3</c:v>
                </c:pt>
                <c:pt idx="543">
                  <c:v>0.3</c:v>
                </c:pt>
                <c:pt idx="544">
                  <c:v>0.3</c:v>
                </c:pt>
                <c:pt idx="545">
                  <c:v>0.3</c:v>
                </c:pt>
                <c:pt idx="546">
                  <c:v>0.3</c:v>
                </c:pt>
                <c:pt idx="547">
                  <c:v>0.3</c:v>
                </c:pt>
                <c:pt idx="548">
                  <c:v>0.3</c:v>
                </c:pt>
                <c:pt idx="549">
                  <c:v>0.3</c:v>
                </c:pt>
                <c:pt idx="550">
                  <c:v>0.3</c:v>
                </c:pt>
                <c:pt idx="551">
                  <c:v>0.3</c:v>
                </c:pt>
                <c:pt idx="552">
                  <c:v>0.3</c:v>
                </c:pt>
                <c:pt idx="553">
                  <c:v>0.3</c:v>
                </c:pt>
                <c:pt idx="554">
                  <c:v>0.3</c:v>
                </c:pt>
                <c:pt idx="555">
                  <c:v>0.3</c:v>
                </c:pt>
                <c:pt idx="556">
                  <c:v>0.3</c:v>
                </c:pt>
                <c:pt idx="557">
                  <c:v>0.3</c:v>
                </c:pt>
                <c:pt idx="558">
                  <c:v>0.3</c:v>
                </c:pt>
                <c:pt idx="559">
                  <c:v>0.3</c:v>
                </c:pt>
                <c:pt idx="560">
                  <c:v>0.3</c:v>
                </c:pt>
                <c:pt idx="561">
                  <c:v>0.3</c:v>
                </c:pt>
                <c:pt idx="562">
                  <c:v>0.3</c:v>
                </c:pt>
                <c:pt idx="563">
                  <c:v>0.3</c:v>
                </c:pt>
                <c:pt idx="564">
                  <c:v>0.3</c:v>
                </c:pt>
                <c:pt idx="565">
                  <c:v>0.3</c:v>
                </c:pt>
                <c:pt idx="566">
                  <c:v>0.3</c:v>
                </c:pt>
                <c:pt idx="567">
                  <c:v>0.3</c:v>
                </c:pt>
                <c:pt idx="568">
                  <c:v>0.3</c:v>
                </c:pt>
                <c:pt idx="569">
                  <c:v>0.3</c:v>
                </c:pt>
                <c:pt idx="570">
                  <c:v>0.3</c:v>
                </c:pt>
                <c:pt idx="571">
                  <c:v>0.3</c:v>
                </c:pt>
                <c:pt idx="572">
                  <c:v>0.3</c:v>
                </c:pt>
                <c:pt idx="573">
                  <c:v>0.3</c:v>
                </c:pt>
                <c:pt idx="574">
                  <c:v>0.3</c:v>
                </c:pt>
                <c:pt idx="575">
                  <c:v>0.3</c:v>
                </c:pt>
                <c:pt idx="576">
                  <c:v>0.3</c:v>
                </c:pt>
                <c:pt idx="577">
                  <c:v>0.3</c:v>
                </c:pt>
                <c:pt idx="578">
                  <c:v>0.3</c:v>
                </c:pt>
                <c:pt idx="579">
                  <c:v>0.3</c:v>
                </c:pt>
                <c:pt idx="580">
                  <c:v>0.3</c:v>
                </c:pt>
                <c:pt idx="581">
                  <c:v>0.3</c:v>
                </c:pt>
                <c:pt idx="582">
                  <c:v>0.3</c:v>
                </c:pt>
                <c:pt idx="583">
                  <c:v>0.3</c:v>
                </c:pt>
                <c:pt idx="584">
                  <c:v>0.3</c:v>
                </c:pt>
                <c:pt idx="585">
                  <c:v>0.3</c:v>
                </c:pt>
                <c:pt idx="586">
                  <c:v>0.3</c:v>
                </c:pt>
                <c:pt idx="587">
                  <c:v>0.3</c:v>
                </c:pt>
                <c:pt idx="588">
                  <c:v>0.3</c:v>
                </c:pt>
                <c:pt idx="589">
                  <c:v>0.3</c:v>
                </c:pt>
                <c:pt idx="590">
                  <c:v>0.3</c:v>
                </c:pt>
                <c:pt idx="591">
                  <c:v>0.3</c:v>
                </c:pt>
                <c:pt idx="592">
                  <c:v>0.3</c:v>
                </c:pt>
                <c:pt idx="593">
                  <c:v>0.3</c:v>
                </c:pt>
                <c:pt idx="594">
                  <c:v>0.3</c:v>
                </c:pt>
                <c:pt idx="595">
                  <c:v>0.3</c:v>
                </c:pt>
                <c:pt idx="596">
                  <c:v>0.3</c:v>
                </c:pt>
                <c:pt idx="597">
                  <c:v>0.3</c:v>
                </c:pt>
                <c:pt idx="598">
                  <c:v>0.3</c:v>
                </c:pt>
                <c:pt idx="599">
                  <c:v>0.3</c:v>
                </c:pt>
              </c:numCache>
            </c:numRef>
          </c:yVal>
          <c:smooth val="0"/>
          <c:extLst>
            <c:ext xmlns:c16="http://schemas.microsoft.com/office/drawing/2014/chart" uri="{C3380CC4-5D6E-409C-BE32-E72D297353CC}">
              <c16:uniqueId val="{00000001-97C8-4257-A3A4-EB8DB690E145}"/>
            </c:ext>
          </c:extLst>
        </c:ser>
        <c:ser>
          <c:idx val="2"/>
          <c:order val="2"/>
          <c:tx>
            <c:v>VertLineMinTime</c:v>
          </c:tx>
          <c:spPr>
            <a:ln w="12700" cap="rnd">
              <a:solidFill>
                <a:schemeClr val="accent3"/>
              </a:solidFill>
              <a:round/>
            </a:ln>
            <a:effectLst/>
          </c:spPr>
          <c:marker>
            <c:symbol val="none"/>
          </c:marker>
          <c:xVal>
            <c:numRef>
              <c:f>Cumulant!$J$5:$J$6</c:f>
              <c:numCache>
                <c:formatCode>General</c:formatCode>
                <c:ptCount val="2"/>
                <c:pt idx="0">
                  <c:v>0</c:v>
                </c:pt>
                <c:pt idx="1">
                  <c:v>0</c:v>
                </c:pt>
              </c:numCache>
            </c:numRef>
          </c:xVal>
          <c:yVal>
            <c:numRef>
              <c:f>Cumulant!$K$5:$K$6</c:f>
              <c:numCache>
                <c:formatCode>General</c:formatCode>
                <c:ptCount val="2"/>
                <c:pt idx="0">
                  <c:v>0</c:v>
                </c:pt>
                <c:pt idx="1">
                  <c:v>0.95</c:v>
                </c:pt>
              </c:numCache>
            </c:numRef>
          </c:yVal>
          <c:smooth val="0"/>
          <c:extLst>
            <c:ext xmlns:c16="http://schemas.microsoft.com/office/drawing/2014/chart" uri="{C3380CC4-5D6E-409C-BE32-E72D297353CC}">
              <c16:uniqueId val="{00000001-9F6D-44CC-8137-10A717C01DF0}"/>
            </c:ext>
          </c:extLst>
        </c:ser>
        <c:ser>
          <c:idx val="3"/>
          <c:order val="3"/>
          <c:tx>
            <c:v>VertLineMaxTime</c:v>
          </c:tx>
          <c:spPr>
            <a:ln w="19050" cap="rnd">
              <a:solidFill>
                <a:srgbClr val="92D050"/>
              </a:solidFill>
              <a:round/>
            </a:ln>
            <a:effectLst/>
          </c:spPr>
          <c:marker>
            <c:symbol val="none"/>
          </c:marker>
          <c:dPt>
            <c:idx val="1"/>
            <c:marker>
              <c:symbol val="none"/>
            </c:marker>
            <c:bubble3D val="0"/>
            <c:spPr>
              <a:ln w="12700" cap="rnd">
                <a:solidFill>
                  <a:srgbClr val="92D050"/>
                </a:solidFill>
                <a:round/>
              </a:ln>
              <a:effectLst/>
            </c:spPr>
            <c:extLst>
              <c:ext xmlns:c16="http://schemas.microsoft.com/office/drawing/2014/chart" uri="{C3380CC4-5D6E-409C-BE32-E72D297353CC}">
                <c16:uniqueId val="{00000003-9F6D-44CC-8137-10A717C01DF0}"/>
              </c:ext>
            </c:extLst>
          </c:dPt>
          <c:xVal>
            <c:numRef>
              <c:f>Cumulant!$J$7:$J$8</c:f>
              <c:numCache>
                <c:formatCode>General</c:formatCode>
                <c:ptCount val="2"/>
                <c:pt idx="0">
                  <c:v>0</c:v>
                </c:pt>
                <c:pt idx="1">
                  <c:v>0</c:v>
                </c:pt>
              </c:numCache>
            </c:numRef>
          </c:xVal>
          <c:yVal>
            <c:numRef>
              <c:f>Cumulant!$K$7:$K$8</c:f>
              <c:numCache>
                <c:formatCode>General</c:formatCode>
                <c:ptCount val="2"/>
                <c:pt idx="0">
                  <c:v>0</c:v>
                </c:pt>
                <c:pt idx="1">
                  <c:v>0.95</c:v>
                </c:pt>
              </c:numCache>
            </c:numRef>
          </c:yVal>
          <c:smooth val="0"/>
          <c:extLst>
            <c:ext xmlns:c16="http://schemas.microsoft.com/office/drawing/2014/chart" uri="{C3380CC4-5D6E-409C-BE32-E72D297353CC}">
              <c16:uniqueId val="{00000002-9F6D-44CC-8137-10A717C01DF0}"/>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t>
                </a:r>
                <a:r>
                  <a:rPr lang="en-US" baseline="30000"/>
                  <a:t>(2)</a:t>
                </a:r>
                <a:r>
                  <a:rPr lang="en-US"/>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701632250752718"/>
          <c:y val="4.7728981765756788E-2"/>
          <c:w val="0.7298500185762723"/>
          <c:h val="0.67669507848545418"/>
        </c:manualLayout>
      </c:layout>
      <c:scatterChart>
        <c:scatterStyle val="lineMarker"/>
        <c:varyColors val="0"/>
        <c:ser>
          <c:idx val="1"/>
          <c:order val="0"/>
          <c:tx>
            <c:v>Residuals</c:v>
          </c:tx>
          <c:spPr>
            <a:ln w="6350" cap="rnd">
              <a:solidFill>
                <a:srgbClr val="FF0000"/>
              </a:solidFill>
              <a:round/>
            </a:ln>
            <a:effectLst/>
          </c:spPr>
          <c:marker>
            <c:symbol val="none"/>
          </c:marker>
          <c:xVal>
            <c:numRef>
              <c:f>Cumulant!$B$11:$B$610</c:f>
              <c:numCache>
                <c:formatCode>General</c:formatCode>
                <c:ptCount val="6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numCache>
            </c:numRef>
          </c:xVal>
          <c:yVal>
            <c:numRef>
              <c:f>Cumulant!$F$11:$F$610</c:f>
              <c:numCache>
                <c:formatCode>General</c:formatCode>
                <c:ptCount val="600"/>
                <c:pt idx="0">
                  <c:v>-0.3</c:v>
                </c:pt>
                <c:pt idx="1">
                  <c:v>-0.3</c:v>
                </c:pt>
                <c:pt idx="2">
                  <c:v>-0.3</c:v>
                </c:pt>
                <c:pt idx="3">
                  <c:v>-0.3</c:v>
                </c:pt>
                <c:pt idx="4">
                  <c:v>-0.3</c:v>
                </c:pt>
                <c:pt idx="5">
                  <c:v>-0.3</c:v>
                </c:pt>
                <c:pt idx="6">
                  <c:v>-0.3</c:v>
                </c:pt>
                <c:pt idx="7">
                  <c:v>-0.3</c:v>
                </c:pt>
                <c:pt idx="8">
                  <c:v>-0.3</c:v>
                </c:pt>
                <c:pt idx="9">
                  <c:v>-0.3</c:v>
                </c:pt>
                <c:pt idx="10">
                  <c:v>-0.3</c:v>
                </c:pt>
                <c:pt idx="11">
                  <c:v>-0.3</c:v>
                </c:pt>
                <c:pt idx="12">
                  <c:v>-0.3</c:v>
                </c:pt>
                <c:pt idx="13">
                  <c:v>-0.3</c:v>
                </c:pt>
                <c:pt idx="14">
                  <c:v>-0.3</c:v>
                </c:pt>
                <c:pt idx="15">
                  <c:v>-0.3</c:v>
                </c:pt>
                <c:pt idx="16">
                  <c:v>-0.3</c:v>
                </c:pt>
                <c:pt idx="17">
                  <c:v>-0.3</c:v>
                </c:pt>
                <c:pt idx="18">
                  <c:v>-0.3</c:v>
                </c:pt>
                <c:pt idx="19">
                  <c:v>-0.3</c:v>
                </c:pt>
                <c:pt idx="20">
                  <c:v>-0.3</c:v>
                </c:pt>
                <c:pt idx="21">
                  <c:v>-0.3</c:v>
                </c:pt>
                <c:pt idx="22">
                  <c:v>-0.3</c:v>
                </c:pt>
                <c:pt idx="23">
                  <c:v>-0.3</c:v>
                </c:pt>
                <c:pt idx="24">
                  <c:v>-0.3</c:v>
                </c:pt>
                <c:pt idx="25">
                  <c:v>-0.3</c:v>
                </c:pt>
                <c:pt idx="26">
                  <c:v>-0.3</c:v>
                </c:pt>
                <c:pt idx="27">
                  <c:v>-0.3</c:v>
                </c:pt>
                <c:pt idx="28">
                  <c:v>-0.3</c:v>
                </c:pt>
                <c:pt idx="29">
                  <c:v>-0.3</c:v>
                </c:pt>
                <c:pt idx="30">
                  <c:v>-0.3</c:v>
                </c:pt>
                <c:pt idx="31">
                  <c:v>-0.3</c:v>
                </c:pt>
                <c:pt idx="32">
                  <c:v>-0.3</c:v>
                </c:pt>
                <c:pt idx="33">
                  <c:v>-0.3</c:v>
                </c:pt>
                <c:pt idx="34">
                  <c:v>-0.3</c:v>
                </c:pt>
                <c:pt idx="35">
                  <c:v>-0.3</c:v>
                </c:pt>
                <c:pt idx="36">
                  <c:v>-0.3</c:v>
                </c:pt>
                <c:pt idx="37">
                  <c:v>-0.3</c:v>
                </c:pt>
                <c:pt idx="38">
                  <c:v>-0.3</c:v>
                </c:pt>
                <c:pt idx="39">
                  <c:v>-0.3</c:v>
                </c:pt>
                <c:pt idx="40">
                  <c:v>-0.3</c:v>
                </c:pt>
                <c:pt idx="41">
                  <c:v>-0.3</c:v>
                </c:pt>
                <c:pt idx="42">
                  <c:v>-0.3</c:v>
                </c:pt>
                <c:pt idx="43">
                  <c:v>-0.3</c:v>
                </c:pt>
                <c:pt idx="44">
                  <c:v>-0.3</c:v>
                </c:pt>
                <c:pt idx="45">
                  <c:v>-0.3</c:v>
                </c:pt>
                <c:pt idx="46">
                  <c:v>-0.3</c:v>
                </c:pt>
                <c:pt idx="47">
                  <c:v>-0.3</c:v>
                </c:pt>
                <c:pt idx="48">
                  <c:v>-0.3</c:v>
                </c:pt>
                <c:pt idx="49">
                  <c:v>-0.3</c:v>
                </c:pt>
                <c:pt idx="50">
                  <c:v>-0.3</c:v>
                </c:pt>
                <c:pt idx="51">
                  <c:v>-0.3</c:v>
                </c:pt>
                <c:pt idx="52">
                  <c:v>-0.3</c:v>
                </c:pt>
                <c:pt idx="53">
                  <c:v>-0.3</c:v>
                </c:pt>
                <c:pt idx="54">
                  <c:v>-0.3</c:v>
                </c:pt>
                <c:pt idx="55">
                  <c:v>-0.3</c:v>
                </c:pt>
                <c:pt idx="56">
                  <c:v>-0.3</c:v>
                </c:pt>
                <c:pt idx="57">
                  <c:v>-0.3</c:v>
                </c:pt>
                <c:pt idx="58">
                  <c:v>-0.3</c:v>
                </c:pt>
                <c:pt idx="59">
                  <c:v>-0.3</c:v>
                </c:pt>
                <c:pt idx="60">
                  <c:v>-0.3</c:v>
                </c:pt>
                <c:pt idx="61">
                  <c:v>-0.3</c:v>
                </c:pt>
                <c:pt idx="62">
                  <c:v>-0.3</c:v>
                </c:pt>
                <c:pt idx="63">
                  <c:v>-0.3</c:v>
                </c:pt>
                <c:pt idx="64">
                  <c:v>-0.3</c:v>
                </c:pt>
                <c:pt idx="65">
                  <c:v>-0.3</c:v>
                </c:pt>
                <c:pt idx="66">
                  <c:v>-0.3</c:v>
                </c:pt>
                <c:pt idx="67">
                  <c:v>-0.3</c:v>
                </c:pt>
                <c:pt idx="68">
                  <c:v>-0.3</c:v>
                </c:pt>
                <c:pt idx="69">
                  <c:v>-0.3</c:v>
                </c:pt>
                <c:pt idx="70">
                  <c:v>-0.3</c:v>
                </c:pt>
                <c:pt idx="71">
                  <c:v>-0.3</c:v>
                </c:pt>
                <c:pt idx="72">
                  <c:v>-0.3</c:v>
                </c:pt>
                <c:pt idx="73">
                  <c:v>-0.3</c:v>
                </c:pt>
                <c:pt idx="74">
                  <c:v>-0.3</c:v>
                </c:pt>
                <c:pt idx="75">
                  <c:v>-0.3</c:v>
                </c:pt>
                <c:pt idx="76">
                  <c:v>-0.3</c:v>
                </c:pt>
                <c:pt idx="77">
                  <c:v>-0.3</c:v>
                </c:pt>
                <c:pt idx="78">
                  <c:v>-0.3</c:v>
                </c:pt>
                <c:pt idx="79">
                  <c:v>-0.3</c:v>
                </c:pt>
                <c:pt idx="80">
                  <c:v>-0.3</c:v>
                </c:pt>
                <c:pt idx="81">
                  <c:v>-0.3</c:v>
                </c:pt>
                <c:pt idx="82">
                  <c:v>-0.3</c:v>
                </c:pt>
                <c:pt idx="83">
                  <c:v>-0.3</c:v>
                </c:pt>
                <c:pt idx="84">
                  <c:v>-0.3</c:v>
                </c:pt>
                <c:pt idx="85">
                  <c:v>-0.3</c:v>
                </c:pt>
                <c:pt idx="86">
                  <c:v>-0.3</c:v>
                </c:pt>
                <c:pt idx="87">
                  <c:v>-0.3</c:v>
                </c:pt>
                <c:pt idx="88">
                  <c:v>-0.3</c:v>
                </c:pt>
                <c:pt idx="89">
                  <c:v>-0.3</c:v>
                </c:pt>
                <c:pt idx="90">
                  <c:v>-0.3</c:v>
                </c:pt>
                <c:pt idx="91">
                  <c:v>-0.3</c:v>
                </c:pt>
                <c:pt idx="92">
                  <c:v>-0.3</c:v>
                </c:pt>
                <c:pt idx="93">
                  <c:v>-0.3</c:v>
                </c:pt>
                <c:pt idx="94">
                  <c:v>-0.3</c:v>
                </c:pt>
                <c:pt idx="95">
                  <c:v>-0.3</c:v>
                </c:pt>
                <c:pt idx="96">
                  <c:v>-0.3</c:v>
                </c:pt>
                <c:pt idx="97">
                  <c:v>-0.3</c:v>
                </c:pt>
                <c:pt idx="98">
                  <c:v>-0.3</c:v>
                </c:pt>
                <c:pt idx="99">
                  <c:v>-0.3</c:v>
                </c:pt>
                <c:pt idx="100">
                  <c:v>-0.3</c:v>
                </c:pt>
                <c:pt idx="101">
                  <c:v>-0.3</c:v>
                </c:pt>
                <c:pt idx="102">
                  <c:v>-0.3</c:v>
                </c:pt>
                <c:pt idx="103">
                  <c:v>-0.3</c:v>
                </c:pt>
                <c:pt idx="104">
                  <c:v>-0.3</c:v>
                </c:pt>
                <c:pt idx="105">
                  <c:v>-0.3</c:v>
                </c:pt>
                <c:pt idx="106">
                  <c:v>-0.3</c:v>
                </c:pt>
                <c:pt idx="107">
                  <c:v>-0.3</c:v>
                </c:pt>
                <c:pt idx="108">
                  <c:v>-0.3</c:v>
                </c:pt>
                <c:pt idx="109">
                  <c:v>-0.3</c:v>
                </c:pt>
                <c:pt idx="110">
                  <c:v>-0.3</c:v>
                </c:pt>
                <c:pt idx="111">
                  <c:v>-0.3</c:v>
                </c:pt>
                <c:pt idx="112">
                  <c:v>-0.3</c:v>
                </c:pt>
                <c:pt idx="113">
                  <c:v>-0.3</c:v>
                </c:pt>
                <c:pt idx="114">
                  <c:v>-0.3</c:v>
                </c:pt>
                <c:pt idx="115">
                  <c:v>-0.3</c:v>
                </c:pt>
                <c:pt idx="116">
                  <c:v>-0.3</c:v>
                </c:pt>
                <c:pt idx="117">
                  <c:v>-0.3</c:v>
                </c:pt>
                <c:pt idx="118">
                  <c:v>-0.3</c:v>
                </c:pt>
                <c:pt idx="119">
                  <c:v>-0.3</c:v>
                </c:pt>
                <c:pt idx="120">
                  <c:v>-0.3</c:v>
                </c:pt>
                <c:pt idx="121">
                  <c:v>-0.3</c:v>
                </c:pt>
                <c:pt idx="122">
                  <c:v>-0.3</c:v>
                </c:pt>
                <c:pt idx="123">
                  <c:v>-0.3</c:v>
                </c:pt>
                <c:pt idx="124">
                  <c:v>-0.3</c:v>
                </c:pt>
                <c:pt idx="125">
                  <c:v>-0.3</c:v>
                </c:pt>
                <c:pt idx="126">
                  <c:v>-0.3</c:v>
                </c:pt>
                <c:pt idx="127">
                  <c:v>-0.3</c:v>
                </c:pt>
                <c:pt idx="128">
                  <c:v>-0.3</c:v>
                </c:pt>
                <c:pt idx="129">
                  <c:v>-0.3</c:v>
                </c:pt>
                <c:pt idx="130">
                  <c:v>-0.3</c:v>
                </c:pt>
                <c:pt idx="131">
                  <c:v>-0.3</c:v>
                </c:pt>
                <c:pt idx="132">
                  <c:v>-0.3</c:v>
                </c:pt>
                <c:pt idx="133">
                  <c:v>-0.3</c:v>
                </c:pt>
                <c:pt idx="134">
                  <c:v>-0.3</c:v>
                </c:pt>
                <c:pt idx="135">
                  <c:v>-0.3</c:v>
                </c:pt>
                <c:pt idx="136">
                  <c:v>-0.3</c:v>
                </c:pt>
                <c:pt idx="137">
                  <c:v>-0.3</c:v>
                </c:pt>
                <c:pt idx="138">
                  <c:v>-0.3</c:v>
                </c:pt>
                <c:pt idx="139">
                  <c:v>-0.3</c:v>
                </c:pt>
                <c:pt idx="140">
                  <c:v>-0.3</c:v>
                </c:pt>
                <c:pt idx="141">
                  <c:v>-0.3</c:v>
                </c:pt>
                <c:pt idx="142">
                  <c:v>-0.3</c:v>
                </c:pt>
                <c:pt idx="143">
                  <c:v>-0.3</c:v>
                </c:pt>
                <c:pt idx="144">
                  <c:v>-0.3</c:v>
                </c:pt>
                <c:pt idx="145">
                  <c:v>-0.3</c:v>
                </c:pt>
                <c:pt idx="146">
                  <c:v>-0.3</c:v>
                </c:pt>
                <c:pt idx="147">
                  <c:v>-0.3</c:v>
                </c:pt>
                <c:pt idx="148">
                  <c:v>-0.3</c:v>
                </c:pt>
                <c:pt idx="149">
                  <c:v>-0.3</c:v>
                </c:pt>
                <c:pt idx="150">
                  <c:v>-0.3</c:v>
                </c:pt>
                <c:pt idx="151">
                  <c:v>-0.3</c:v>
                </c:pt>
                <c:pt idx="152">
                  <c:v>-0.3</c:v>
                </c:pt>
                <c:pt idx="153">
                  <c:v>-0.3</c:v>
                </c:pt>
                <c:pt idx="154">
                  <c:v>-0.3</c:v>
                </c:pt>
                <c:pt idx="155">
                  <c:v>-0.3</c:v>
                </c:pt>
                <c:pt idx="156">
                  <c:v>-0.3</c:v>
                </c:pt>
                <c:pt idx="157">
                  <c:v>-0.3</c:v>
                </c:pt>
                <c:pt idx="158">
                  <c:v>-0.3</c:v>
                </c:pt>
                <c:pt idx="159">
                  <c:v>-0.3</c:v>
                </c:pt>
                <c:pt idx="160">
                  <c:v>-0.3</c:v>
                </c:pt>
                <c:pt idx="161">
                  <c:v>-0.3</c:v>
                </c:pt>
                <c:pt idx="162">
                  <c:v>-0.3</c:v>
                </c:pt>
                <c:pt idx="163">
                  <c:v>-0.3</c:v>
                </c:pt>
                <c:pt idx="164">
                  <c:v>-0.3</c:v>
                </c:pt>
                <c:pt idx="165">
                  <c:v>-0.3</c:v>
                </c:pt>
                <c:pt idx="166">
                  <c:v>-0.3</c:v>
                </c:pt>
                <c:pt idx="167">
                  <c:v>-0.3</c:v>
                </c:pt>
                <c:pt idx="168">
                  <c:v>-0.3</c:v>
                </c:pt>
                <c:pt idx="169">
                  <c:v>-0.3</c:v>
                </c:pt>
                <c:pt idx="170">
                  <c:v>-0.3</c:v>
                </c:pt>
                <c:pt idx="171">
                  <c:v>-0.3</c:v>
                </c:pt>
                <c:pt idx="172">
                  <c:v>-0.3</c:v>
                </c:pt>
                <c:pt idx="173">
                  <c:v>-0.3</c:v>
                </c:pt>
                <c:pt idx="174">
                  <c:v>-0.3</c:v>
                </c:pt>
                <c:pt idx="175">
                  <c:v>-0.3</c:v>
                </c:pt>
                <c:pt idx="176">
                  <c:v>-0.3</c:v>
                </c:pt>
                <c:pt idx="177">
                  <c:v>-0.3</c:v>
                </c:pt>
                <c:pt idx="178">
                  <c:v>-0.3</c:v>
                </c:pt>
                <c:pt idx="179">
                  <c:v>-0.3</c:v>
                </c:pt>
                <c:pt idx="180">
                  <c:v>-0.3</c:v>
                </c:pt>
                <c:pt idx="181">
                  <c:v>-0.3</c:v>
                </c:pt>
                <c:pt idx="182">
                  <c:v>-0.3</c:v>
                </c:pt>
                <c:pt idx="183">
                  <c:v>-0.3</c:v>
                </c:pt>
                <c:pt idx="184">
                  <c:v>-0.3</c:v>
                </c:pt>
                <c:pt idx="185">
                  <c:v>-0.3</c:v>
                </c:pt>
                <c:pt idx="186">
                  <c:v>-0.3</c:v>
                </c:pt>
                <c:pt idx="187">
                  <c:v>-0.3</c:v>
                </c:pt>
                <c:pt idx="188">
                  <c:v>-0.3</c:v>
                </c:pt>
                <c:pt idx="189">
                  <c:v>-0.3</c:v>
                </c:pt>
                <c:pt idx="190">
                  <c:v>-0.3</c:v>
                </c:pt>
                <c:pt idx="191">
                  <c:v>-0.3</c:v>
                </c:pt>
                <c:pt idx="192">
                  <c:v>-0.3</c:v>
                </c:pt>
                <c:pt idx="193">
                  <c:v>-0.3</c:v>
                </c:pt>
                <c:pt idx="194">
                  <c:v>-0.3</c:v>
                </c:pt>
                <c:pt idx="195">
                  <c:v>-0.3</c:v>
                </c:pt>
                <c:pt idx="196">
                  <c:v>-0.3</c:v>
                </c:pt>
                <c:pt idx="197">
                  <c:v>-0.3</c:v>
                </c:pt>
                <c:pt idx="198">
                  <c:v>-0.3</c:v>
                </c:pt>
                <c:pt idx="199">
                  <c:v>-0.3</c:v>
                </c:pt>
                <c:pt idx="200">
                  <c:v>-0.3</c:v>
                </c:pt>
                <c:pt idx="201">
                  <c:v>-0.3</c:v>
                </c:pt>
                <c:pt idx="202">
                  <c:v>-0.3</c:v>
                </c:pt>
                <c:pt idx="203">
                  <c:v>-0.3</c:v>
                </c:pt>
                <c:pt idx="204">
                  <c:v>-0.3</c:v>
                </c:pt>
                <c:pt idx="205">
                  <c:v>-0.3</c:v>
                </c:pt>
                <c:pt idx="206">
                  <c:v>-0.3</c:v>
                </c:pt>
                <c:pt idx="207">
                  <c:v>-0.3</c:v>
                </c:pt>
                <c:pt idx="208">
                  <c:v>-0.3</c:v>
                </c:pt>
                <c:pt idx="209">
                  <c:v>-0.3</c:v>
                </c:pt>
                <c:pt idx="210">
                  <c:v>-0.3</c:v>
                </c:pt>
                <c:pt idx="211">
                  <c:v>-0.3</c:v>
                </c:pt>
                <c:pt idx="212">
                  <c:v>-0.3</c:v>
                </c:pt>
                <c:pt idx="213">
                  <c:v>-0.3</c:v>
                </c:pt>
                <c:pt idx="214">
                  <c:v>-0.3</c:v>
                </c:pt>
                <c:pt idx="215">
                  <c:v>-0.3</c:v>
                </c:pt>
                <c:pt idx="216">
                  <c:v>-0.3</c:v>
                </c:pt>
                <c:pt idx="217">
                  <c:v>-0.3</c:v>
                </c:pt>
                <c:pt idx="218">
                  <c:v>-0.3</c:v>
                </c:pt>
                <c:pt idx="219">
                  <c:v>-0.3</c:v>
                </c:pt>
                <c:pt idx="220">
                  <c:v>-0.3</c:v>
                </c:pt>
                <c:pt idx="221">
                  <c:v>-0.3</c:v>
                </c:pt>
                <c:pt idx="222">
                  <c:v>-0.3</c:v>
                </c:pt>
                <c:pt idx="223">
                  <c:v>-0.3</c:v>
                </c:pt>
                <c:pt idx="224">
                  <c:v>-0.3</c:v>
                </c:pt>
                <c:pt idx="225">
                  <c:v>-0.3</c:v>
                </c:pt>
                <c:pt idx="226">
                  <c:v>-0.3</c:v>
                </c:pt>
                <c:pt idx="227">
                  <c:v>-0.3</c:v>
                </c:pt>
                <c:pt idx="228">
                  <c:v>-0.3</c:v>
                </c:pt>
                <c:pt idx="229">
                  <c:v>-0.3</c:v>
                </c:pt>
                <c:pt idx="230">
                  <c:v>-0.3</c:v>
                </c:pt>
                <c:pt idx="231">
                  <c:v>-0.3</c:v>
                </c:pt>
                <c:pt idx="232">
                  <c:v>-0.3</c:v>
                </c:pt>
                <c:pt idx="233">
                  <c:v>-0.3</c:v>
                </c:pt>
                <c:pt idx="234">
                  <c:v>-0.3</c:v>
                </c:pt>
                <c:pt idx="235">
                  <c:v>-0.3</c:v>
                </c:pt>
                <c:pt idx="236">
                  <c:v>-0.3</c:v>
                </c:pt>
                <c:pt idx="237">
                  <c:v>-0.3</c:v>
                </c:pt>
                <c:pt idx="238">
                  <c:v>-0.3</c:v>
                </c:pt>
                <c:pt idx="239">
                  <c:v>-0.3</c:v>
                </c:pt>
                <c:pt idx="240">
                  <c:v>-0.3</c:v>
                </c:pt>
                <c:pt idx="241">
                  <c:v>-0.3</c:v>
                </c:pt>
                <c:pt idx="242">
                  <c:v>-0.3</c:v>
                </c:pt>
                <c:pt idx="243">
                  <c:v>-0.3</c:v>
                </c:pt>
                <c:pt idx="244">
                  <c:v>-0.3</c:v>
                </c:pt>
                <c:pt idx="245">
                  <c:v>-0.3</c:v>
                </c:pt>
                <c:pt idx="246">
                  <c:v>-0.3</c:v>
                </c:pt>
                <c:pt idx="247">
                  <c:v>-0.3</c:v>
                </c:pt>
                <c:pt idx="248">
                  <c:v>-0.3</c:v>
                </c:pt>
                <c:pt idx="249">
                  <c:v>-0.3</c:v>
                </c:pt>
                <c:pt idx="250">
                  <c:v>-0.3</c:v>
                </c:pt>
                <c:pt idx="251">
                  <c:v>-0.3</c:v>
                </c:pt>
                <c:pt idx="252">
                  <c:v>-0.3</c:v>
                </c:pt>
                <c:pt idx="253">
                  <c:v>-0.3</c:v>
                </c:pt>
                <c:pt idx="254">
                  <c:v>-0.3</c:v>
                </c:pt>
                <c:pt idx="255">
                  <c:v>-0.3</c:v>
                </c:pt>
                <c:pt idx="256">
                  <c:v>-0.3</c:v>
                </c:pt>
                <c:pt idx="257">
                  <c:v>-0.3</c:v>
                </c:pt>
                <c:pt idx="258">
                  <c:v>-0.3</c:v>
                </c:pt>
                <c:pt idx="259">
                  <c:v>-0.3</c:v>
                </c:pt>
                <c:pt idx="260">
                  <c:v>-0.3</c:v>
                </c:pt>
                <c:pt idx="261">
                  <c:v>-0.3</c:v>
                </c:pt>
                <c:pt idx="262">
                  <c:v>-0.3</c:v>
                </c:pt>
                <c:pt idx="263">
                  <c:v>-0.3</c:v>
                </c:pt>
                <c:pt idx="264">
                  <c:v>-0.3</c:v>
                </c:pt>
                <c:pt idx="265">
                  <c:v>-0.3</c:v>
                </c:pt>
                <c:pt idx="266">
                  <c:v>-0.3</c:v>
                </c:pt>
                <c:pt idx="267">
                  <c:v>-0.3</c:v>
                </c:pt>
                <c:pt idx="268">
                  <c:v>-0.3</c:v>
                </c:pt>
                <c:pt idx="269">
                  <c:v>-0.3</c:v>
                </c:pt>
                <c:pt idx="270">
                  <c:v>-0.3</c:v>
                </c:pt>
                <c:pt idx="271">
                  <c:v>-0.3</c:v>
                </c:pt>
                <c:pt idx="272">
                  <c:v>-0.3</c:v>
                </c:pt>
                <c:pt idx="273">
                  <c:v>-0.3</c:v>
                </c:pt>
                <c:pt idx="274">
                  <c:v>-0.3</c:v>
                </c:pt>
                <c:pt idx="275">
                  <c:v>-0.3</c:v>
                </c:pt>
                <c:pt idx="276">
                  <c:v>-0.3</c:v>
                </c:pt>
                <c:pt idx="277">
                  <c:v>-0.3</c:v>
                </c:pt>
                <c:pt idx="278">
                  <c:v>-0.3</c:v>
                </c:pt>
                <c:pt idx="279">
                  <c:v>-0.3</c:v>
                </c:pt>
                <c:pt idx="280">
                  <c:v>-0.3</c:v>
                </c:pt>
                <c:pt idx="281">
                  <c:v>-0.3</c:v>
                </c:pt>
                <c:pt idx="282">
                  <c:v>-0.3</c:v>
                </c:pt>
                <c:pt idx="283">
                  <c:v>-0.3</c:v>
                </c:pt>
                <c:pt idx="284">
                  <c:v>-0.3</c:v>
                </c:pt>
                <c:pt idx="285">
                  <c:v>-0.3</c:v>
                </c:pt>
                <c:pt idx="286">
                  <c:v>-0.3</c:v>
                </c:pt>
                <c:pt idx="287">
                  <c:v>-0.3</c:v>
                </c:pt>
                <c:pt idx="288">
                  <c:v>-0.3</c:v>
                </c:pt>
                <c:pt idx="289">
                  <c:v>-0.3</c:v>
                </c:pt>
                <c:pt idx="290">
                  <c:v>-0.3</c:v>
                </c:pt>
                <c:pt idx="291">
                  <c:v>-0.3</c:v>
                </c:pt>
                <c:pt idx="292">
                  <c:v>-0.3</c:v>
                </c:pt>
                <c:pt idx="293">
                  <c:v>-0.3</c:v>
                </c:pt>
                <c:pt idx="294">
                  <c:v>-0.3</c:v>
                </c:pt>
                <c:pt idx="295">
                  <c:v>-0.3</c:v>
                </c:pt>
                <c:pt idx="296">
                  <c:v>-0.3</c:v>
                </c:pt>
                <c:pt idx="297">
                  <c:v>-0.3</c:v>
                </c:pt>
                <c:pt idx="298">
                  <c:v>-0.3</c:v>
                </c:pt>
                <c:pt idx="299">
                  <c:v>-0.3</c:v>
                </c:pt>
                <c:pt idx="300">
                  <c:v>-0.3</c:v>
                </c:pt>
                <c:pt idx="301">
                  <c:v>-0.3</c:v>
                </c:pt>
                <c:pt idx="302">
                  <c:v>-0.3</c:v>
                </c:pt>
                <c:pt idx="303">
                  <c:v>-0.3</c:v>
                </c:pt>
                <c:pt idx="304">
                  <c:v>-0.3</c:v>
                </c:pt>
                <c:pt idx="305">
                  <c:v>-0.3</c:v>
                </c:pt>
                <c:pt idx="306">
                  <c:v>-0.3</c:v>
                </c:pt>
                <c:pt idx="307">
                  <c:v>-0.3</c:v>
                </c:pt>
                <c:pt idx="308">
                  <c:v>-0.3</c:v>
                </c:pt>
                <c:pt idx="309">
                  <c:v>-0.3</c:v>
                </c:pt>
                <c:pt idx="310">
                  <c:v>-0.3</c:v>
                </c:pt>
                <c:pt idx="311">
                  <c:v>-0.3</c:v>
                </c:pt>
                <c:pt idx="312">
                  <c:v>-0.3</c:v>
                </c:pt>
                <c:pt idx="313">
                  <c:v>-0.3</c:v>
                </c:pt>
                <c:pt idx="314">
                  <c:v>-0.3</c:v>
                </c:pt>
                <c:pt idx="315">
                  <c:v>-0.3</c:v>
                </c:pt>
                <c:pt idx="316">
                  <c:v>-0.3</c:v>
                </c:pt>
                <c:pt idx="317">
                  <c:v>-0.3</c:v>
                </c:pt>
                <c:pt idx="318">
                  <c:v>-0.3</c:v>
                </c:pt>
                <c:pt idx="319">
                  <c:v>-0.3</c:v>
                </c:pt>
                <c:pt idx="320">
                  <c:v>-0.3</c:v>
                </c:pt>
                <c:pt idx="321">
                  <c:v>-0.3</c:v>
                </c:pt>
                <c:pt idx="322">
                  <c:v>-0.3</c:v>
                </c:pt>
                <c:pt idx="323">
                  <c:v>-0.3</c:v>
                </c:pt>
                <c:pt idx="324">
                  <c:v>-0.3</c:v>
                </c:pt>
                <c:pt idx="325">
                  <c:v>-0.3</c:v>
                </c:pt>
                <c:pt idx="326">
                  <c:v>-0.3</c:v>
                </c:pt>
                <c:pt idx="327">
                  <c:v>-0.3</c:v>
                </c:pt>
                <c:pt idx="328">
                  <c:v>-0.3</c:v>
                </c:pt>
                <c:pt idx="329">
                  <c:v>-0.3</c:v>
                </c:pt>
                <c:pt idx="330">
                  <c:v>-0.3</c:v>
                </c:pt>
                <c:pt idx="331">
                  <c:v>-0.3</c:v>
                </c:pt>
                <c:pt idx="332">
                  <c:v>-0.3</c:v>
                </c:pt>
                <c:pt idx="333">
                  <c:v>-0.3</c:v>
                </c:pt>
                <c:pt idx="334">
                  <c:v>-0.3</c:v>
                </c:pt>
                <c:pt idx="335">
                  <c:v>-0.3</c:v>
                </c:pt>
                <c:pt idx="336">
                  <c:v>-0.3</c:v>
                </c:pt>
                <c:pt idx="337">
                  <c:v>-0.3</c:v>
                </c:pt>
                <c:pt idx="338">
                  <c:v>-0.3</c:v>
                </c:pt>
                <c:pt idx="339">
                  <c:v>-0.3</c:v>
                </c:pt>
                <c:pt idx="340">
                  <c:v>-0.3</c:v>
                </c:pt>
                <c:pt idx="341">
                  <c:v>-0.3</c:v>
                </c:pt>
                <c:pt idx="342">
                  <c:v>-0.3</c:v>
                </c:pt>
                <c:pt idx="343">
                  <c:v>-0.3</c:v>
                </c:pt>
                <c:pt idx="344">
                  <c:v>-0.3</c:v>
                </c:pt>
                <c:pt idx="345">
                  <c:v>-0.3</c:v>
                </c:pt>
                <c:pt idx="346">
                  <c:v>-0.3</c:v>
                </c:pt>
                <c:pt idx="347">
                  <c:v>-0.3</c:v>
                </c:pt>
                <c:pt idx="348">
                  <c:v>-0.3</c:v>
                </c:pt>
                <c:pt idx="349">
                  <c:v>-0.3</c:v>
                </c:pt>
                <c:pt idx="350">
                  <c:v>-0.3</c:v>
                </c:pt>
                <c:pt idx="351">
                  <c:v>-0.3</c:v>
                </c:pt>
                <c:pt idx="352">
                  <c:v>-0.3</c:v>
                </c:pt>
                <c:pt idx="353">
                  <c:v>-0.3</c:v>
                </c:pt>
                <c:pt idx="354">
                  <c:v>-0.3</c:v>
                </c:pt>
                <c:pt idx="355">
                  <c:v>-0.3</c:v>
                </c:pt>
                <c:pt idx="356">
                  <c:v>-0.3</c:v>
                </c:pt>
                <c:pt idx="357">
                  <c:v>-0.3</c:v>
                </c:pt>
                <c:pt idx="358">
                  <c:v>-0.3</c:v>
                </c:pt>
                <c:pt idx="359">
                  <c:v>-0.3</c:v>
                </c:pt>
                <c:pt idx="360">
                  <c:v>-0.3</c:v>
                </c:pt>
                <c:pt idx="361">
                  <c:v>-0.3</c:v>
                </c:pt>
                <c:pt idx="362">
                  <c:v>-0.3</c:v>
                </c:pt>
                <c:pt idx="363">
                  <c:v>-0.3</c:v>
                </c:pt>
                <c:pt idx="364">
                  <c:v>-0.3</c:v>
                </c:pt>
                <c:pt idx="365">
                  <c:v>-0.3</c:v>
                </c:pt>
                <c:pt idx="366">
                  <c:v>-0.3</c:v>
                </c:pt>
                <c:pt idx="367">
                  <c:v>-0.3</c:v>
                </c:pt>
                <c:pt idx="368">
                  <c:v>-0.3</c:v>
                </c:pt>
                <c:pt idx="369">
                  <c:v>-0.3</c:v>
                </c:pt>
                <c:pt idx="370">
                  <c:v>-0.3</c:v>
                </c:pt>
                <c:pt idx="371">
                  <c:v>-0.3</c:v>
                </c:pt>
                <c:pt idx="372">
                  <c:v>-0.3</c:v>
                </c:pt>
                <c:pt idx="373">
                  <c:v>-0.3</c:v>
                </c:pt>
                <c:pt idx="374">
                  <c:v>-0.3</c:v>
                </c:pt>
                <c:pt idx="375">
                  <c:v>-0.3</c:v>
                </c:pt>
                <c:pt idx="376">
                  <c:v>-0.3</c:v>
                </c:pt>
                <c:pt idx="377">
                  <c:v>-0.3</c:v>
                </c:pt>
                <c:pt idx="378">
                  <c:v>-0.3</c:v>
                </c:pt>
                <c:pt idx="379">
                  <c:v>-0.3</c:v>
                </c:pt>
                <c:pt idx="380">
                  <c:v>-0.3</c:v>
                </c:pt>
                <c:pt idx="381">
                  <c:v>-0.3</c:v>
                </c:pt>
                <c:pt idx="382">
                  <c:v>-0.3</c:v>
                </c:pt>
                <c:pt idx="383">
                  <c:v>-0.3</c:v>
                </c:pt>
                <c:pt idx="384">
                  <c:v>-0.3</c:v>
                </c:pt>
                <c:pt idx="385">
                  <c:v>-0.3</c:v>
                </c:pt>
                <c:pt idx="386">
                  <c:v>-0.3</c:v>
                </c:pt>
                <c:pt idx="387">
                  <c:v>-0.3</c:v>
                </c:pt>
                <c:pt idx="388">
                  <c:v>-0.3</c:v>
                </c:pt>
                <c:pt idx="389">
                  <c:v>-0.3</c:v>
                </c:pt>
                <c:pt idx="390">
                  <c:v>-0.3</c:v>
                </c:pt>
                <c:pt idx="391">
                  <c:v>-0.3</c:v>
                </c:pt>
                <c:pt idx="392">
                  <c:v>-0.3</c:v>
                </c:pt>
                <c:pt idx="393">
                  <c:v>-0.3</c:v>
                </c:pt>
                <c:pt idx="394">
                  <c:v>-0.3</c:v>
                </c:pt>
                <c:pt idx="395">
                  <c:v>-0.3</c:v>
                </c:pt>
                <c:pt idx="396">
                  <c:v>-0.3</c:v>
                </c:pt>
                <c:pt idx="397">
                  <c:v>-0.3</c:v>
                </c:pt>
                <c:pt idx="398">
                  <c:v>-0.3</c:v>
                </c:pt>
                <c:pt idx="399">
                  <c:v>-0.3</c:v>
                </c:pt>
                <c:pt idx="400">
                  <c:v>-0.3</c:v>
                </c:pt>
                <c:pt idx="401">
                  <c:v>-0.3</c:v>
                </c:pt>
                <c:pt idx="402">
                  <c:v>-0.3</c:v>
                </c:pt>
                <c:pt idx="403">
                  <c:v>-0.3</c:v>
                </c:pt>
                <c:pt idx="404">
                  <c:v>-0.3</c:v>
                </c:pt>
                <c:pt idx="405">
                  <c:v>-0.3</c:v>
                </c:pt>
                <c:pt idx="406">
                  <c:v>-0.3</c:v>
                </c:pt>
                <c:pt idx="407">
                  <c:v>-0.3</c:v>
                </c:pt>
                <c:pt idx="408">
                  <c:v>-0.3</c:v>
                </c:pt>
                <c:pt idx="409">
                  <c:v>-0.3</c:v>
                </c:pt>
                <c:pt idx="410">
                  <c:v>-0.3</c:v>
                </c:pt>
                <c:pt idx="411">
                  <c:v>-0.3</c:v>
                </c:pt>
                <c:pt idx="412">
                  <c:v>-0.3</c:v>
                </c:pt>
                <c:pt idx="413">
                  <c:v>-0.3</c:v>
                </c:pt>
                <c:pt idx="414">
                  <c:v>-0.3</c:v>
                </c:pt>
                <c:pt idx="415">
                  <c:v>-0.3</c:v>
                </c:pt>
                <c:pt idx="416">
                  <c:v>-0.3</c:v>
                </c:pt>
                <c:pt idx="417">
                  <c:v>-0.3</c:v>
                </c:pt>
                <c:pt idx="418">
                  <c:v>-0.3</c:v>
                </c:pt>
                <c:pt idx="419">
                  <c:v>-0.3</c:v>
                </c:pt>
                <c:pt idx="420">
                  <c:v>-0.3</c:v>
                </c:pt>
                <c:pt idx="421">
                  <c:v>-0.3</c:v>
                </c:pt>
                <c:pt idx="422">
                  <c:v>-0.3</c:v>
                </c:pt>
                <c:pt idx="423">
                  <c:v>-0.3</c:v>
                </c:pt>
                <c:pt idx="424">
                  <c:v>-0.3</c:v>
                </c:pt>
                <c:pt idx="425">
                  <c:v>-0.3</c:v>
                </c:pt>
                <c:pt idx="426">
                  <c:v>-0.3</c:v>
                </c:pt>
                <c:pt idx="427">
                  <c:v>-0.3</c:v>
                </c:pt>
                <c:pt idx="428">
                  <c:v>-0.3</c:v>
                </c:pt>
                <c:pt idx="429">
                  <c:v>-0.3</c:v>
                </c:pt>
                <c:pt idx="430">
                  <c:v>-0.3</c:v>
                </c:pt>
                <c:pt idx="431">
                  <c:v>-0.3</c:v>
                </c:pt>
                <c:pt idx="432">
                  <c:v>-0.3</c:v>
                </c:pt>
                <c:pt idx="433">
                  <c:v>-0.3</c:v>
                </c:pt>
                <c:pt idx="434">
                  <c:v>-0.3</c:v>
                </c:pt>
                <c:pt idx="435">
                  <c:v>-0.3</c:v>
                </c:pt>
                <c:pt idx="436">
                  <c:v>-0.3</c:v>
                </c:pt>
                <c:pt idx="437">
                  <c:v>-0.3</c:v>
                </c:pt>
                <c:pt idx="438">
                  <c:v>-0.3</c:v>
                </c:pt>
                <c:pt idx="439">
                  <c:v>-0.3</c:v>
                </c:pt>
                <c:pt idx="440">
                  <c:v>-0.3</c:v>
                </c:pt>
                <c:pt idx="441">
                  <c:v>-0.3</c:v>
                </c:pt>
                <c:pt idx="442">
                  <c:v>-0.3</c:v>
                </c:pt>
                <c:pt idx="443">
                  <c:v>-0.3</c:v>
                </c:pt>
                <c:pt idx="444">
                  <c:v>-0.3</c:v>
                </c:pt>
                <c:pt idx="445">
                  <c:v>-0.3</c:v>
                </c:pt>
                <c:pt idx="446">
                  <c:v>-0.3</c:v>
                </c:pt>
                <c:pt idx="447">
                  <c:v>-0.3</c:v>
                </c:pt>
                <c:pt idx="448">
                  <c:v>-0.3</c:v>
                </c:pt>
                <c:pt idx="449">
                  <c:v>-0.3</c:v>
                </c:pt>
                <c:pt idx="450">
                  <c:v>-0.3</c:v>
                </c:pt>
                <c:pt idx="451">
                  <c:v>-0.3</c:v>
                </c:pt>
                <c:pt idx="452">
                  <c:v>-0.3</c:v>
                </c:pt>
                <c:pt idx="453">
                  <c:v>-0.3</c:v>
                </c:pt>
                <c:pt idx="454">
                  <c:v>-0.3</c:v>
                </c:pt>
                <c:pt idx="455">
                  <c:v>-0.3</c:v>
                </c:pt>
                <c:pt idx="456">
                  <c:v>-0.3</c:v>
                </c:pt>
                <c:pt idx="457">
                  <c:v>-0.3</c:v>
                </c:pt>
                <c:pt idx="458">
                  <c:v>-0.3</c:v>
                </c:pt>
                <c:pt idx="459">
                  <c:v>-0.3</c:v>
                </c:pt>
                <c:pt idx="460">
                  <c:v>-0.3</c:v>
                </c:pt>
                <c:pt idx="461">
                  <c:v>-0.3</c:v>
                </c:pt>
                <c:pt idx="462">
                  <c:v>-0.3</c:v>
                </c:pt>
                <c:pt idx="463">
                  <c:v>-0.3</c:v>
                </c:pt>
                <c:pt idx="464">
                  <c:v>-0.3</c:v>
                </c:pt>
                <c:pt idx="465">
                  <c:v>-0.3</c:v>
                </c:pt>
                <c:pt idx="466">
                  <c:v>-0.3</c:v>
                </c:pt>
                <c:pt idx="467">
                  <c:v>-0.3</c:v>
                </c:pt>
                <c:pt idx="468">
                  <c:v>-0.3</c:v>
                </c:pt>
                <c:pt idx="469">
                  <c:v>-0.3</c:v>
                </c:pt>
                <c:pt idx="470">
                  <c:v>-0.3</c:v>
                </c:pt>
                <c:pt idx="471">
                  <c:v>-0.3</c:v>
                </c:pt>
                <c:pt idx="472">
                  <c:v>-0.3</c:v>
                </c:pt>
                <c:pt idx="473">
                  <c:v>-0.3</c:v>
                </c:pt>
                <c:pt idx="474">
                  <c:v>-0.3</c:v>
                </c:pt>
                <c:pt idx="475">
                  <c:v>-0.3</c:v>
                </c:pt>
                <c:pt idx="476">
                  <c:v>-0.3</c:v>
                </c:pt>
                <c:pt idx="477">
                  <c:v>-0.3</c:v>
                </c:pt>
                <c:pt idx="478">
                  <c:v>-0.3</c:v>
                </c:pt>
                <c:pt idx="479">
                  <c:v>-0.3</c:v>
                </c:pt>
                <c:pt idx="480">
                  <c:v>-0.3</c:v>
                </c:pt>
                <c:pt idx="481">
                  <c:v>-0.3</c:v>
                </c:pt>
                <c:pt idx="482">
                  <c:v>-0.3</c:v>
                </c:pt>
                <c:pt idx="483">
                  <c:v>-0.3</c:v>
                </c:pt>
                <c:pt idx="484">
                  <c:v>-0.3</c:v>
                </c:pt>
                <c:pt idx="485">
                  <c:v>-0.3</c:v>
                </c:pt>
                <c:pt idx="486">
                  <c:v>-0.3</c:v>
                </c:pt>
                <c:pt idx="487">
                  <c:v>-0.3</c:v>
                </c:pt>
                <c:pt idx="488">
                  <c:v>-0.3</c:v>
                </c:pt>
                <c:pt idx="489">
                  <c:v>-0.3</c:v>
                </c:pt>
                <c:pt idx="490">
                  <c:v>-0.3</c:v>
                </c:pt>
                <c:pt idx="491">
                  <c:v>-0.3</c:v>
                </c:pt>
                <c:pt idx="492">
                  <c:v>-0.3</c:v>
                </c:pt>
                <c:pt idx="493">
                  <c:v>-0.3</c:v>
                </c:pt>
                <c:pt idx="494">
                  <c:v>-0.3</c:v>
                </c:pt>
                <c:pt idx="495">
                  <c:v>-0.3</c:v>
                </c:pt>
                <c:pt idx="496">
                  <c:v>-0.3</c:v>
                </c:pt>
                <c:pt idx="497">
                  <c:v>-0.3</c:v>
                </c:pt>
                <c:pt idx="498">
                  <c:v>-0.3</c:v>
                </c:pt>
                <c:pt idx="499">
                  <c:v>-0.3</c:v>
                </c:pt>
                <c:pt idx="500">
                  <c:v>-0.3</c:v>
                </c:pt>
                <c:pt idx="501">
                  <c:v>-0.3</c:v>
                </c:pt>
                <c:pt idx="502">
                  <c:v>-0.3</c:v>
                </c:pt>
                <c:pt idx="503">
                  <c:v>-0.3</c:v>
                </c:pt>
                <c:pt idx="504">
                  <c:v>-0.3</c:v>
                </c:pt>
                <c:pt idx="505">
                  <c:v>-0.3</c:v>
                </c:pt>
                <c:pt idx="506">
                  <c:v>-0.3</c:v>
                </c:pt>
                <c:pt idx="507">
                  <c:v>-0.3</c:v>
                </c:pt>
                <c:pt idx="508">
                  <c:v>-0.3</c:v>
                </c:pt>
                <c:pt idx="509">
                  <c:v>-0.3</c:v>
                </c:pt>
                <c:pt idx="510">
                  <c:v>-0.3</c:v>
                </c:pt>
                <c:pt idx="511">
                  <c:v>-0.3</c:v>
                </c:pt>
                <c:pt idx="512">
                  <c:v>-0.3</c:v>
                </c:pt>
                <c:pt idx="513">
                  <c:v>-0.3</c:v>
                </c:pt>
                <c:pt idx="514">
                  <c:v>-0.3</c:v>
                </c:pt>
                <c:pt idx="515">
                  <c:v>-0.3</c:v>
                </c:pt>
                <c:pt idx="516">
                  <c:v>-0.3</c:v>
                </c:pt>
                <c:pt idx="517">
                  <c:v>-0.3</c:v>
                </c:pt>
                <c:pt idx="518">
                  <c:v>-0.3</c:v>
                </c:pt>
                <c:pt idx="519">
                  <c:v>-0.3</c:v>
                </c:pt>
                <c:pt idx="520">
                  <c:v>-0.3</c:v>
                </c:pt>
                <c:pt idx="521">
                  <c:v>-0.3</c:v>
                </c:pt>
                <c:pt idx="522">
                  <c:v>-0.3</c:v>
                </c:pt>
                <c:pt idx="523">
                  <c:v>-0.3</c:v>
                </c:pt>
                <c:pt idx="524">
                  <c:v>-0.3</c:v>
                </c:pt>
                <c:pt idx="525">
                  <c:v>-0.3</c:v>
                </c:pt>
                <c:pt idx="526">
                  <c:v>-0.3</c:v>
                </c:pt>
                <c:pt idx="527">
                  <c:v>-0.3</c:v>
                </c:pt>
                <c:pt idx="528">
                  <c:v>-0.3</c:v>
                </c:pt>
                <c:pt idx="529">
                  <c:v>-0.3</c:v>
                </c:pt>
                <c:pt idx="530">
                  <c:v>-0.3</c:v>
                </c:pt>
                <c:pt idx="531">
                  <c:v>-0.3</c:v>
                </c:pt>
                <c:pt idx="532">
                  <c:v>-0.3</c:v>
                </c:pt>
                <c:pt idx="533">
                  <c:v>-0.3</c:v>
                </c:pt>
                <c:pt idx="534">
                  <c:v>-0.3</c:v>
                </c:pt>
                <c:pt idx="535">
                  <c:v>-0.3</c:v>
                </c:pt>
                <c:pt idx="536">
                  <c:v>-0.3</c:v>
                </c:pt>
                <c:pt idx="537">
                  <c:v>-0.3</c:v>
                </c:pt>
                <c:pt idx="538">
                  <c:v>-0.3</c:v>
                </c:pt>
                <c:pt idx="539">
                  <c:v>-0.3</c:v>
                </c:pt>
                <c:pt idx="540">
                  <c:v>-0.3</c:v>
                </c:pt>
                <c:pt idx="541">
                  <c:v>-0.3</c:v>
                </c:pt>
                <c:pt idx="542">
                  <c:v>-0.3</c:v>
                </c:pt>
                <c:pt idx="543">
                  <c:v>-0.3</c:v>
                </c:pt>
                <c:pt idx="544">
                  <c:v>-0.3</c:v>
                </c:pt>
                <c:pt idx="545">
                  <c:v>-0.3</c:v>
                </c:pt>
                <c:pt idx="546">
                  <c:v>-0.3</c:v>
                </c:pt>
                <c:pt idx="547">
                  <c:v>-0.3</c:v>
                </c:pt>
                <c:pt idx="548">
                  <c:v>-0.3</c:v>
                </c:pt>
                <c:pt idx="549">
                  <c:v>-0.3</c:v>
                </c:pt>
                <c:pt idx="550">
                  <c:v>-0.3</c:v>
                </c:pt>
                <c:pt idx="551">
                  <c:v>-0.3</c:v>
                </c:pt>
                <c:pt idx="552">
                  <c:v>-0.3</c:v>
                </c:pt>
                <c:pt idx="553">
                  <c:v>-0.3</c:v>
                </c:pt>
                <c:pt idx="554">
                  <c:v>-0.3</c:v>
                </c:pt>
                <c:pt idx="555">
                  <c:v>-0.3</c:v>
                </c:pt>
                <c:pt idx="556">
                  <c:v>-0.3</c:v>
                </c:pt>
                <c:pt idx="557">
                  <c:v>-0.3</c:v>
                </c:pt>
                <c:pt idx="558">
                  <c:v>-0.3</c:v>
                </c:pt>
                <c:pt idx="559">
                  <c:v>-0.3</c:v>
                </c:pt>
                <c:pt idx="560">
                  <c:v>-0.3</c:v>
                </c:pt>
                <c:pt idx="561">
                  <c:v>-0.3</c:v>
                </c:pt>
                <c:pt idx="562">
                  <c:v>-0.3</c:v>
                </c:pt>
                <c:pt idx="563">
                  <c:v>-0.3</c:v>
                </c:pt>
                <c:pt idx="564">
                  <c:v>-0.3</c:v>
                </c:pt>
                <c:pt idx="565">
                  <c:v>-0.3</c:v>
                </c:pt>
                <c:pt idx="566">
                  <c:v>-0.3</c:v>
                </c:pt>
                <c:pt idx="567">
                  <c:v>-0.3</c:v>
                </c:pt>
                <c:pt idx="568">
                  <c:v>-0.3</c:v>
                </c:pt>
                <c:pt idx="569">
                  <c:v>-0.3</c:v>
                </c:pt>
                <c:pt idx="570">
                  <c:v>-0.3</c:v>
                </c:pt>
                <c:pt idx="571">
                  <c:v>-0.3</c:v>
                </c:pt>
                <c:pt idx="572">
                  <c:v>-0.3</c:v>
                </c:pt>
                <c:pt idx="573">
                  <c:v>-0.3</c:v>
                </c:pt>
                <c:pt idx="574">
                  <c:v>-0.3</c:v>
                </c:pt>
                <c:pt idx="575">
                  <c:v>-0.3</c:v>
                </c:pt>
                <c:pt idx="576">
                  <c:v>-0.3</c:v>
                </c:pt>
                <c:pt idx="577">
                  <c:v>-0.3</c:v>
                </c:pt>
                <c:pt idx="578">
                  <c:v>-0.3</c:v>
                </c:pt>
                <c:pt idx="579">
                  <c:v>-0.3</c:v>
                </c:pt>
                <c:pt idx="580">
                  <c:v>-0.3</c:v>
                </c:pt>
                <c:pt idx="581">
                  <c:v>-0.3</c:v>
                </c:pt>
                <c:pt idx="582">
                  <c:v>-0.3</c:v>
                </c:pt>
                <c:pt idx="583">
                  <c:v>-0.3</c:v>
                </c:pt>
                <c:pt idx="584">
                  <c:v>-0.3</c:v>
                </c:pt>
                <c:pt idx="585">
                  <c:v>-0.3</c:v>
                </c:pt>
                <c:pt idx="586">
                  <c:v>-0.3</c:v>
                </c:pt>
                <c:pt idx="587">
                  <c:v>-0.3</c:v>
                </c:pt>
                <c:pt idx="588">
                  <c:v>-0.3</c:v>
                </c:pt>
                <c:pt idx="589">
                  <c:v>-0.3</c:v>
                </c:pt>
                <c:pt idx="590">
                  <c:v>-0.3</c:v>
                </c:pt>
                <c:pt idx="591">
                  <c:v>-0.3</c:v>
                </c:pt>
                <c:pt idx="592">
                  <c:v>-0.3</c:v>
                </c:pt>
                <c:pt idx="593">
                  <c:v>-0.3</c:v>
                </c:pt>
                <c:pt idx="594">
                  <c:v>-0.3</c:v>
                </c:pt>
                <c:pt idx="595">
                  <c:v>-0.3</c:v>
                </c:pt>
                <c:pt idx="596">
                  <c:v>-0.3</c:v>
                </c:pt>
                <c:pt idx="597">
                  <c:v>-0.3</c:v>
                </c:pt>
                <c:pt idx="598">
                  <c:v>-0.3</c:v>
                </c:pt>
                <c:pt idx="599">
                  <c:v>-0.3</c:v>
                </c:pt>
              </c:numCache>
            </c:numRef>
          </c:yVal>
          <c:smooth val="0"/>
          <c:extLst>
            <c:ext xmlns:c16="http://schemas.microsoft.com/office/drawing/2014/chart" uri="{C3380CC4-5D6E-409C-BE32-E72D297353CC}">
              <c16:uniqueId val="{00000000-0F5D-4E3A-9322-F0F604698747}"/>
            </c:ext>
          </c:extLst>
        </c:ser>
        <c:dLbls>
          <c:showLegendKey val="0"/>
          <c:showVal val="0"/>
          <c:showCatName val="0"/>
          <c:showSerName val="0"/>
          <c:showPercent val="0"/>
          <c:showBubbleSize val="0"/>
        </c:dLbls>
        <c:axId val="274207968"/>
        <c:axId val="2003947808"/>
      </c:scatterChart>
      <c:valAx>
        <c:axId val="2742079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947808"/>
        <c:crosses val="autoZero"/>
        <c:crossBetween val="midCat"/>
      </c:valAx>
      <c:valAx>
        <c:axId val="2003947808"/>
        <c:scaling>
          <c:orientation val="minMax"/>
          <c:max val="0.1"/>
          <c:min val="-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207968"/>
        <c:crossesAt val="1.0000000000000005E-8"/>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GammaBar</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Cumulant!$AD$4:$AD$11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F8BA-4E6A-AE49-166EDFC2D36B}"/>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a:t>/kHz</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981205793779573"/>
          <c:y val="8.3303672759845848E-2"/>
          <c:w val="0.84614566370009503"/>
          <c:h val="0.8262374053279946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3.791922581002953E-2"/>
                  <c:y val="0.14698993545066708"/>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Cumulant!$AH$4:$AH$11</c:f>
              <c:numCache>
                <c:formatCode>General</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1941-4BDA-90A5-DD9FF3A259BC}"/>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D</a:t>
                </a:r>
                <a:r>
                  <a:rPr lang="en-US" baseline="-25000">
                    <a:latin typeface="Arial" panose="020B0604020202020204" pitchFamily="34" charset="0"/>
                    <a:cs typeface="Arial" panose="020B0604020202020204" pitchFamily="34" charset="0"/>
                  </a:rPr>
                  <a:t>app</a:t>
                </a:r>
                <a:r>
                  <a:rPr lang="en-US">
                    <a:latin typeface="Arial" panose="020B0604020202020204" pitchFamily="34" charset="0"/>
                    <a:cs typeface="Arial" panose="020B0604020202020204" pitchFamily="34" charset="0"/>
                  </a:rPr>
                  <a:t>/10</a:t>
                </a:r>
                <a:r>
                  <a:rPr lang="en-US" baseline="30000">
                    <a:latin typeface="Arial" panose="020B0604020202020204" pitchFamily="34" charset="0"/>
                    <a:cs typeface="Arial" panose="020B0604020202020204" pitchFamily="34" charset="0"/>
                  </a:rPr>
                  <a:t>-7</a:t>
                </a:r>
                <a:r>
                  <a:rPr lang="en-US">
                    <a:latin typeface="Arial" panose="020B0604020202020204" pitchFamily="34" charset="0"/>
                    <a:cs typeface="Arial" panose="020B0604020202020204" pitchFamily="34" charset="0"/>
                  </a:rPr>
                  <a:t>cm</a:t>
                </a:r>
                <a:r>
                  <a:rPr lang="en-US" baseline="30000">
                    <a:latin typeface="Arial" panose="020B0604020202020204" pitchFamily="34" charset="0"/>
                    <a:cs typeface="Arial" panose="020B0604020202020204" pitchFamily="34" charset="0"/>
                  </a:rPr>
                  <a:t>2</a:t>
                </a:r>
                <a:r>
                  <a:rPr lang="en-US">
                    <a:latin typeface="Arial" panose="020B0604020202020204" pitchFamily="34" charset="0"/>
                    <a:cs typeface="Arial" panose="020B0604020202020204" pitchFamily="34" charset="0"/>
                  </a:rPr>
                  <a:t>.s</a:t>
                </a:r>
                <a:r>
                  <a:rPr lang="en-US" baseline="30000">
                    <a:latin typeface="Arial" panose="020B0604020202020204" pitchFamily="34" charset="0"/>
                    <a:cs typeface="Arial" panose="020B0604020202020204" pitchFamily="34" charset="0"/>
                  </a:rPr>
                  <a:t>-1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baseline="0">
                <a:latin typeface="Arial" panose="020B0604020202020204" pitchFamily="34" charset="0"/>
                <a:cs typeface="Arial" panose="020B0604020202020204" pitchFamily="34" charset="0"/>
              </a:rPr>
              <a:t> </a:t>
            </a:r>
            <a:r>
              <a:rPr lang="en-US" sz="1400" b="0" i="0" u="none" strike="noStrike" baseline="0">
                <a:effectLst/>
              </a:rPr>
              <a:t>vs</a:t>
            </a:r>
            <a:r>
              <a:rPr lang="en-US" baseline="0"/>
              <a:t> q</a:t>
            </a:r>
            <a:r>
              <a:rPr lang="en-US" baseline="30000"/>
              <a:t>2</a:t>
            </a:r>
          </a:p>
        </c:rich>
      </c:tx>
      <c:layout>
        <c:manualLayout>
          <c:xMode val="edge"/>
          <c:yMode val="edge"/>
          <c:x val="0.40576419792799884"/>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2626749880691095E-2"/>
                  <c:y val="8.4422150259882561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Cumulant!$AI$4:$AI$11</c:f>
              <c:numCache>
                <c:formatCode>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FDB1-475C-BD2D-D66727B19E25}"/>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Cumulant!$AJ$4:$AJ$11</c:f>
              <c:numCache>
                <c:formatCode>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FDB1-475C-BD2D-D66727B19E25}"/>
            </c:ext>
          </c:extLst>
        </c:ser>
        <c:ser>
          <c:idx val="2"/>
          <c:order val="2"/>
          <c:spPr>
            <a:ln w="25400" cap="rnd">
              <a:noFill/>
              <a:round/>
            </a:ln>
            <a:effectLst/>
          </c:spPr>
          <c:marker>
            <c:symbol val="circle"/>
            <c:size val="5"/>
            <c:spPr>
              <a:solidFill>
                <a:schemeClr val="accent3"/>
              </a:solidFill>
              <a:ln w="9525">
                <a:solidFill>
                  <a:schemeClr val="accent3"/>
                </a:solidFill>
              </a:ln>
              <a:effectLst/>
            </c:spPr>
          </c:marker>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Cumulant!$AK$4:$AK$11</c:f>
              <c:numCache>
                <c:formatCode>General</c:formatCode>
                <c:ptCount val="8"/>
              </c:numCache>
            </c:numRef>
          </c:yVal>
          <c:smooth val="0"/>
          <c:extLst>
            <c:ext xmlns:c16="http://schemas.microsoft.com/office/drawing/2014/chart" uri="{C3380CC4-5D6E-409C-BE32-E72D297353CC}">
              <c16:uniqueId val="{00000002-FDB1-475C-BD2D-D66727B19E25}"/>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R</a:t>
                </a:r>
                <a:r>
                  <a:rPr lang="en-US" baseline="-25000">
                    <a:latin typeface="Arial" panose="020B0604020202020204" pitchFamily="34" charset="0"/>
                    <a:cs typeface="Arial" panose="020B0604020202020204" pitchFamily="34" charset="0"/>
                  </a:rPr>
                  <a:t>h,app</a:t>
                </a:r>
                <a:r>
                  <a:rPr lang="en-US">
                    <a:latin typeface="Arial" panose="020B0604020202020204" pitchFamily="34" charset="0"/>
                    <a:cs typeface="Arial" panose="020B0604020202020204" pitchFamily="34" charset="0"/>
                  </a:rPr>
                  <a:t> / nm</a:t>
                </a:r>
              </a:p>
            </c:rich>
          </c:tx>
          <c:layout>
            <c:manualLayout>
              <c:xMode val="edge"/>
              <c:yMode val="edge"/>
              <c:x val="1.7934140349475672E-2"/>
              <c:y val="0.360535637870544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rial" panose="020B0604020202020204" pitchFamily="34" charset="0"/>
                <a:cs typeface="Arial" panose="020B0604020202020204" pitchFamily="34" charset="0"/>
              </a:rPr>
              <a:t>PDI      </a:t>
            </a:r>
            <a:r>
              <a:rPr lang="en-US">
                <a:latin typeface="Symbol" panose="05050102010706020507" pitchFamily="18" charset="2"/>
              </a:rPr>
              <a:t>m</a:t>
            </a:r>
            <a:r>
              <a:rPr lang="en-US" baseline="-25000">
                <a:latin typeface="Arial" panose="020B0604020202020204" pitchFamily="34" charset="0"/>
                <a:cs typeface="Arial" panose="020B0604020202020204" pitchFamily="34" charset="0"/>
              </a:rPr>
              <a:t>2</a:t>
            </a:r>
            <a:r>
              <a:rPr lang="en-US">
                <a:latin typeface="Symbol" panose="05050102010706020507" pitchFamily="18" charset="2"/>
              </a:rPr>
              <a:t>/G</a:t>
            </a:r>
            <a:r>
              <a:rPr lang="en-US" baseline="30000">
                <a:latin typeface="Arial" panose="020B0604020202020204" pitchFamily="34" charset="0"/>
                <a:cs typeface="Arial" panose="020B0604020202020204" pitchFamily="34" charset="0"/>
              </a:rPr>
              <a:t>2</a:t>
            </a:r>
            <a:r>
              <a:rPr lang="en-US" baseline="0"/>
              <a:t>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1"/>
            <c:dispRSqr val="1"/>
            <c:dispEq val="1"/>
            <c:trendlineLbl>
              <c:layout>
                <c:manualLayout>
                  <c:x val="4.1537820660570879E-2"/>
                  <c:y val="-0.3886173279493425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Cumulant!$AB$4:$AB$11</c:f>
              <c:numCache>
                <c:formatCode>General</c:formatCode>
                <c:ptCount val="8"/>
                <c:pt idx="0">
                  <c:v>0.83539659571578928</c:v>
                </c:pt>
                <c:pt idx="1">
                  <c:v>1.0632573310196394</c:v>
                </c:pt>
                <c:pt idx="2">
                  <c:v>1.6717113170812763</c:v>
                </c:pt>
                <c:pt idx="3">
                  <c:v>2.5109074140860783</c:v>
                </c:pt>
                <c:pt idx="4">
                  <c:v>3.4421746169521552</c:v>
                </c:pt>
                <c:pt idx="5">
                  <c:v>4.3278623586498979</c:v>
                </c:pt>
                <c:pt idx="6">
                  <c:v>5.0442201469639958</c:v>
                </c:pt>
                <c:pt idx="7">
                  <c:v>5.4728783595173853</c:v>
                </c:pt>
              </c:numCache>
            </c:numRef>
          </c:xVal>
          <c:yVal>
            <c:numRef>
              <c:f>Cumulant!$AJ$4:$AJ$11</c:f>
              <c:numCache>
                <c:formatCode>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0686-4A4D-AAA8-09FCF2B72BBD}"/>
            </c:ext>
          </c:extLst>
        </c:ser>
        <c:dLbls>
          <c:showLegendKey val="0"/>
          <c:showVal val="0"/>
          <c:showCatName val="0"/>
          <c:showSerName val="0"/>
          <c:showPercent val="0"/>
          <c:showBubbleSize val="0"/>
        </c:dLbls>
        <c:axId val="206537008"/>
        <c:axId val="120178976"/>
      </c:scatterChart>
      <c:valAx>
        <c:axId val="20653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/10</a:t>
                </a:r>
                <a:r>
                  <a:rPr lang="en-US" baseline="30000"/>
                  <a:t>10</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78976"/>
        <c:crosses val="autoZero"/>
        <c:crossBetween val="midCat"/>
      </c:valAx>
      <c:valAx>
        <c:axId val="120178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baseline="0">
                    <a:effectLst/>
                    <a:latin typeface="Symbol" panose="05050102010706020507" pitchFamily="18" charset="2"/>
                  </a:rPr>
                  <a:t>m</a:t>
                </a:r>
                <a:r>
                  <a:rPr lang="en-US" sz="1000" b="0" i="0" u="none" strike="noStrike" baseline="-25000">
                    <a:effectLst/>
                    <a:latin typeface="Symbol" panose="05050102010706020507" pitchFamily="18" charset="2"/>
                  </a:rPr>
                  <a:t>2</a:t>
                </a:r>
                <a:r>
                  <a:rPr lang="en-US" sz="1000" b="0" i="0" u="none" strike="noStrike" baseline="0">
                    <a:effectLst/>
                  </a:rPr>
                  <a:t>/</a:t>
                </a:r>
                <a:r>
                  <a:rPr lang="en-US" sz="1000" b="0" i="0" u="none" strike="noStrike" baseline="0">
                    <a:effectLst/>
                    <a:latin typeface="Symbol" panose="05050102010706020507" pitchFamily="18" charset="2"/>
                  </a:rPr>
                  <a:t>G</a:t>
                </a:r>
                <a:r>
                  <a:rPr lang="en-US" sz="1000" b="0" i="0" u="none" strike="noStrike" baseline="30000">
                    <a:effectLst/>
                  </a:rPr>
                  <a:t>2</a:t>
                </a:r>
                <a:r>
                  <a:rPr lang="en-US" sz="1000" b="0" i="0" u="none" strike="noStrike" baseline="0">
                    <a:effectLst/>
                  </a:rPr>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26332921794668"/>
          <c:y val="9.7639155587197421E-2"/>
          <c:w val="0.54521194565705189"/>
          <c:h val="0.77346466770556177"/>
        </c:manualLayout>
      </c:layout>
      <c:lineChart>
        <c:grouping val="standard"/>
        <c:varyColors val="0"/>
        <c:ser>
          <c:idx val="8"/>
          <c:order val="8"/>
          <c:tx>
            <c:v>Rg</c:v>
          </c:tx>
          <c:spPr>
            <a:ln w="25400" cap="rnd">
              <a:solidFill>
                <a:srgbClr val="7030A0"/>
              </a:solidFill>
              <a:round/>
            </a:ln>
            <a:effectLst/>
          </c:spPr>
          <c:marker>
            <c:symbol val="none"/>
          </c:marker>
          <c:cat>
            <c:numRef>
              <c:f>Trend!$F$15:$Y$15</c:f>
              <c:numCache>
                <c:formatCode>General</c:formatCode>
                <c:ptCount val="20"/>
              </c:numCache>
            </c:numRef>
          </c:cat>
          <c:val>
            <c:numRef>
              <c:f>Trend!$F$149:$Y$149</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5556-4E08-8193-46BDDDC706B2}"/>
            </c:ext>
          </c:extLst>
        </c:ser>
        <c:ser>
          <c:idx val="9"/>
          <c:order val="9"/>
          <c:tx>
            <c:v>Rh,q=0</c:v>
          </c:tx>
          <c:spPr>
            <a:ln w="25400" cap="rnd">
              <a:solidFill>
                <a:srgbClr val="CE029D">
                  <a:alpha val="87000"/>
                </a:srgbClr>
              </a:solidFill>
              <a:round/>
            </a:ln>
            <a:effectLst/>
          </c:spPr>
          <c:marker>
            <c:symbol val="none"/>
          </c:marker>
          <c:cat>
            <c:numRef>
              <c:f>Trend!$F$15:$Y$15</c:f>
              <c:numCache>
                <c:formatCode>General</c:formatCode>
                <c:ptCount val="20"/>
              </c:numCache>
            </c:numRef>
          </c:cat>
          <c:val>
            <c:numRef>
              <c:f>Trend!$F$162:$Y$162</c:f>
              <c:numCache>
                <c:formatCode>0.00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1-5556-4E08-8193-46BDDDC706B2}"/>
            </c:ext>
          </c:extLst>
        </c:ser>
        <c:dLbls>
          <c:showLegendKey val="0"/>
          <c:showVal val="0"/>
          <c:showCatName val="0"/>
          <c:showSerName val="0"/>
          <c:showPercent val="0"/>
          <c:showBubbleSize val="0"/>
        </c:dLbls>
        <c:marker val="1"/>
        <c:smooth val="0"/>
        <c:axId val="489708511"/>
        <c:axId val="737099839"/>
      </c:lineChart>
      <c:lineChart>
        <c:grouping val="standard"/>
        <c:varyColors val="0"/>
        <c:ser>
          <c:idx val="10"/>
          <c:order val="10"/>
          <c:tx>
            <c:v>I(q=0)</c:v>
          </c:tx>
          <c:spPr>
            <a:ln w="25400" cap="rnd">
              <a:solidFill>
                <a:schemeClr val="tx1"/>
              </a:solidFill>
              <a:round/>
            </a:ln>
            <a:effectLst/>
          </c:spPr>
          <c:marker>
            <c:symbol val="none"/>
          </c:marker>
          <c:cat>
            <c:numRef>
              <c:f>Trend!$F$15:$Y$15</c:f>
              <c:numCache>
                <c:formatCode>General</c:formatCode>
                <c:ptCount val="20"/>
              </c:numCache>
            </c:numRef>
          </c:cat>
          <c:val>
            <c:numRef>
              <c:f>Trend!$F$150:$Y$150</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2-5556-4E08-8193-46BDDDC706B2}"/>
            </c:ext>
          </c:extLst>
        </c:ser>
        <c:dLbls>
          <c:showLegendKey val="0"/>
          <c:showVal val="0"/>
          <c:showCatName val="0"/>
          <c:showSerName val="0"/>
          <c:showPercent val="0"/>
          <c:showBubbleSize val="0"/>
        </c:dLbls>
        <c:marker val="1"/>
        <c:smooth val="0"/>
        <c:axId val="962842464"/>
        <c:axId val="831110080"/>
      </c:lineChart>
      <c:scatterChart>
        <c:scatterStyle val="lineMarker"/>
        <c:varyColors val="0"/>
        <c:ser>
          <c:idx val="0"/>
          <c:order val="0"/>
          <c:tx>
            <c:v>44 deg</c:v>
          </c:tx>
          <c:spPr>
            <a:ln w="25400" cap="rnd">
              <a:noFill/>
              <a:round/>
            </a:ln>
            <a:effectLst/>
          </c:spPr>
          <c:marker>
            <c:symbol val="circle"/>
            <c:size val="5"/>
            <c:spPr>
              <a:solidFill>
                <a:srgbClr val="00B050"/>
              </a:solidFill>
              <a:ln w="9525">
                <a:solidFill>
                  <a:srgbClr val="00B050"/>
                </a:solidFill>
              </a:ln>
              <a:effectLst/>
            </c:spPr>
          </c:marker>
          <c:xVal>
            <c:numRef>
              <c:f>Trend!$F$15:$Y$15</c:f>
              <c:numCache>
                <c:formatCode>General</c:formatCode>
                <c:ptCount val="20"/>
              </c:numCache>
            </c:numRef>
          </c:xVal>
          <c:yVal>
            <c:numRef>
              <c:f>Trend!$F$22:$Y$22</c:f>
              <c:numCache>
                <c:formatCode>General</c:formatCode>
                <c:ptCount val="20"/>
              </c:numCache>
            </c:numRef>
          </c:yVal>
          <c:smooth val="0"/>
          <c:extLst xmlns:c15="http://schemas.microsoft.com/office/drawing/2012/chart">
            <c:ext xmlns:c16="http://schemas.microsoft.com/office/drawing/2014/chart" uri="{C3380CC4-5D6E-409C-BE32-E72D297353CC}">
              <c16:uniqueId val="{00000000-EDF8-4CB0-AEFA-2B72749BF021}"/>
            </c:ext>
          </c:extLst>
        </c:ser>
        <c:ser>
          <c:idx val="1"/>
          <c:order val="1"/>
          <c:tx>
            <c:v>50 deg</c:v>
          </c:tx>
          <c:spPr>
            <a:ln w="25400" cap="rnd">
              <a:noFill/>
              <a:round/>
            </a:ln>
            <a:effectLst/>
          </c:spPr>
          <c:marker>
            <c:symbol val="circle"/>
            <c:size val="5"/>
            <c:spPr>
              <a:solidFill>
                <a:srgbClr val="FF0000"/>
              </a:solidFill>
              <a:ln w="9525">
                <a:solidFill>
                  <a:srgbClr val="FF0000"/>
                </a:solidFill>
              </a:ln>
              <a:effectLst/>
            </c:spPr>
          </c:marker>
          <c:xVal>
            <c:strRef>
              <c:f>Trend!$F$14:$Y$15</c:f>
              <c:strCache>
                <c:ptCount val="1"/>
                <c:pt idx="0">
                  <c:v>   RESULTS BELOW ARE POPULATED BY CODE</c:v>
                </c:pt>
              </c:strCache>
            </c:strRef>
          </c:xVal>
          <c:yVal>
            <c:numRef>
              <c:f>Trend!$F$34:$Y$34</c:f>
              <c:numCache>
                <c:formatCode>General</c:formatCode>
                <c:ptCount val="20"/>
              </c:numCache>
            </c:numRef>
          </c:yVal>
          <c:smooth val="0"/>
          <c:extLst>
            <c:ext xmlns:c16="http://schemas.microsoft.com/office/drawing/2014/chart" uri="{C3380CC4-5D6E-409C-BE32-E72D297353CC}">
              <c16:uniqueId val="{00000001-EDF8-4CB0-AEFA-2B72749BF021}"/>
            </c:ext>
          </c:extLst>
        </c:ser>
        <c:ser>
          <c:idx val="2"/>
          <c:order val="2"/>
          <c:tx>
            <c:v>64 deg</c:v>
          </c:tx>
          <c:spPr>
            <a:ln w="25400" cap="rnd">
              <a:noFill/>
              <a:round/>
            </a:ln>
            <a:effectLst/>
          </c:spPr>
          <c:marker>
            <c:symbol val="circle"/>
            <c:size val="5"/>
            <c:spPr>
              <a:solidFill>
                <a:srgbClr val="FFFF00"/>
              </a:solidFill>
              <a:ln w="9525">
                <a:solidFill>
                  <a:schemeClr val="tx1"/>
                </a:solidFill>
              </a:ln>
              <a:effectLst/>
            </c:spPr>
          </c:marker>
          <c:xVal>
            <c:numRef>
              <c:f>Trend!$F$15:$Y$15</c:f>
              <c:numCache>
                <c:formatCode>General</c:formatCode>
                <c:ptCount val="20"/>
              </c:numCache>
            </c:numRef>
          </c:xVal>
          <c:yVal>
            <c:numRef>
              <c:f>Trend!$F$46:$Y$46</c:f>
              <c:numCache>
                <c:formatCode>General</c:formatCode>
                <c:ptCount val="20"/>
              </c:numCache>
            </c:numRef>
          </c:yVal>
          <c:smooth val="0"/>
          <c:extLst>
            <c:ext xmlns:c16="http://schemas.microsoft.com/office/drawing/2014/chart" uri="{C3380CC4-5D6E-409C-BE32-E72D297353CC}">
              <c16:uniqueId val="{00000002-EDF8-4CB0-AEFA-2B72749BF021}"/>
            </c:ext>
          </c:extLst>
        </c:ser>
        <c:ser>
          <c:idx val="3"/>
          <c:order val="3"/>
          <c:tx>
            <c:v>81 deg</c:v>
          </c:tx>
          <c:spPr>
            <a:ln w="25400" cap="rnd">
              <a:noFill/>
              <a:round/>
            </a:ln>
            <a:effectLst/>
          </c:spPr>
          <c:marker>
            <c:symbol val="circle"/>
            <c:size val="5"/>
            <c:spPr>
              <a:solidFill>
                <a:srgbClr val="00B0F0"/>
              </a:solidFill>
              <a:ln w="9525">
                <a:solidFill>
                  <a:srgbClr val="00B0F0"/>
                </a:solidFill>
              </a:ln>
              <a:effectLst/>
            </c:spPr>
          </c:marker>
          <c:xVal>
            <c:numRef>
              <c:f>Trend!$F$15:$Y$15</c:f>
              <c:numCache>
                <c:formatCode>General</c:formatCode>
                <c:ptCount val="20"/>
              </c:numCache>
            </c:numRef>
          </c:xVal>
          <c:yVal>
            <c:numRef>
              <c:f>Trend!$F$58:$Y$58</c:f>
              <c:numCache>
                <c:formatCode>General</c:formatCode>
                <c:ptCount val="20"/>
              </c:numCache>
            </c:numRef>
          </c:yVal>
          <c:smooth val="0"/>
          <c:extLst>
            <c:ext xmlns:c16="http://schemas.microsoft.com/office/drawing/2014/chart" uri="{C3380CC4-5D6E-409C-BE32-E72D297353CC}">
              <c16:uniqueId val="{00000003-EDF8-4CB0-AEFA-2B72749BF021}"/>
            </c:ext>
          </c:extLst>
        </c:ser>
        <c:ser>
          <c:idx val="4"/>
          <c:order val="4"/>
          <c:tx>
            <c:v>99 deg</c:v>
          </c:tx>
          <c:spPr>
            <a:ln w="25400" cap="rnd">
              <a:noFill/>
              <a:round/>
            </a:ln>
            <a:effectLst/>
          </c:spPr>
          <c:marker>
            <c:symbol val="circle"/>
            <c:size val="5"/>
            <c:spPr>
              <a:solidFill>
                <a:schemeClr val="accent3">
                  <a:lumMod val="75000"/>
                </a:schemeClr>
              </a:solidFill>
              <a:ln w="9525">
                <a:solidFill>
                  <a:schemeClr val="accent3">
                    <a:lumMod val="75000"/>
                  </a:schemeClr>
                </a:solidFill>
              </a:ln>
              <a:effectLst/>
            </c:spPr>
          </c:marker>
          <c:xVal>
            <c:numRef>
              <c:f>Trend!$F$15:$Y$15</c:f>
              <c:numCache>
                <c:formatCode>General</c:formatCode>
                <c:ptCount val="20"/>
              </c:numCache>
            </c:numRef>
          </c:xVal>
          <c:yVal>
            <c:numRef>
              <c:f>Trend!$F$70:$Y$70</c:f>
              <c:numCache>
                <c:formatCode>General</c:formatCode>
                <c:ptCount val="20"/>
              </c:numCache>
            </c:numRef>
          </c:yVal>
          <c:smooth val="0"/>
          <c:extLst>
            <c:ext xmlns:c16="http://schemas.microsoft.com/office/drawing/2014/chart" uri="{C3380CC4-5D6E-409C-BE32-E72D297353CC}">
              <c16:uniqueId val="{00000004-EDF8-4CB0-AEFA-2B72749BF021}"/>
            </c:ext>
          </c:extLst>
        </c:ser>
        <c:ser>
          <c:idx val="5"/>
          <c:order val="5"/>
          <c:tx>
            <c:v>117 deg</c:v>
          </c:tx>
          <c:spPr>
            <a:ln w="25400" cap="rnd">
              <a:noFill/>
              <a:round/>
            </a:ln>
            <a:effectLst/>
          </c:spPr>
          <c:marker>
            <c:symbol val="circle"/>
            <c:size val="5"/>
            <c:spPr>
              <a:solidFill>
                <a:srgbClr val="C00000"/>
              </a:solidFill>
              <a:ln w="9525">
                <a:solidFill>
                  <a:srgbClr val="C00000"/>
                </a:solidFill>
              </a:ln>
              <a:effectLst/>
            </c:spPr>
          </c:marker>
          <c:xVal>
            <c:numRef>
              <c:f>Trend!$F$15:$Y$15</c:f>
              <c:numCache>
                <c:formatCode>General</c:formatCode>
                <c:ptCount val="20"/>
              </c:numCache>
            </c:numRef>
          </c:xVal>
          <c:yVal>
            <c:numRef>
              <c:f>Trend!$F$82:$Y$82</c:f>
              <c:numCache>
                <c:formatCode>General</c:formatCode>
                <c:ptCount val="20"/>
              </c:numCache>
            </c:numRef>
          </c:yVal>
          <c:smooth val="0"/>
          <c:extLst>
            <c:ext xmlns:c16="http://schemas.microsoft.com/office/drawing/2014/chart" uri="{C3380CC4-5D6E-409C-BE32-E72D297353CC}">
              <c16:uniqueId val="{00000005-EDF8-4CB0-AEFA-2B72749BF021}"/>
            </c:ext>
          </c:extLst>
        </c:ser>
        <c:ser>
          <c:idx val="6"/>
          <c:order val="6"/>
          <c:tx>
            <c:v>134 deg</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Trend!$F$15:$Y$15</c:f>
              <c:numCache>
                <c:formatCode>General</c:formatCode>
                <c:ptCount val="20"/>
              </c:numCache>
            </c:numRef>
          </c:xVal>
          <c:yVal>
            <c:numRef>
              <c:f>Trend!$F$94:$Y$94</c:f>
              <c:numCache>
                <c:formatCode>General</c:formatCode>
                <c:ptCount val="20"/>
              </c:numCache>
            </c:numRef>
          </c:yVal>
          <c:smooth val="0"/>
          <c:extLst>
            <c:ext xmlns:c16="http://schemas.microsoft.com/office/drawing/2014/chart" uri="{C3380CC4-5D6E-409C-BE32-E72D297353CC}">
              <c16:uniqueId val="{00000006-EDF8-4CB0-AEFA-2B72749BF021}"/>
            </c:ext>
          </c:extLst>
        </c:ser>
        <c:ser>
          <c:idx val="7"/>
          <c:order val="7"/>
          <c:tx>
            <c:v>147 deg</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Trend!$F$15:$Y$15</c:f>
              <c:numCache>
                <c:formatCode>General</c:formatCode>
                <c:ptCount val="20"/>
              </c:numCache>
            </c:numRef>
          </c:xVal>
          <c:yVal>
            <c:numRef>
              <c:f>Trend!$F$106:$Y$106</c:f>
              <c:numCache>
                <c:formatCode>General</c:formatCode>
                <c:ptCount val="20"/>
              </c:numCache>
            </c:numRef>
          </c:yVal>
          <c:smooth val="0"/>
          <c:extLst>
            <c:ext xmlns:c16="http://schemas.microsoft.com/office/drawing/2014/chart" uri="{C3380CC4-5D6E-409C-BE32-E72D297353CC}">
              <c16:uniqueId val="{00000007-EDF8-4CB0-AEFA-2B72749BF021}"/>
            </c:ext>
          </c:extLst>
        </c:ser>
        <c:dLbls>
          <c:showLegendKey val="0"/>
          <c:showVal val="0"/>
          <c:showCatName val="0"/>
          <c:showSerName val="0"/>
          <c:showPercent val="0"/>
          <c:showBubbleSize val="0"/>
        </c:dLbls>
        <c:axId val="489708511"/>
        <c:axId val="737099839"/>
      </c:scatterChart>
      <c:catAx>
        <c:axId val="48970851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Run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7099839"/>
        <c:crosses val="autoZero"/>
        <c:auto val="1"/>
        <c:lblAlgn val="ctr"/>
        <c:lblOffset val="100"/>
        <c:tickMarkSkip val="1"/>
        <c:noMultiLvlLbl val="1"/>
      </c:catAx>
      <c:valAx>
        <c:axId val="737099839"/>
        <c:scaling>
          <c:orientation val="minMax"/>
          <c:max val="4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t>
                </a:r>
                <a:r>
                  <a:rPr lang="en-US"/>
                  <a:t> or R</a:t>
                </a:r>
                <a:r>
                  <a:rPr lang="en-US" baseline="-25000"/>
                  <a:t>g</a:t>
                </a:r>
                <a:r>
                  <a:rPr lang="en-US"/>
                  <a:t> / 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708511"/>
        <c:crosses val="autoZero"/>
        <c:crossBetween val="between"/>
      </c:valAx>
      <c:valAx>
        <c:axId val="83111008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I(q=0)/arbitrary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842464"/>
        <c:crosses val="max"/>
        <c:crossBetween val="between"/>
      </c:valAx>
      <c:catAx>
        <c:axId val="962842464"/>
        <c:scaling>
          <c:orientation val="minMax"/>
        </c:scaling>
        <c:delete val="1"/>
        <c:axPos val="t"/>
        <c:numFmt formatCode="General" sourceLinked="1"/>
        <c:majorTickMark val="out"/>
        <c:minorTickMark val="none"/>
        <c:tickLblPos val="nextTo"/>
        <c:crossAx val="831110080"/>
        <c:crosses val="max"/>
        <c:auto val="1"/>
        <c:lblAlgn val="ctr"/>
        <c:lblOffset val="100"/>
        <c:noMultiLvlLbl val="0"/>
      </c:catAx>
      <c:spPr>
        <a:noFill/>
        <a:ln>
          <a:noFill/>
        </a:ln>
        <a:effectLst/>
      </c:spPr>
    </c:plotArea>
    <c:legend>
      <c:legendPos val="r"/>
      <c:layout>
        <c:manualLayout>
          <c:xMode val="edge"/>
          <c:yMode val="edge"/>
          <c:x val="0.77066929133858275"/>
          <c:y val="3.638594404290936E-2"/>
          <c:w val="0.15902901952144188"/>
          <c:h val="0.9473059534205465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43243744531933509"/>
          <c:y val="2.59179309736111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178937007874017"/>
          <c:y val="0.10214930054749079"/>
          <c:w val="0.79050918635170608"/>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4.8994313210848642E-2"/>
                  <c:y val="0.2856974534873528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0</c:v>
                </c:pt>
                <c:pt idx="1">
                  <c:v>0</c:v>
                </c:pt>
                <c:pt idx="2">
                  <c:v>0</c:v>
                </c:pt>
                <c:pt idx="3">
                  <c:v>0</c:v>
                </c:pt>
                <c:pt idx="4">
                  <c:v>0</c:v>
                </c:pt>
                <c:pt idx="5">
                  <c:v>0</c:v>
                </c:pt>
                <c:pt idx="6">
                  <c:v>0</c:v>
                </c:pt>
                <c:pt idx="7">
                  <c:v>0</c:v>
                </c:pt>
              </c:numCache>
            </c:numRef>
          </c:xVal>
          <c:yVal>
            <c:numRef>
              <c:f>Trend!$F$129:$F$136</c:f>
              <c:numCache>
                <c:formatCode>General</c:formatCode>
                <c:ptCount val="8"/>
                <c:pt idx="0">
                  <c:v>-2.8827333287483386E-3</c:v>
                </c:pt>
                <c:pt idx="1">
                  <c:v>-2.6977841672290756E-3</c:v>
                </c:pt>
                <c:pt idx="2">
                  <c:v>-4.8269984776868396E-3</c:v>
                </c:pt>
                <c:pt idx="3">
                  <c:v>-2.7213510721800001E-3</c:v>
                </c:pt>
                <c:pt idx="4">
                  <c:v>-6.2692700241599999E-3</c:v>
                </c:pt>
                <c:pt idx="5">
                  <c:v>-5.2501507058399987E-3</c:v>
                </c:pt>
                <c:pt idx="6">
                  <c:v>-7.3409359160982006E-3</c:v>
                </c:pt>
                <c:pt idx="7">
                  <c:v>-5.7930673068900002E-3</c:v>
                </c:pt>
              </c:numCache>
            </c:numRef>
          </c:yVal>
          <c:smooth val="0"/>
          <c:extLst>
            <c:ext xmlns:c16="http://schemas.microsoft.com/office/drawing/2014/chart" uri="{C3380CC4-5D6E-409C-BE32-E72D297353CC}">
              <c16:uniqueId val="{00000000-B3C3-477B-90EB-087260E21CB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Intensity or </a:t>
                </a:r>
                <a:r>
                  <a:rPr lang="en-US">
                    <a:latin typeface="Script MT Bold" panose="03040602040607080904" pitchFamily="66" charset="0"/>
                  </a:rPr>
                  <a:t>ln</a:t>
                </a:r>
                <a:r>
                  <a:rPr lang="en-US"/>
                  <a:t>(Intensity)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800"/>
              <a:t>Normalized, baseline-subtracted Intensity vs q</a:t>
            </a:r>
            <a:r>
              <a:rPr lang="en-US" sz="800" baseline="30000"/>
              <a:t>2</a:t>
            </a:r>
          </a:p>
        </c:rich>
      </c:tx>
      <c:layout>
        <c:manualLayout>
          <c:xMode val="edge"/>
          <c:yMode val="edge"/>
          <c:x val="0.29564984736242117"/>
          <c:y val="4.231475483739548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924935320934936"/>
          <c:y val="0.10214930054749079"/>
          <c:w val="0.74649936021221719"/>
          <c:h val="0.68789403035561136"/>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backward val="8000000000"/>
            <c:dispRSqr val="1"/>
            <c:dispEq val="1"/>
            <c:trendlineLbl>
              <c:layout>
                <c:manualLayout>
                  <c:x val="2.3933415696347299E-2"/>
                  <c:y val="0.3210485452808859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Trend!$D$129:$D$136</c:f>
              <c:numCache>
                <c:formatCode>0.00E+00</c:formatCode>
                <c:ptCount val="8"/>
                <c:pt idx="0">
                  <c:v>0</c:v>
                </c:pt>
                <c:pt idx="1">
                  <c:v>0</c:v>
                </c:pt>
                <c:pt idx="2">
                  <c:v>0</c:v>
                </c:pt>
                <c:pt idx="3">
                  <c:v>0</c:v>
                </c:pt>
                <c:pt idx="4">
                  <c:v>0</c:v>
                </c:pt>
                <c:pt idx="5">
                  <c:v>0</c:v>
                </c:pt>
                <c:pt idx="6">
                  <c:v>0</c:v>
                </c:pt>
                <c:pt idx="7">
                  <c:v>0</c:v>
                </c:pt>
              </c:numCache>
            </c:numRef>
          </c:xVal>
          <c:yVal>
            <c:numRef>
              <c:f>Trend!$F$152:$F$159</c:f>
              <c:numCache>
                <c:formatCode>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ECCA-4E4F-9B8F-B6366728BD1E}"/>
            </c:ext>
          </c:extLst>
        </c:ser>
        <c:dLbls>
          <c:showLegendKey val="0"/>
          <c:showVal val="0"/>
          <c:showCatName val="0"/>
          <c:showSerName val="0"/>
          <c:showPercent val="0"/>
          <c:showBubbleSize val="0"/>
        </c:dLbls>
        <c:axId val="159631327"/>
        <c:axId val="164566767"/>
      </c:scatterChart>
      <c:valAx>
        <c:axId val="1596313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a:t>/cm</a:t>
                </a:r>
                <a:r>
                  <a:rPr lang="en-US" baseline="30000"/>
                  <a:t>-2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566767"/>
        <c:crosses val="autoZero"/>
        <c:crossBetween val="midCat"/>
      </c:valAx>
      <c:valAx>
        <c:axId val="164566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h,app</a:t>
                </a:r>
                <a:r>
                  <a:rPr lang="en-US"/>
                  <a:t>/nm</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13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2.png"/><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1.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image" Target="../media/image22.png"/><Relationship Id="rId5" Type="http://schemas.openxmlformats.org/officeDocument/2006/relationships/chart" Target="../charts/chart10.xml"/><Relationship Id="rId4"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5" Type="http://schemas.openxmlformats.org/officeDocument/2006/relationships/image" Target="../media/image7.emf"/><Relationship Id="rId4" Type="http://schemas.openxmlformats.org/officeDocument/2006/relationships/image" Target="../media/image6.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5" Type="http://schemas.openxmlformats.org/officeDocument/2006/relationships/image" Target="../media/image17.emf"/><Relationship Id="rId4" Type="http://schemas.openxmlformats.org/officeDocument/2006/relationships/image" Target="../media/image16.emf"/><Relationship Id="rId9"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0</xdr:col>
      <xdr:colOff>161924</xdr:colOff>
      <xdr:row>0</xdr:row>
      <xdr:rowOff>76198</xdr:rowOff>
    </xdr:from>
    <xdr:to>
      <xdr:col>14</xdr:col>
      <xdr:colOff>76200</xdr:colOff>
      <xdr:row>59</xdr:row>
      <xdr:rowOff>152399</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61924" y="76198"/>
          <a:ext cx="8448676" cy="11315701"/>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effectLst/>
              <a:latin typeface="+mn-lt"/>
              <a:ea typeface="+mn-ea"/>
              <a:cs typeface="+mn-cs"/>
            </a:rPr>
            <a:t>SMALS Multirun is a</a:t>
          </a:r>
          <a:r>
            <a:rPr lang="en-US" sz="1100" baseline="0">
              <a:solidFill>
                <a:schemeClr val="dk1"/>
              </a:solidFill>
              <a:effectLst/>
              <a:latin typeface="+mn-lt"/>
              <a:ea typeface="+mn-ea"/>
              <a:cs typeface="+mn-cs"/>
            </a:rPr>
            <a:t> macro-enabled Excel workbook</a:t>
          </a:r>
          <a:endParaRPr lang="en-US">
            <a:effectLst/>
          </a:endParaRPr>
        </a:p>
        <a:p>
          <a:r>
            <a:rPr lang="en-US" sz="1100" baseline="0">
              <a:solidFill>
                <a:schemeClr val="dk1"/>
              </a:solidFill>
              <a:effectLst/>
              <a:latin typeface="+mn-lt"/>
              <a:ea typeface="+mn-ea"/>
              <a:cs typeface="+mn-cs"/>
            </a:rPr>
            <a:t>Partly based on: </a:t>
          </a:r>
          <a:r>
            <a:rPr lang="en-US" sz="1100">
              <a:solidFill>
                <a:schemeClr val="dk1"/>
              </a:solidFill>
              <a:effectLst/>
              <a:latin typeface="+mn-lt"/>
              <a:ea typeface="+mn-ea"/>
              <a:cs typeface="+mn-cs"/>
            </a:rPr>
            <a:t>Alyssa_ReadNewALV_2_MultiRun.xlsm for the one-detector</a:t>
          </a:r>
          <a:r>
            <a:rPr lang="en-US" sz="1100" baseline="0">
              <a:solidFill>
                <a:schemeClr val="dk1"/>
              </a:solidFill>
              <a:effectLst/>
              <a:latin typeface="+mn-lt"/>
              <a:ea typeface="+mn-ea"/>
              <a:cs typeface="+mn-cs"/>
            </a:rPr>
            <a:t> "new" ALV*</a:t>
          </a:r>
          <a:endParaRPr lang="en-US">
            <a:effectLst/>
          </a:endParaRPr>
        </a:p>
        <a:p>
          <a:r>
            <a:rPr lang="en-US" sz="1100" baseline="0">
              <a:solidFill>
                <a:schemeClr val="dk1"/>
              </a:solidFill>
              <a:effectLst/>
              <a:latin typeface="+mn-lt"/>
              <a:ea typeface="+mn-ea"/>
              <a:cs typeface="+mn-cs"/>
            </a:rPr>
            <a:t>Paul Russo</a:t>
          </a:r>
          <a:endParaRPr lang="en-US">
            <a:effectLst/>
          </a:endParaRPr>
        </a:p>
        <a:p>
          <a:r>
            <a:rPr lang="en-US" sz="1100" baseline="0">
              <a:solidFill>
                <a:schemeClr val="dk1"/>
              </a:solidFill>
              <a:effectLst/>
              <a:latin typeface="+mn-lt"/>
              <a:ea typeface="+mn-ea"/>
              <a:cs typeface="+mn-cs"/>
            </a:rPr>
            <a:t>Updated May 2024</a:t>
          </a:r>
          <a:endParaRPr lang="en-US">
            <a:effectLst/>
          </a:endParaRPr>
        </a:p>
        <a:p>
          <a:r>
            <a:rPr lang="en-US" sz="1100" baseline="0">
              <a:solidFill>
                <a:schemeClr val="dk1"/>
              </a:solidFill>
              <a:effectLst/>
              <a:latin typeface="+mn-lt"/>
              <a:ea typeface="+mn-ea"/>
              <a:cs typeface="+mn-cs"/>
            </a:rPr>
            <a:t>NORMAL USE</a:t>
          </a:r>
          <a:endParaRPr lang="en-US">
            <a:effectLst/>
          </a:endParaRPr>
        </a:p>
        <a:p>
          <a:r>
            <a:rPr lang="en-US" sz="1100" baseline="0">
              <a:solidFill>
                <a:schemeClr val="dk1"/>
              </a:solidFill>
              <a:effectLst/>
              <a:latin typeface="+mn-lt"/>
              <a:ea typeface="+mn-ea"/>
              <a:cs typeface="+mn-cs"/>
            </a:rPr>
            <a:t>1. Ensure your parameters are correct. </a:t>
          </a:r>
          <a:endParaRPr lang="en-US">
            <a:effectLst/>
          </a:endParaRPr>
        </a:p>
        <a:p>
          <a:r>
            <a:rPr lang="en-US" sz="1100" baseline="0">
              <a:solidFill>
                <a:schemeClr val="dk1"/>
              </a:solidFill>
              <a:effectLst/>
              <a:latin typeface="+mn-lt"/>
              <a:ea typeface="+mn-ea"/>
              <a:cs typeface="+mn-cs"/>
            </a:rPr>
            <a:t>2. If program opens with a clean ForExport tab, use the Choose Files button on Main tab to select new data. </a:t>
          </a:r>
          <a:endParaRPr lang="en-US">
            <a:effectLst/>
          </a:endParaRPr>
        </a:p>
        <a:p>
          <a:r>
            <a:rPr lang="en-US" sz="1100" baseline="0">
              <a:solidFill>
                <a:schemeClr val="dk1"/>
              </a:solidFill>
              <a:effectLst/>
              <a:latin typeface="+mn-lt"/>
              <a:ea typeface="+mn-ea"/>
              <a:cs typeface="+mn-cs"/>
            </a:rPr>
            <a:t>3. If program opens with content in ForExport, click "Clear Sheets Button" and "Redisplay naming form" on Main tab. </a:t>
          </a:r>
          <a:endParaRPr lang="en-US">
            <a:effectLst/>
          </a:endParaRPr>
        </a:p>
        <a:p>
          <a:r>
            <a:rPr lang="en-US" sz="1100" baseline="0">
              <a:solidFill>
                <a:schemeClr val="dk1"/>
              </a:solidFill>
              <a:effectLst/>
              <a:latin typeface="+mn-lt"/>
              <a:ea typeface="+mn-ea"/>
              <a:cs typeface="+mn-cs"/>
            </a:rPr>
            <a:t>      (Note: there may be some content on the Cumulant tab; it will be overwritten if new data are fit using cumulants)</a:t>
          </a:r>
          <a:endParaRPr lang="en-US">
            <a:effectLst/>
          </a:endParaRPr>
        </a:p>
        <a:p>
          <a:r>
            <a:rPr lang="en-US" sz="1100" baseline="0">
              <a:solidFill>
                <a:schemeClr val="dk1"/>
              </a:solidFill>
              <a:effectLst/>
              <a:latin typeface="+mn-lt"/>
              <a:ea typeface="+mn-ea"/>
              <a:cs typeface="+mn-cs"/>
            </a:rPr>
            <a:t>4. On first pass through the program, include all your files. This may take a minute or two, depending on how many. </a:t>
          </a:r>
          <a:endParaRPr lang="en-US">
            <a:effectLst/>
          </a:endParaRPr>
        </a:p>
        <a:p>
          <a:r>
            <a:rPr lang="en-US" sz="1100" baseline="0">
              <a:solidFill>
                <a:schemeClr val="dk1"/>
              </a:solidFill>
              <a:effectLst/>
              <a:latin typeface="+mn-lt"/>
              <a:ea typeface="+mn-ea"/>
              <a:cs typeface="+mn-cs"/>
            </a:rPr>
            <a:t>5. After all files are available, select the tab for each to inspect for evidence of dust (intensity plot bumps or flattening of correlation functions)</a:t>
          </a:r>
          <a:endParaRPr lang="en-US">
            <a:effectLst/>
          </a:endParaRPr>
        </a:p>
        <a:p>
          <a:r>
            <a:rPr lang="en-US" sz="1100" baseline="0">
              <a:solidFill>
                <a:schemeClr val="dk1"/>
              </a:solidFill>
              <a:effectLst/>
              <a:latin typeface="+mn-lt"/>
              <a:ea typeface="+mn-ea"/>
              <a:cs typeface="+mn-cs"/>
            </a:rPr>
            <a:t>6. If they are all OK, you might wish to use the averaged data results from the ALV software (in the directory with your .ASC data), but it's probably better to continue here. </a:t>
          </a:r>
          <a:endParaRPr lang="en-US">
            <a:effectLst/>
          </a:endParaRPr>
        </a:p>
        <a:p>
          <a:r>
            <a:rPr lang="en-US" sz="1100" baseline="0">
              <a:solidFill>
                <a:schemeClr val="dk1"/>
              </a:solidFill>
              <a:effectLst/>
              <a:latin typeface="+mn-lt"/>
              <a:ea typeface="+mn-ea"/>
              <a:cs typeface="+mn-cs"/>
            </a:rPr>
            <a:t>7. If some runs should be removed, go back to Main, click the Clear Sheets button, Redisplay Naming Form button, and this time just put in the good runs. </a:t>
          </a:r>
          <a:endParaRPr lang="en-US">
            <a:effectLst/>
          </a:endParaRPr>
        </a:p>
        <a:p>
          <a:r>
            <a:rPr lang="en-US" sz="1100" baseline="0">
              <a:solidFill>
                <a:schemeClr val="dk1"/>
              </a:solidFill>
              <a:effectLst/>
              <a:latin typeface="+mn-lt"/>
              <a:ea typeface="+mn-ea"/>
              <a:cs typeface="+mn-cs"/>
            </a:rPr>
            <a:t>8. From the Main tab, click Compute Averages and Uncertainties button.</a:t>
          </a:r>
          <a:endParaRPr lang="en-US">
            <a:effectLst/>
          </a:endParaRPr>
        </a:p>
        <a:p>
          <a:r>
            <a:rPr lang="en-US" sz="1100" baseline="0">
              <a:solidFill>
                <a:schemeClr val="dk1"/>
              </a:solidFill>
              <a:effectLst/>
              <a:latin typeface="+mn-lt"/>
              <a:ea typeface="+mn-ea"/>
              <a:cs typeface="+mn-cs"/>
            </a:rPr>
            <a:t>9. Click the ForExport button (even if you do not plan to export the data to a plotting or fitting package). </a:t>
          </a:r>
          <a:endParaRPr lang="en-US">
            <a:effectLst/>
          </a:endParaRPr>
        </a:p>
        <a:p>
          <a:r>
            <a:rPr lang="en-US" sz="1100" baseline="0">
              <a:solidFill>
                <a:schemeClr val="dk1"/>
              </a:solidFill>
              <a:effectLst/>
              <a:latin typeface="+mn-lt"/>
              <a:ea typeface="+mn-ea"/>
              <a:cs typeface="+mn-cs"/>
            </a:rPr>
            <a:t>10. Run MEXP and Cumulants analysis on the appropriate tabs, taking care to choose wisely your starting channels.  </a:t>
          </a:r>
          <a:endParaRPr lang="en-US">
            <a:effectLst/>
          </a:endParaRPr>
        </a:p>
        <a:p>
          <a:r>
            <a:rPr lang="en-US" sz="1100" baseline="0">
              <a:solidFill>
                <a:schemeClr val="dk1"/>
              </a:solidFill>
              <a:effectLst/>
              <a:latin typeface="+mn-lt"/>
              <a:ea typeface="+mn-ea"/>
              <a:cs typeface="+mn-cs"/>
            </a:rPr>
            <a:t>FOLLOWING TREND USE</a:t>
          </a:r>
          <a:endParaRPr lang="en-US">
            <a:effectLst/>
          </a:endParaRPr>
        </a:p>
        <a:p>
          <a:r>
            <a:rPr lang="en-US" sz="1100" baseline="0">
              <a:solidFill>
                <a:schemeClr val="dk1"/>
              </a:solidFill>
              <a:effectLst/>
              <a:latin typeface="+mn-lt"/>
              <a:ea typeface="+mn-ea"/>
              <a:cs typeface="+mn-cs"/>
            </a:rPr>
            <a:t>After the runs are entered, press Trend. </a:t>
          </a:r>
          <a:endParaRPr lang="en-US">
            <a:effectLst/>
          </a:endParaRPr>
        </a:p>
        <a:p>
          <a:r>
            <a:rPr lang="en-US" sz="1100" baseline="0">
              <a:solidFill>
                <a:schemeClr val="dk1"/>
              </a:solidFill>
              <a:effectLst/>
              <a:latin typeface="+mn-lt"/>
              <a:ea typeface="+mn-ea"/>
              <a:cs typeface="+mn-cs"/>
            </a:rPr>
            <a:t>Lots of things will happen on the Trend sheet. </a:t>
          </a:r>
          <a:endParaRPr lang="en-US">
            <a:effectLst/>
          </a:endParaRPr>
        </a:p>
        <a:p>
          <a:r>
            <a:rPr lang="en-US" sz="1100" baseline="0">
              <a:solidFill>
                <a:schemeClr val="dk1"/>
              </a:solidFill>
              <a:effectLst/>
              <a:latin typeface="+mn-lt"/>
              <a:ea typeface="+mn-ea"/>
              <a:cs typeface="+mn-cs"/>
            </a:rPr>
            <a:t>Check out the User input cells for solvent and normalization on Trend sheet (scroll down until you see them)</a:t>
          </a:r>
          <a:endParaRPr lang="en-US">
            <a:effectLst/>
          </a:endParaRPr>
        </a:p>
        <a:p>
          <a:r>
            <a:rPr lang="en-US" sz="1100" baseline="0">
              <a:solidFill>
                <a:schemeClr val="dk1"/>
              </a:solidFill>
              <a:effectLst/>
              <a:latin typeface="+mn-lt"/>
              <a:ea typeface="+mn-ea"/>
              <a:cs typeface="+mn-cs"/>
            </a:rPr>
            <a:t>Trend is an expert operation, so you have some latitude in how you get the normalization factors. </a:t>
          </a:r>
          <a:endParaRPr lang="en-US">
            <a:effectLst/>
          </a:endParaRPr>
        </a:p>
        <a:p>
          <a:r>
            <a:rPr lang="en-US" sz="1100" baseline="0">
              <a:solidFill>
                <a:schemeClr val="dk1"/>
              </a:solidFill>
              <a:effectLst/>
              <a:latin typeface="+mn-lt"/>
              <a:ea typeface="+mn-ea"/>
              <a:cs typeface="+mn-cs"/>
            </a:rPr>
            <a:t>They can come from NormaSize. </a:t>
          </a:r>
          <a:endParaRPr lang="en-US">
            <a:effectLst/>
          </a:endParaRPr>
        </a:p>
        <a:p>
          <a:endParaRPr lang="en-US" sz="1100" baseline="0"/>
        </a:p>
        <a:p>
          <a:endParaRPr lang="en-US" sz="1100"/>
        </a:p>
        <a:p>
          <a:endParaRPr lang="en-US" sz="1100"/>
        </a:p>
        <a:p>
          <a:endParaRPr lang="en-US" sz="1100" baseline="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495300</xdr:colOff>
      <xdr:row>14</xdr:row>
      <xdr:rowOff>161925</xdr:rowOff>
    </xdr:from>
    <xdr:ext cx="184731" cy="264560"/>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7810500" y="2828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xdr:from>
          <xdr:col>0</xdr:col>
          <xdr:colOff>71438</xdr:colOff>
          <xdr:row>1</xdr:row>
          <xdr:rowOff>4763</xdr:rowOff>
        </xdr:from>
        <xdr:to>
          <xdr:col>2</xdr:col>
          <xdr:colOff>219075</xdr:colOff>
          <xdr:row>2</xdr:row>
          <xdr:rowOff>166688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Redisplay Naming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xdr:row>
          <xdr:rowOff>4763</xdr:rowOff>
        </xdr:from>
        <xdr:to>
          <xdr:col>12</xdr:col>
          <xdr:colOff>33338</xdr:colOff>
          <xdr:row>2</xdr:row>
          <xdr:rowOff>161925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300-000009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xdr:row>
          <xdr:rowOff>0</xdr:rowOff>
        </xdr:from>
        <xdr:to>
          <xdr:col>5</xdr:col>
          <xdr:colOff>500063</xdr:colOff>
          <xdr:row>2</xdr:row>
          <xdr:rowOff>176213</xdr:rowOff>
        </xdr:to>
        <xdr:sp macro="" textlink="">
          <xdr:nvSpPr>
            <xdr:cNvPr id="1034" name="cmdAverage"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590550</xdr:colOff>
          <xdr:row>1</xdr:row>
          <xdr:rowOff>9525</xdr:rowOff>
        </xdr:from>
        <xdr:to>
          <xdr:col>8</xdr:col>
          <xdr:colOff>119063</xdr:colOff>
          <xdr:row>2</xdr:row>
          <xdr:rowOff>166688</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Populate Export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214313</xdr:colOff>
          <xdr:row>0</xdr:row>
          <xdr:rowOff>176213</xdr:rowOff>
        </xdr:from>
        <xdr:to>
          <xdr:col>9</xdr:col>
          <xdr:colOff>590550</xdr:colOff>
          <xdr:row>2</xdr:row>
          <xdr:rowOff>171450</xdr:rowOff>
        </xdr:to>
        <xdr:sp macro="" textlink="">
          <xdr:nvSpPr>
            <xdr:cNvPr id="1036" name="cmdGetTrend"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190916</xdr:colOff>
      <xdr:row>8</xdr:row>
      <xdr:rowOff>63546</xdr:rowOff>
    </xdr:from>
    <xdr:to>
      <xdr:col>14</xdr:col>
      <xdr:colOff>413821</xdr:colOff>
      <xdr:row>22</xdr:row>
      <xdr:rowOff>181256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199215</xdr:colOff>
      <xdr:row>23</xdr:row>
      <xdr:rowOff>156352</xdr:rowOff>
    </xdr:from>
    <xdr:to>
      <xdr:col>14</xdr:col>
      <xdr:colOff>415033</xdr:colOff>
      <xdr:row>31</xdr:row>
      <xdr:rowOff>156919</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633413</xdr:colOff>
          <xdr:row>2</xdr:row>
          <xdr:rowOff>195263</xdr:rowOff>
        </xdr:from>
        <xdr:to>
          <xdr:col>16</xdr:col>
          <xdr:colOff>442913</xdr:colOff>
          <xdr:row>5</xdr:row>
          <xdr:rowOff>100013</xdr:rowOff>
        </xdr:to>
        <xdr:sp macro="" textlink="">
          <xdr:nvSpPr>
            <xdr:cNvPr id="5121" name="cmdLoadAngle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16</xdr:col>
          <xdr:colOff>466725</xdr:colOff>
          <xdr:row>10</xdr:row>
          <xdr:rowOff>104775</xdr:rowOff>
        </xdr:to>
        <xdr:sp macro="" textlink="">
          <xdr:nvSpPr>
            <xdr:cNvPr id="5122" name="cmdLoadAngle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16</xdr:col>
          <xdr:colOff>466725</xdr:colOff>
          <xdr:row>15</xdr:row>
          <xdr:rowOff>123825</xdr:rowOff>
        </xdr:to>
        <xdr:sp macro="" textlink="">
          <xdr:nvSpPr>
            <xdr:cNvPr id="5123" name="cmdLoadAngle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16</xdr:col>
          <xdr:colOff>466725</xdr:colOff>
          <xdr:row>20</xdr:row>
          <xdr:rowOff>123825</xdr:rowOff>
        </xdr:to>
        <xdr:sp macro="" textlink="">
          <xdr:nvSpPr>
            <xdr:cNvPr id="5124" name="cmdLoadAngle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16</xdr:col>
          <xdr:colOff>466725</xdr:colOff>
          <xdr:row>25</xdr:row>
          <xdr:rowOff>123825</xdr:rowOff>
        </xdr:to>
        <xdr:sp macro="" textlink="">
          <xdr:nvSpPr>
            <xdr:cNvPr id="5125" name="cmdLoadAngle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16</xdr:col>
          <xdr:colOff>466725</xdr:colOff>
          <xdr:row>30</xdr:row>
          <xdr:rowOff>123825</xdr:rowOff>
        </xdr:to>
        <xdr:sp macro="" textlink="">
          <xdr:nvSpPr>
            <xdr:cNvPr id="5126" name="cmdLoadAngle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16</xdr:col>
          <xdr:colOff>466725</xdr:colOff>
          <xdr:row>35</xdr:row>
          <xdr:rowOff>123825</xdr:rowOff>
        </xdr:to>
        <xdr:sp macro="" textlink="">
          <xdr:nvSpPr>
            <xdr:cNvPr id="5127" name="cmdLoadAngle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16</xdr:col>
          <xdr:colOff>466725</xdr:colOff>
          <xdr:row>40</xdr:row>
          <xdr:rowOff>123825</xdr:rowOff>
        </xdr:to>
        <xdr:sp macro="" textlink="">
          <xdr:nvSpPr>
            <xdr:cNvPr id="5128" name="cmdLoadAngle8" hidden="1">
              <a:extLst>
                <a:ext uri="{63B3BB69-23CF-44E3-9099-C40C66FF867C}">
                  <a14:compatExt spid="_x0000_s5128"/>
                </a:ext>
                <a:ext uri="{FF2B5EF4-FFF2-40B4-BE49-F238E27FC236}">
                  <a16:creationId xmlns:a16="http://schemas.microsoft.com/office/drawing/2014/main" id="{00000000-0008-0000-05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14288</xdr:colOff>
          <xdr:row>2</xdr:row>
          <xdr:rowOff>190500</xdr:rowOff>
        </xdr:from>
        <xdr:to>
          <xdr:col>14</xdr:col>
          <xdr:colOff>457200</xdr:colOff>
          <xdr:row>6</xdr:row>
          <xdr:rowOff>47625</xdr:rowOff>
        </xdr:to>
        <xdr:sp macro="" textlink="">
          <xdr:nvSpPr>
            <xdr:cNvPr id="5129" name="cmdResetMexpSheet"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27</xdr:col>
      <xdr:colOff>96440</xdr:colOff>
      <xdr:row>11</xdr:row>
      <xdr:rowOff>113372</xdr:rowOff>
    </xdr:from>
    <xdr:to>
      <xdr:col>34</xdr:col>
      <xdr:colOff>182429</xdr:colOff>
      <xdr:row>42</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286544</xdr:colOff>
      <xdr:row>11</xdr:row>
      <xdr:rowOff>114828</xdr:rowOff>
    </xdr:from>
    <xdr:to>
      <xdr:col>42</xdr:col>
      <xdr:colOff>26725</xdr:colOff>
      <xdr:row>41</xdr:row>
      <xdr:rowOff>176892</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42</xdr:col>
      <xdr:colOff>146795</xdr:colOff>
      <xdr:row>11</xdr:row>
      <xdr:rowOff>114828</xdr:rowOff>
    </xdr:from>
    <xdr:to>
      <xdr:col>49</xdr:col>
      <xdr:colOff>605222</xdr:colOff>
      <xdr:row>41</xdr:row>
      <xdr:rowOff>176892</xdr:rowOff>
    </xdr:to>
    <xdr:graphicFrame macro="">
      <xdr:nvGraphicFramePr>
        <xdr:cNvPr id="15" name="Chart 14">
          <a:extLst>
            <a:ext uri="{FF2B5EF4-FFF2-40B4-BE49-F238E27FC236}">
              <a16:creationId xmlns:a16="http://schemas.microsoft.com/office/drawing/2014/main" id="{00000000-0008-0000-0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616857</xdr:colOff>
      <xdr:row>0</xdr:row>
      <xdr:rowOff>151808</xdr:rowOff>
    </xdr:from>
    <xdr:to>
      <xdr:col>7</xdr:col>
      <xdr:colOff>224957</xdr:colOff>
      <xdr:row>2</xdr:row>
      <xdr:rowOff>171870</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6"/>
        <a:stretch>
          <a:fillRect/>
        </a:stretch>
      </xdr:blipFill>
      <xdr:spPr>
        <a:xfrm>
          <a:off x="616857" y="151808"/>
          <a:ext cx="4745278" cy="40710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579531</xdr:colOff>
      <xdr:row>8</xdr:row>
      <xdr:rowOff>40456</xdr:rowOff>
    </xdr:from>
    <xdr:to>
      <xdr:col>14</xdr:col>
      <xdr:colOff>492718</xdr:colOff>
      <xdr:row>22</xdr:row>
      <xdr:rowOff>185104</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579531</xdr:colOff>
      <xdr:row>23</xdr:row>
      <xdr:rowOff>160200</xdr:rowOff>
    </xdr:from>
    <xdr:to>
      <xdr:col>14</xdr:col>
      <xdr:colOff>493930</xdr:colOff>
      <xdr:row>31</xdr:row>
      <xdr:rowOff>160767</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157163</xdr:colOff>
          <xdr:row>1</xdr:row>
          <xdr:rowOff>209550</xdr:rowOff>
        </xdr:from>
        <xdr:to>
          <xdr:col>12</xdr:col>
          <xdr:colOff>600075</xdr:colOff>
          <xdr:row>4</xdr:row>
          <xdr:rowOff>200025</xdr:rowOff>
        </xdr:to>
        <xdr:sp macro="" textlink="">
          <xdr:nvSpPr>
            <xdr:cNvPr id="6153" name="cmdResetCumulantSheet"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96440</xdr:colOff>
      <xdr:row>11</xdr:row>
      <xdr:rowOff>113372</xdr:rowOff>
    </xdr:from>
    <xdr:to>
      <xdr:col>34</xdr:col>
      <xdr:colOff>0</xdr:colOff>
      <xdr:row>42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95844</xdr:colOff>
      <xdr:row>11</xdr:row>
      <xdr:rowOff>114828</xdr:rowOff>
    </xdr:from>
    <xdr:to>
      <xdr:col>41</xdr:col>
      <xdr:colOff>122569</xdr:colOff>
      <xdr:row>41</xdr:row>
      <xdr:rowOff>176892</xdr:rowOff>
    </xdr:to>
    <xdr:graphicFrame macro="">
      <xdr:nvGraphicFramePr>
        <xdr:cNvPr id="14" name="Chart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246856</xdr:colOff>
      <xdr:row>11</xdr:row>
      <xdr:rowOff>114828</xdr:rowOff>
    </xdr:from>
    <xdr:to>
      <xdr:col>49</xdr:col>
      <xdr:colOff>58737</xdr:colOff>
      <xdr:row>41</xdr:row>
      <xdr:rowOff>176892</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641048</xdr:colOff>
      <xdr:row>0</xdr:row>
      <xdr:rowOff>106590</xdr:rowOff>
    </xdr:from>
    <xdr:to>
      <xdr:col>4</xdr:col>
      <xdr:colOff>145142</xdr:colOff>
      <xdr:row>2</xdr:row>
      <xdr:rowOff>158749</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a:clrChange>
            <a:clrFrom>
              <a:srgbClr val="FFFFFF"/>
            </a:clrFrom>
            <a:clrTo>
              <a:srgbClr val="FFFFFF">
                <a:alpha val="0"/>
              </a:srgbClr>
            </a:clrTo>
          </a:clrChange>
        </a:blip>
        <a:srcRect b="12863"/>
        <a:stretch/>
      </xdr:blipFill>
      <xdr:spPr>
        <a:xfrm>
          <a:off x="641048" y="106590"/>
          <a:ext cx="2842380" cy="449791"/>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editAs="oneCell">
        <xdr:from>
          <xdr:col>15</xdr:col>
          <xdr:colOff>9525</xdr:colOff>
          <xdr:row>3</xdr:row>
          <xdr:rowOff>0</xdr:rowOff>
        </xdr:from>
        <xdr:to>
          <xdr:col>16</xdr:col>
          <xdr:colOff>476250</xdr:colOff>
          <xdr:row>5</xdr:row>
          <xdr:rowOff>0</xdr:rowOff>
        </xdr:to>
        <xdr:sp macro="" textlink="">
          <xdr:nvSpPr>
            <xdr:cNvPr id="6154" name="cmdLoadCumulant1"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7</xdr:row>
          <xdr:rowOff>195263</xdr:rowOff>
        </xdr:from>
        <xdr:to>
          <xdr:col>16</xdr:col>
          <xdr:colOff>485775</xdr:colOff>
          <xdr:row>10</xdr:row>
          <xdr:rowOff>0</xdr:rowOff>
        </xdr:to>
        <xdr:sp macro="" textlink="">
          <xdr:nvSpPr>
            <xdr:cNvPr id="6155" name="cmdLoadCumulant2"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12</xdr:row>
          <xdr:rowOff>171450</xdr:rowOff>
        </xdr:from>
        <xdr:to>
          <xdr:col>16</xdr:col>
          <xdr:colOff>490538</xdr:colOff>
          <xdr:row>14</xdr:row>
          <xdr:rowOff>157163</xdr:rowOff>
        </xdr:to>
        <xdr:sp macro="" textlink="">
          <xdr:nvSpPr>
            <xdr:cNvPr id="6156" name="cmdLoadCumulant3"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17</xdr:row>
          <xdr:rowOff>171450</xdr:rowOff>
        </xdr:from>
        <xdr:to>
          <xdr:col>16</xdr:col>
          <xdr:colOff>476250</xdr:colOff>
          <xdr:row>19</xdr:row>
          <xdr:rowOff>176213</xdr:rowOff>
        </xdr:to>
        <xdr:sp macro="" textlink="">
          <xdr:nvSpPr>
            <xdr:cNvPr id="6157" name="cmdLoadCumulant4"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23</xdr:row>
          <xdr:rowOff>0</xdr:rowOff>
        </xdr:from>
        <xdr:to>
          <xdr:col>16</xdr:col>
          <xdr:colOff>452438</xdr:colOff>
          <xdr:row>25</xdr:row>
          <xdr:rowOff>19050</xdr:rowOff>
        </xdr:to>
        <xdr:sp macro="" textlink="">
          <xdr:nvSpPr>
            <xdr:cNvPr id="6158" name="cmdLoadCumulant5" hidden="1">
              <a:extLst>
                <a:ext uri="{63B3BB69-23CF-44E3-9099-C40C66FF867C}">
                  <a14:compatExt spid="_x0000_s6158"/>
                </a:ext>
                <a:ext uri="{FF2B5EF4-FFF2-40B4-BE49-F238E27FC236}">
                  <a16:creationId xmlns:a16="http://schemas.microsoft.com/office/drawing/2014/main" id="{00000000-0008-0000-0600-00000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27</xdr:row>
          <xdr:rowOff>171450</xdr:rowOff>
        </xdr:from>
        <xdr:to>
          <xdr:col>16</xdr:col>
          <xdr:colOff>457200</xdr:colOff>
          <xdr:row>29</xdr:row>
          <xdr:rowOff>176213</xdr:rowOff>
        </xdr:to>
        <xdr:sp macro="" textlink="">
          <xdr:nvSpPr>
            <xdr:cNvPr id="6159" name="cmdLoadCumulant6" hidden="1">
              <a:extLst>
                <a:ext uri="{63B3BB69-23CF-44E3-9099-C40C66FF867C}">
                  <a14:compatExt spid="_x0000_s6159"/>
                </a:ext>
                <a:ext uri="{FF2B5EF4-FFF2-40B4-BE49-F238E27FC236}">
                  <a16:creationId xmlns:a16="http://schemas.microsoft.com/office/drawing/2014/main" id="{00000000-0008-0000-06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32</xdr:row>
          <xdr:rowOff>171450</xdr:rowOff>
        </xdr:from>
        <xdr:to>
          <xdr:col>16</xdr:col>
          <xdr:colOff>428625</xdr:colOff>
          <xdr:row>34</xdr:row>
          <xdr:rowOff>176213</xdr:rowOff>
        </xdr:to>
        <xdr:sp macro="" textlink="">
          <xdr:nvSpPr>
            <xdr:cNvPr id="6160" name="cmdLoadCumulant7" hidden="1">
              <a:extLst>
                <a:ext uri="{63B3BB69-23CF-44E3-9099-C40C66FF867C}">
                  <a14:compatExt spid="_x0000_s6160"/>
                </a:ext>
                <a:ext uri="{FF2B5EF4-FFF2-40B4-BE49-F238E27FC236}">
                  <a16:creationId xmlns:a16="http://schemas.microsoft.com/office/drawing/2014/main" id="{00000000-0008-0000-06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38</xdr:row>
          <xdr:rowOff>0</xdr:rowOff>
        </xdr:from>
        <xdr:to>
          <xdr:col>16</xdr:col>
          <xdr:colOff>385763</xdr:colOff>
          <xdr:row>40</xdr:row>
          <xdr:rowOff>9525</xdr:rowOff>
        </xdr:to>
        <xdr:sp macro="" textlink="">
          <xdr:nvSpPr>
            <xdr:cNvPr id="6161" name="cmdLoadCumulant8" hidden="1">
              <a:extLst>
                <a:ext uri="{63B3BB69-23CF-44E3-9099-C40C66FF867C}">
                  <a14:compatExt spid="_x0000_s6161"/>
                </a:ext>
                <a:ext uri="{FF2B5EF4-FFF2-40B4-BE49-F238E27FC236}">
                  <a16:creationId xmlns:a16="http://schemas.microsoft.com/office/drawing/2014/main" id="{00000000-0008-0000-0600-00001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103252</xdr:colOff>
      <xdr:row>42</xdr:row>
      <xdr:rowOff>154878</xdr:rowOff>
    </xdr:from>
    <xdr:to>
      <xdr:col>34</xdr:col>
      <xdr:colOff>6812</xdr:colOff>
      <xdr:row>53</xdr:row>
      <xdr:rowOff>154877</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177800</xdr:colOff>
      <xdr:row>0</xdr:row>
      <xdr:rowOff>46567</xdr:rowOff>
    </xdr:from>
    <xdr:to>
      <xdr:col>4</xdr:col>
      <xdr:colOff>1524000</xdr:colOff>
      <xdr:row>12</xdr:row>
      <xdr:rowOff>110068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1390650</xdr:colOff>
          <xdr:row>0</xdr:row>
          <xdr:rowOff>90488</xdr:rowOff>
        </xdr:from>
        <xdr:to>
          <xdr:col>6</xdr:col>
          <xdr:colOff>790575</xdr:colOff>
          <xdr:row>2</xdr:row>
          <xdr:rowOff>57150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FF0000"/>
                  </a:solidFill>
                  <a:latin typeface="Calibri"/>
                  <a:cs typeface="Calibri"/>
                </a:rPr>
                <a:t>Clear Results</a:t>
              </a:r>
            </a:p>
          </xdr:txBody>
        </xdr:sp>
        <xdr:clientData fPrintsWithSheet="0"/>
      </xdr:twoCellAnchor>
    </mc:Choice>
    <mc:Fallback/>
  </mc:AlternateContent>
  <xdr:twoCellAnchor>
    <xdr:from>
      <xdr:col>0</xdr:col>
      <xdr:colOff>692148</xdr:colOff>
      <xdr:row>136</xdr:row>
      <xdr:rowOff>63500</xdr:rowOff>
    </xdr:from>
    <xdr:to>
      <xdr:col>4</xdr:col>
      <xdr:colOff>1708148</xdr:colOff>
      <xdr:row>146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131233</xdr:colOff>
      <xdr:row>150</xdr:row>
      <xdr:rowOff>12700</xdr:rowOff>
    </xdr:from>
    <xdr:to>
      <xdr:col>3</xdr:col>
      <xdr:colOff>571500</xdr:colOff>
      <xdr:row>159</xdr:row>
      <xdr:rowOff>131234</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10.emf"/><Relationship Id="rId3" Type="http://schemas.openxmlformats.org/officeDocument/2006/relationships/control" Target="../activeX/activeX3.xml"/><Relationship Id="rId7" Type="http://schemas.openxmlformats.org/officeDocument/2006/relationships/control" Target="../activeX/activeX5.xml"/><Relationship Id="rId12" Type="http://schemas.openxmlformats.org/officeDocument/2006/relationships/image" Target="../media/image7.emf"/><Relationship Id="rId17" Type="http://schemas.openxmlformats.org/officeDocument/2006/relationships/control" Target="../activeX/activeX10.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1" Type="http://schemas.openxmlformats.org/officeDocument/2006/relationships/drawing" Target="../drawings/drawing3.xml"/><Relationship Id="rId6" Type="http://schemas.openxmlformats.org/officeDocument/2006/relationships/image" Target="../media/image4.emf"/><Relationship Id="rId11" Type="http://schemas.openxmlformats.org/officeDocument/2006/relationships/control" Target="../activeX/activeX7.xml"/><Relationship Id="rId5" Type="http://schemas.openxmlformats.org/officeDocument/2006/relationships/control" Target="../activeX/activeX4.xml"/><Relationship Id="rId15" Type="http://schemas.openxmlformats.org/officeDocument/2006/relationships/control" Target="../activeX/activeX9.xml"/><Relationship Id="rId10" Type="http://schemas.openxmlformats.org/officeDocument/2006/relationships/image" Target="../media/image6.emf"/><Relationship Id="rId19" Type="http://schemas.openxmlformats.org/officeDocument/2006/relationships/control" Target="../activeX/activeX11.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image" Target="../media/image8.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7.emf"/><Relationship Id="rId18" Type="http://schemas.openxmlformats.org/officeDocument/2006/relationships/control" Target="../activeX/activeX19.xml"/><Relationship Id="rId3" Type="http://schemas.openxmlformats.org/officeDocument/2006/relationships/vmlDrawing" Target="../drawings/vmlDrawing3.vml"/><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16.xml"/><Relationship Id="rId17" Type="http://schemas.openxmlformats.org/officeDocument/2006/relationships/image" Target="../media/image19.emf"/><Relationship Id="rId2" Type="http://schemas.openxmlformats.org/officeDocument/2006/relationships/drawing" Target="../drawings/drawing4.xml"/><Relationship Id="rId16" Type="http://schemas.openxmlformats.org/officeDocument/2006/relationships/control" Target="../activeX/activeX18.xml"/><Relationship Id="rId20" Type="http://schemas.openxmlformats.org/officeDocument/2006/relationships/control" Target="../activeX/activeX20.xml"/><Relationship Id="rId1" Type="http://schemas.openxmlformats.org/officeDocument/2006/relationships/printerSettings" Target="../printerSettings/printerSettings2.bin"/><Relationship Id="rId6" Type="http://schemas.openxmlformats.org/officeDocument/2006/relationships/control" Target="../activeX/activeX13.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5.xml"/><Relationship Id="rId19" Type="http://schemas.openxmlformats.org/officeDocument/2006/relationships/image" Target="../media/image20.emf"/><Relationship Id="rId4" Type="http://schemas.openxmlformats.org/officeDocument/2006/relationships/control" Target="../activeX/activeX12.xml"/><Relationship Id="rId9" Type="http://schemas.openxmlformats.org/officeDocument/2006/relationships/image" Target="../media/image15.emf"/><Relationship Id="rId1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B8325-3F63-49E3-9227-3767C22CC792}">
  <sheetPr codeName="Sheet7"/>
  <dimension ref="A1:G57"/>
  <sheetViews>
    <sheetView workbookViewId="0">
      <selection activeCell="D63" sqref="D63"/>
    </sheetView>
  </sheetViews>
  <sheetFormatPr defaultRowHeight="14.25"/>
  <cols>
    <col min="1" max="1" width="9.265625" bestFit="1" customWidth="1"/>
    <col min="2" max="2" width="3.73046875" customWidth="1"/>
  </cols>
  <sheetData>
    <row r="1" spans="1:3">
      <c r="A1" s="6">
        <v>44530</v>
      </c>
      <c r="B1" t="s">
        <v>7</v>
      </c>
    </row>
    <row r="2" spans="1:3">
      <c r="B2" t="s">
        <v>4</v>
      </c>
    </row>
    <row r="3" spans="1:3">
      <c r="B3" t="s">
        <v>5</v>
      </c>
    </row>
    <row r="4" spans="1:3">
      <c r="B4" t="s">
        <v>6</v>
      </c>
    </row>
    <row r="5" spans="1:3">
      <c r="B5" t="s">
        <v>8</v>
      </c>
    </row>
    <row r="6" spans="1:3">
      <c r="C6" t="s">
        <v>9</v>
      </c>
    </row>
    <row r="7" spans="1:3">
      <c r="C7" t="s">
        <v>10</v>
      </c>
    </row>
    <row r="8" spans="1:3">
      <c r="C8" t="s">
        <v>12</v>
      </c>
    </row>
    <row r="9" spans="1:3">
      <c r="C9" t="s">
        <v>11</v>
      </c>
    </row>
    <row r="10" spans="1:3">
      <c r="C10" t="s">
        <v>13</v>
      </c>
    </row>
    <row r="12" spans="1:3">
      <c r="A12" s="6">
        <v>44612</v>
      </c>
      <c r="B12" t="s">
        <v>14</v>
      </c>
    </row>
    <row r="13" spans="1:3">
      <c r="B13" t="s">
        <v>15</v>
      </c>
    </row>
    <row r="14" spans="1:3">
      <c r="B14" t="s">
        <v>16</v>
      </c>
    </row>
    <row r="15" spans="1:3">
      <c r="B15" t="s">
        <v>17</v>
      </c>
    </row>
    <row r="16" spans="1:3">
      <c r="B16" t="s">
        <v>18</v>
      </c>
    </row>
    <row r="17" spans="1:2">
      <c r="B17" t="s">
        <v>19</v>
      </c>
    </row>
    <row r="18" spans="1:2">
      <c r="B18" t="s">
        <v>20</v>
      </c>
    </row>
    <row r="19" spans="1:2">
      <c r="B19" t="s">
        <v>21</v>
      </c>
    </row>
    <row r="20" spans="1:2">
      <c r="B20" t="s">
        <v>22</v>
      </c>
    </row>
    <row r="21" spans="1:2">
      <c r="B21" t="s">
        <v>23</v>
      </c>
    </row>
    <row r="22" spans="1:2">
      <c r="A22" s="6">
        <v>44655</v>
      </c>
      <c r="B22" t="s">
        <v>24</v>
      </c>
    </row>
    <row r="23" spans="1:2">
      <c r="B23" t="s">
        <v>25</v>
      </c>
    </row>
    <row r="24" spans="1:2">
      <c r="B24" t="s">
        <v>26</v>
      </c>
    </row>
    <row r="25" spans="1:2">
      <c r="B25" s="8" t="s">
        <v>27</v>
      </c>
    </row>
    <row r="26" spans="1:2">
      <c r="A26" s="6">
        <v>44717</v>
      </c>
      <c r="B26" t="s">
        <v>28</v>
      </c>
    </row>
    <row r="27" spans="1:2">
      <c r="B27" t="s">
        <v>33</v>
      </c>
    </row>
    <row r="28" spans="1:2">
      <c r="B28" t="s">
        <v>29</v>
      </c>
    </row>
    <row r="29" spans="1:2">
      <c r="B29" t="s">
        <v>30</v>
      </c>
    </row>
    <row r="30" spans="1:2">
      <c r="B30" t="s">
        <v>31</v>
      </c>
    </row>
    <row r="31" spans="1:2">
      <c r="B31" t="s">
        <v>32</v>
      </c>
    </row>
    <row r="32" spans="1:2">
      <c r="A32" s="6">
        <v>44724</v>
      </c>
      <c r="B32" t="s">
        <v>68</v>
      </c>
    </row>
    <row r="33" spans="1:7">
      <c r="B33" t="s">
        <v>70</v>
      </c>
    </row>
    <row r="34" spans="1:7">
      <c r="B34" t="s">
        <v>71</v>
      </c>
    </row>
    <row r="35" spans="1:7">
      <c r="B35" t="s">
        <v>69</v>
      </c>
    </row>
    <row r="36" spans="1:7">
      <c r="B36" t="s">
        <v>73</v>
      </c>
    </row>
    <row r="37" spans="1:7">
      <c r="B37" t="s">
        <v>72</v>
      </c>
    </row>
    <row r="38" spans="1:7">
      <c r="A38" s="6">
        <v>44726</v>
      </c>
      <c r="B38" s="24" t="s">
        <v>75</v>
      </c>
    </row>
    <row r="39" spans="1:7">
      <c r="B39" s="24" t="s">
        <v>93</v>
      </c>
    </row>
    <row r="40" spans="1:7">
      <c r="B40" s="24" t="s">
        <v>74</v>
      </c>
      <c r="C40" s="24"/>
      <c r="D40" s="24"/>
      <c r="E40" s="24"/>
      <c r="F40" s="24"/>
      <c r="G40" s="24"/>
    </row>
    <row r="41" spans="1:7">
      <c r="A41" s="6">
        <v>44728</v>
      </c>
      <c r="B41" s="24" t="s">
        <v>91</v>
      </c>
    </row>
    <row r="42" spans="1:7">
      <c r="A42" s="6"/>
      <c r="B42" s="24" t="s">
        <v>92</v>
      </c>
    </row>
    <row r="43" spans="1:7">
      <c r="A43" s="6"/>
      <c r="B43" s="24" t="s">
        <v>101</v>
      </c>
    </row>
    <row r="44" spans="1:7">
      <c r="A44" s="6"/>
      <c r="B44" s="61" t="s">
        <v>94</v>
      </c>
      <c r="C44" s="61"/>
    </row>
    <row r="45" spans="1:7">
      <c r="A45" s="6"/>
      <c r="B45" s="61" t="s">
        <v>95</v>
      </c>
      <c r="C45" s="61"/>
    </row>
    <row r="46" spans="1:7">
      <c r="A46" s="6"/>
      <c r="B46" s="61" t="s">
        <v>108</v>
      </c>
      <c r="C46" s="61"/>
    </row>
    <row r="47" spans="1:7">
      <c r="A47" s="6">
        <v>44831</v>
      </c>
      <c r="B47" s="24" t="s">
        <v>102</v>
      </c>
    </row>
    <row r="48" spans="1:7">
      <c r="A48" s="6"/>
      <c r="B48" s="24" t="s">
        <v>104</v>
      </c>
    </row>
    <row r="49" spans="1:3">
      <c r="A49" s="6"/>
      <c r="C49" t="s">
        <v>105</v>
      </c>
    </row>
    <row r="50" spans="1:3">
      <c r="A50" s="6"/>
      <c r="B50" t="s">
        <v>106</v>
      </c>
    </row>
    <row r="51" spans="1:3">
      <c r="A51" s="6"/>
      <c r="C51" t="s">
        <v>107</v>
      </c>
    </row>
    <row r="52" spans="1:3">
      <c r="A52" s="6"/>
      <c r="B52" s="8"/>
    </row>
    <row r="53" spans="1:3">
      <c r="A53" s="6">
        <v>44862</v>
      </c>
      <c r="B53" t="s">
        <v>159</v>
      </c>
    </row>
    <row r="54" spans="1:3">
      <c r="A54" s="6" t="s">
        <v>158</v>
      </c>
      <c r="B54" t="s">
        <v>160</v>
      </c>
    </row>
    <row r="56" spans="1:3">
      <c r="A56" s="6">
        <v>44903</v>
      </c>
      <c r="B56" t="s">
        <v>181</v>
      </c>
    </row>
    <row r="57" spans="1:3">
      <c r="B57" t="s">
        <v>182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workbookViewId="0">
      <selection activeCell="I3" sqref="I3"/>
    </sheetView>
  </sheetViews>
  <sheetFormatPr defaultRowHeight="14.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3:C8"/>
  <sheetViews>
    <sheetView workbookViewId="0">
      <selection activeCell="B7" sqref="B7"/>
    </sheetView>
  </sheetViews>
  <sheetFormatPr defaultRowHeight="14.25"/>
  <cols>
    <col min="1" max="1" width="17.33203125" customWidth="1"/>
    <col min="2" max="2" width="12.46484375" customWidth="1"/>
    <col min="3" max="3" width="11" bestFit="1" customWidth="1"/>
  </cols>
  <sheetData>
    <row r="3" spans="1:3" ht="15.75">
      <c r="A3" t="s">
        <v>66</v>
      </c>
      <c r="B3" s="63">
        <v>1.380649E-16</v>
      </c>
    </row>
    <row r="4" spans="1:3">
      <c r="A4" t="s">
        <v>1</v>
      </c>
      <c r="B4" s="1">
        <v>6850</v>
      </c>
      <c r="C4" s="23">
        <f>B4/100000000</f>
        <v>6.8499999999999998E-5</v>
      </c>
    </row>
    <row r="5" spans="1:3">
      <c r="A5" t="s">
        <v>2</v>
      </c>
      <c r="B5" s="1">
        <v>1.33</v>
      </c>
    </row>
    <row r="6" spans="1:3" ht="15.75">
      <c r="A6" t="s">
        <v>67</v>
      </c>
      <c r="B6" s="1">
        <v>0.89039999999999997</v>
      </c>
      <c r="C6" s="23">
        <f>EtaCP/100</f>
        <v>8.9040000000000005E-3</v>
      </c>
    </row>
    <row r="7" spans="1:3">
      <c r="A7" t="s">
        <v>56</v>
      </c>
      <c r="B7" s="1">
        <v>25</v>
      </c>
    </row>
    <row r="8" spans="1:3">
      <c r="A8" t="s">
        <v>57</v>
      </c>
      <c r="B8" s="23">
        <f>273.15+B7</f>
        <v>298.14999999999998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J8"/>
  <sheetViews>
    <sheetView zoomScale="74" zoomScaleNormal="50" workbookViewId="0"/>
  </sheetViews>
  <sheetFormatPr defaultRowHeight="14.25"/>
  <cols>
    <col min="1" max="1" width="18.265625" customWidth="1"/>
    <col min="2" max="6" width="9" bestFit="1" customWidth="1"/>
    <col min="10" max="10" width="11" customWidth="1"/>
    <col min="13" max="13" width="9" bestFit="1" customWidth="1"/>
  </cols>
  <sheetData>
    <row r="1" spans="1:10">
      <c r="H1" s="4"/>
      <c r="J1" s="5"/>
    </row>
    <row r="4" spans="1:10">
      <c r="A4" s="3"/>
    </row>
    <row r="5" spans="1:10">
      <c r="A5" s="24"/>
      <c r="B5" s="1"/>
    </row>
    <row r="6" spans="1:10">
      <c r="B6" s="1"/>
    </row>
    <row r="7" spans="1:10">
      <c r="B7" s="1"/>
    </row>
    <row r="8" spans="1:10">
      <c r="B8"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036" r:id="rId4" name="cmdGetTrend">
          <controlPr defaultSize="0" autoLine="0" autoPict="0" r:id="rId5">
            <anchor moveWithCells="1">
              <from>
                <xdr:col>8</xdr:col>
                <xdr:colOff>214313</xdr:colOff>
                <xdr:row>0</xdr:row>
                <xdr:rowOff>176213</xdr:rowOff>
              </from>
              <to>
                <xdr:col>9</xdr:col>
                <xdr:colOff>590550</xdr:colOff>
                <xdr:row>2</xdr:row>
                <xdr:rowOff>171450</xdr:rowOff>
              </to>
            </anchor>
          </controlPr>
        </control>
      </mc:Choice>
      <mc:Fallback>
        <control shapeId="1036" r:id="rId4" name="cmdGetTrend"/>
      </mc:Fallback>
    </mc:AlternateContent>
    <mc:AlternateContent xmlns:mc="http://schemas.openxmlformats.org/markup-compatibility/2006">
      <mc:Choice Requires="x14">
        <control shapeId="1034" r:id="rId6" name="cmdAverage">
          <controlPr defaultSize="0" autoLine="0" r:id="rId7">
            <anchor moveWithCells="1">
              <from>
                <xdr:col>2</xdr:col>
                <xdr:colOff>314325</xdr:colOff>
                <xdr:row>1</xdr:row>
                <xdr:rowOff>0</xdr:rowOff>
              </from>
              <to>
                <xdr:col>5</xdr:col>
                <xdr:colOff>500063</xdr:colOff>
                <xdr:row>2</xdr:row>
                <xdr:rowOff>176213</xdr:rowOff>
              </to>
            </anchor>
          </controlPr>
        </control>
      </mc:Choice>
      <mc:Fallback>
        <control shapeId="1034" r:id="rId6" name="cmdAverage"/>
      </mc:Fallback>
    </mc:AlternateContent>
    <mc:AlternateContent xmlns:mc="http://schemas.openxmlformats.org/markup-compatibility/2006">
      <mc:Choice Requires="x14">
        <control shapeId="1026" r:id="rId8" name="Button 2">
          <controlPr defaultSize="0" print="0" autoFill="0" autoPict="0" macro="[0]!cmdShowFileDialogBox">
            <anchor moveWithCells="1" sizeWithCells="1">
              <from>
                <xdr:col>0</xdr:col>
                <xdr:colOff>71438</xdr:colOff>
                <xdr:row>1</xdr:row>
                <xdr:rowOff>4763</xdr:rowOff>
              </from>
              <to>
                <xdr:col>2</xdr:col>
                <xdr:colOff>219075</xdr:colOff>
                <xdr:row>2</xdr:row>
                <xdr:rowOff>166688</xdr:rowOff>
              </to>
            </anchor>
          </controlPr>
        </control>
      </mc:Choice>
    </mc:AlternateContent>
    <mc:AlternateContent xmlns:mc="http://schemas.openxmlformats.org/markup-compatibility/2006">
      <mc:Choice Requires="x14">
        <control shapeId="1033" r:id="rId9" name="Button 9">
          <controlPr defaultSize="0" print="0" autoFill="0" autoPict="0" macro="[0]!KillSheets">
            <anchor moveWithCells="1" sizeWithCells="1">
              <from>
                <xdr:col>10</xdr:col>
                <xdr:colOff>295275</xdr:colOff>
                <xdr:row>1</xdr:row>
                <xdr:rowOff>4763</xdr:rowOff>
              </from>
              <to>
                <xdr:col>12</xdr:col>
                <xdr:colOff>33338</xdr:colOff>
                <xdr:row>2</xdr:row>
                <xdr:rowOff>161925</xdr:rowOff>
              </to>
            </anchor>
          </controlPr>
        </control>
      </mc:Choice>
    </mc:AlternateContent>
    <mc:AlternateContent xmlns:mc="http://schemas.openxmlformats.org/markup-compatibility/2006">
      <mc:Choice Requires="x14">
        <control shapeId="1035" r:id="rId10" name="Button 11">
          <controlPr defaultSize="0" print="0" autoFill="0" autoPict="0" macro="[0]!PopulateExportSheet">
            <anchor moveWithCells="1" sizeWithCells="1">
              <from>
                <xdr:col>5</xdr:col>
                <xdr:colOff>590550</xdr:colOff>
                <xdr:row>1</xdr:row>
                <xdr:rowOff>9525</xdr:rowOff>
              </from>
              <to>
                <xdr:col>8</xdr:col>
                <xdr:colOff>119063</xdr:colOff>
                <xdr:row>2</xdr:row>
                <xdr:rowOff>166688</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E7DE-5304-4489-BC16-5F368A6A26CA}">
  <sheetPr codeName="Sheet1"/>
  <dimension ref="B2:AV25"/>
  <sheetViews>
    <sheetView workbookViewId="0">
      <selection sqref="A1:XFD1048576"/>
    </sheetView>
  </sheetViews>
  <sheetFormatPr defaultRowHeight="14.25"/>
  <sheetData>
    <row r="2" spans="2:48">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row>
    <row r="3" spans="2:48">
      <c r="B3" s="7"/>
      <c r="D3" s="7"/>
      <c r="F3" s="7"/>
      <c r="H3" s="7"/>
      <c r="J3" s="7"/>
      <c r="L3" s="7"/>
      <c r="N3" s="7"/>
      <c r="P3" s="7"/>
      <c r="R3" s="7"/>
      <c r="T3" s="7"/>
      <c r="V3" s="7"/>
      <c r="X3" s="7"/>
      <c r="Z3" s="7"/>
      <c r="AA3" s="7"/>
      <c r="AB3" s="7"/>
      <c r="AC3" s="7"/>
      <c r="AD3" s="7"/>
      <c r="AE3" s="7"/>
      <c r="AF3" s="7"/>
      <c r="AG3" s="7"/>
      <c r="AH3" s="7"/>
      <c r="AI3" s="7"/>
      <c r="AJ3" s="7"/>
      <c r="AK3" s="7"/>
      <c r="AL3" s="7"/>
      <c r="AM3" s="7"/>
      <c r="AN3" s="7"/>
      <c r="AO3" s="7"/>
      <c r="AP3" s="7"/>
      <c r="AQ3" s="7"/>
      <c r="AR3" s="7"/>
      <c r="AS3" s="7"/>
      <c r="AT3" s="7"/>
      <c r="AU3" s="7"/>
      <c r="AV3" s="7"/>
    </row>
    <row r="4" spans="2:48">
      <c r="AA4" s="7"/>
      <c r="AB4" s="7"/>
      <c r="AC4" s="7"/>
      <c r="AD4" s="7"/>
      <c r="AE4" s="7"/>
      <c r="AF4" s="7"/>
      <c r="AG4" s="7"/>
      <c r="AH4" s="7"/>
      <c r="AI4" s="7"/>
      <c r="AJ4" s="7"/>
      <c r="AK4" s="7"/>
      <c r="AL4" s="7"/>
      <c r="AM4" s="7"/>
      <c r="AN4" s="7"/>
      <c r="AO4" s="7"/>
      <c r="AP4" s="7"/>
      <c r="AQ4" s="7"/>
      <c r="AR4" s="7"/>
      <c r="AS4" s="7"/>
      <c r="AT4" s="7"/>
      <c r="AU4" s="7"/>
      <c r="AV4" s="7"/>
    </row>
    <row r="5" spans="2:48">
      <c r="AB5" s="7"/>
      <c r="AC5" s="7"/>
      <c r="AD5" s="7"/>
      <c r="AE5" s="7"/>
      <c r="AF5" s="7"/>
      <c r="AG5" s="7"/>
      <c r="AH5" s="7"/>
      <c r="AI5" s="7"/>
      <c r="AJ5" s="7"/>
      <c r="AK5" s="7"/>
      <c r="AL5" s="7"/>
      <c r="AM5" s="7"/>
      <c r="AN5" s="7"/>
      <c r="AO5" s="7"/>
      <c r="AP5" s="7"/>
      <c r="AQ5" s="7"/>
      <c r="AR5" s="7"/>
      <c r="AS5" s="7"/>
      <c r="AT5" s="7"/>
      <c r="AU5" s="7"/>
      <c r="AV5" s="7"/>
    </row>
    <row r="6" spans="2:48">
      <c r="AC6" s="7"/>
      <c r="AD6" s="7"/>
      <c r="AE6" s="7"/>
      <c r="AF6" s="7"/>
      <c r="AG6" s="7"/>
      <c r="AH6" s="7"/>
      <c r="AI6" s="7"/>
      <c r="AJ6" s="7"/>
      <c r="AK6" s="7"/>
      <c r="AL6" s="7"/>
      <c r="AM6" s="7"/>
      <c r="AN6" s="7"/>
      <c r="AO6" s="7"/>
      <c r="AP6" s="7"/>
      <c r="AQ6" s="7"/>
      <c r="AR6" s="7"/>
      <c r="AS6" s="7"/>
      <c r="AT6" s="7"/>
      <c r="AU6" s="7"/>
      <c r="AV6" s="7"/>
    </row>
    <row r="7" spans="2:48">
      <c r="AD7" s="7"/>
      <c r="AE7" s="7"/>
      <c r="AF7" s="7"/>
      <c r="AG7" s="7"/>
      <c r="AH7" s="7"/>
      <c r="AI7" s="7"/>
      <c r="AJ7" s="7"/>
      <c r="AK7" s="7"/>
      <c r="AL7" s="7"/>
      <c r="AM7" s="7"/>
      <c r="AN7" s="7"/>
      <c r="AO7" s="7"/>
      <c r="AP7" s="7"/>
      <c r="AQ7" s="7"/>
      <c r="AR7" s="7"/>
      <c r="AS7" s="7"/>
      <c r="AT7" s="7"/>
      <c r="AU7" s="7"/>
      <c r="AV7" s="7"/>
    </row>
    <row r="8" spans="2:48">
      <c r="AE8" s="7"/>
      <c r="AF8" s="7"/>
      <c r="AG8" s="7"/>
      <c r="AH8" s="7"/>
      <c r="AI8" s="7"/>
      <c r="AJ8" s="7"/>
      <c r="AK8" s="7"/>
      <c r="AL8" s="7"/>
      <c r="AM8" s="7"/>
      <c r="AN8" s="7"/>
      <c r="AO8" s="7"/>
      <c r="AP8" s="7"/>
      <c r="AQ8" s="7"/>
      <c r="AR8" s="7"/>
      <c r="AS8" s="7"/>
      <c r="AT8" s="7"/>
      <c r="AU8" s="7"/>
      <c r="AV8" s="7"/>
    </row>
    <row r="9" spans="2:48">
      <c r="AF9" s="7"/>
      <c r="AG9" s="7"/>
      <c r="AH9" s="7"/>
      <c r="AI9" s="7"/>
      <c r="AJ9" s="7"/>
      <c r="AK9" s="7"/>
      <c r="AL9" s="7"/>
      <c r="AM9" s="7"/>
      <c r="AN9" s="7"/>
      <c r="AO9" s="7"/>
      <c r="AP9" s="7"/>
      <c r="AQ9" s="7"/>
      <c r="AR9" s="7"/>
      <c r="AS9" s="7"/>
      <c r="AT9" s="7"/>
      <c r="AU9" s="7"/>
      <c r="AV9" s="7"/>
    </row>
    <row r="10" spans="2:48">
      <c r="AG10" s="7"/>
      <c r="AH10" s="7"/>
      <c r="AI10" s="7"/>
      <c r="AJ10" s="7"/>
      <c r="AK10" s="7"/>
      <c r="AL10" s="7"/>
      <c r="AM10" s="7"/>
      <c r="AN10" s="7"/>
      <c r="AO10" s="7"/>
      <c r="AP10" s="7"/>
      <c r="AQ10" s="7"/>
      <c r="AR10" s="7"/>
      <c r="AS10" s="7"/>
      <c r="AT10" s="7"/>
      <c r="AU10" s="7"/>
      <c r="AV10" s="7"/>
    </row>
    <row r="11" spans="2:48">
      <c r="AH11" s="7"/>
      <c r="AI11" s="7"/>
      <c r="AJ11" s="7"/>
      <c r="AK11" s="7"/>
      <c r="AL11" s="7"/>
      <c r="AM11" s="7"/>
      <c r="AN11" s="7"/>
      <c r="AO11" s="7"/>
      <c r="AP11" s="7"/>
      <c r="AQ11" s="7"/>
      <c r="AR11" s="7"/>
      <c r="AS11" s="7"/>
      <c r="AT11" s="7"/>
      <c r="AU11" s="7"/>
      <c r="AV11" s="7"/>
    </row>
    <row r="12" spans="2:48">
      <c r="AI12" s="7"/>
      <c r="AJ12" s="7"/>
      <c r="AK12" s="7"/>
      <c r="AL12" s="7"/>
      <c r="AM12" s="7"/>
      <c r="AN12" s="7"/>
      <c r="AO12" s="7"/>
      <c r="AP12" s="7"/>
      <c r="AQ12" s="7"/>
      <c r="AR12" s="7"/>
      <c r="AS12" s="7"/>
      <c r="AT12" s="7"/>
      <c r="AU12" s="7"/>
      <c r="AV12" s="7"/>
    </row>
    <row r="13" spans="2:48">
      <c r="AJ13" s="7"/>
      <c r="AK13" s="7"/>
      <c r="AL13" s="7"/>
      <c r="AM13" s="7"/>
      <c r="AN13" s="7"/>
      <c r="AO13" s="7"/>
      <c r="AP13" s="7"/>
      <c r="AQ13" s="7"/>
      <c r="AR13" s="7"/>
      <c r="AS13" s="7"/>
      <c r="AT13" s="7"/>
      <c r="AU13" s="7"/>
      <c r="AV13" s="7"/>
    </row>
    <row r="14" spans="2:48">
      <c r="AK14" s="7"/>
      <c r="AL14" s="7"/>
      <c r="AM14" s="7"/>
      <c r="AN14" s="7"/>
      <c r="AO14" s="7"/>
      <c r="AP14" s="7"/>
      <c r="AQ14" s="7"/>
      <c r="AR14" s="7"/>
      <c r="AS14" s="7"/>
      <c r="AT14" s="7"/>
      <c r="AU14" s="7"/>
      <c r="AV14" s="7"/>
    </row>
    <row r="15" spans="2:48">
      <c r="AL15" s="7"/>
      <c r="AM15" s="7"/>
      <c r="AN15" s="7"/>
      <c r="AO15" s="7"/>
      <c r="AP15" s="7"/>
      <c r="AQ15" s="7"/>
      <c r="AR15" s="7"/>
      <c r="AS15" s="7"/>
      <c r="AT15" s="7"/>
      <c r="AU15" s="7"/>
      <c r="AV15" s="7"/>
    </row>
    <row r="16" spans="2:48">
      <c r="AM16" s="7"/>
      <c r="AN16" s="7"/>
      <c r="AO16" s="7"/>
      <c r="AP16" s="7"/>
      <c r="AQ16" s="7"/>
      <c r="AR16" s="7"/>
      <c r="AS16" s="7"/>
      <c r="AT16" s="7"/>
      <c r="AU16" s="7"/>
      <c r="AV16" s="7"/>
    </row>
    <row r="17" spans="40:48">
      <c r="AN17" s="7"/>
      <c r="AO17" s="7"/>
      <c r="AP17" s="7"/>
      <c r="AQ17" s="7"/>
      <c r="AR17" s="7"/>
      <c r="AS17" s="7"/>
      <c r="AT17" s="7"/>
      <c r="AU17" s="7"/>
      <c r="AV17" s="7"/>
    </row>
    <row r="18" spans="40:48">
      <c r="AO18" s="7"/>
      <c r="AP18" s="7"/>
      <c r="AQ18" s="7"/>
      <c r="AR18" s="7"/>
      <c r="AS18" s="7"/>
      <c r="AT18" s="7"/>
      <c r="AU18" s="7"/>
      <c r="AV18" s="7"/>
    </row>
    <row r="19" spans="40:48">
      <c r="AP19" s="7"/>
      <c r="AQ19" s="7"/>
      <c r="AR19" s="7"/>
      <c r="AS19" s="7"/>
      <c r="AT19" s="7"/>
      <c r="AU19" s="7"/>
      <c r="AV19" s="7"/>
    </row>
    <row r="20" spans="40:48">
      <c r="AQ20" s="7"/>
      <c r="AR20" s="7"/>
      <c r="AS20" s="7"/>
      <c r="AT20" s="7"/>
      <c r="AU20" s="7"/>
      <c r="AV20" s="7"/>
    </row>
    <row r="21" spans="40:48">
      <c r="AR21" s="7"/>
      <c r="AS21" s="7"/>
      <c r="AT21" s="7"/>
      <c r="AU21" s="7"/>
      <c r="AV21" s="7"/>
    </row>
    <row r="22" spans="40:48">
      <c r="AS22" s="7"/>
      <c r="AT22" s="7"/>
      <c r="AU22" s="7"/>
      <c r="AV22" s="7"/>
    </row>
    <row r="23" spans="40:48">
      <c r="AT23" s="7"/>
      <c r="AU23" s="7"/>
      <c r="AV23" s="7"/>
    </row>
    <row r="24" spans="40:48">
      <c r="AU24" s="7"/>
      <c r="AV24" s="7"/>
    </row>
    <row r="25" spans="40:48">
      <c r="AV25"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13525-12E2-467C-8E29-952FADBC22C2}">
  <sheetPr codeName="Sheet2"/>
  <dimension ref="A2:AL610"/>
  <sheetViews>
    <sheetView zoomScale="55" zoomScaleNormal="55" workbookViewId="0"/>
  </sheetViews>
  <sheetFormatPr defaultRowHeight="14.25"/>
  <cols>
    <col min="1" max="1" width="9.06640625" bestFit="1" customWidth="1"/>
    <col min="2" max="2" width="13.265625" bestFit="1" customWidth="1"/>
    <col min="3" max="3" width="11.265625" customWidth="1"/>
    <col min="4" max="4" width="12.73046875" customWidth="1"/>
    <col min="5" max="6" width="9.06640625" bestFit="1" customWidth="1"/>
    <col min="7" max="7" width="6.86328125" customWidth="1"/>
    <col min="8" max="8" width="7" customWidth="1"/>
    <col min="9" max="9" width="15.86328125" customWidth="1"/>
    <col min="10" max="10" width="5.06640625" customWidth="1"/>
    <col min="11" max="11" width="6.6640625" customWidth="1"/>
    <col min="12" max="12" width="14.265625" customWidth="1"/>
    <col min="13" max="13" width="13" customWidth="1"/>
    <col min="19" max="19" width="13.265625" bestFit="1" customWidth="1"/>
    <col min="21" max="21" width="9" bestFit="1" customWidth="1"/>
    <col min="23" max="23" width="9" bestFit="1" customWidth="1"/>
    <col min="26" max="26" width="9" bestFit="1" customWidth="1"/>
    <col min="27" max="27" width="10.73046875" customWidth="1"/>
    <col min="33" max="33" width="11.33203125" customWidth="1"/>
    <col min="34" max="34" width="11.73046875" customWidth="1"/>
    <col min="35" max="35" width="9.86328125" customWidth="1"/>
  </cols>
  <sheetData>
    <row r="2" spans="1:38" ht="15.75">
      <c r="AC2" t="s">
        <v>55</v>
      </c>
      <c r="AD2" t="s">
        <v>38</v>
      </c>
      <c r="AE2" t="s">
        <v>39</v>
      </c>
      <c r="AF2" t="s">
        <v>40</v>
      </c>
      <c r="AG2" t="s">
        <v>59</v>
      </c>
      <c r="AH2" t="s">
        <v>60</v>
      </c>
      <c r="AI2" t="s">
        <v>61</v>
      </c>
      <c r="AJ2" t="s">
        <v>62</v>
      </c>
      <c r="AK2" t="s">
        <v>63</v>
      </c>
      <c r="AL2" t="s">
        <v>64</v>
      </c>
    </row>
    <row r="3" spans="1:38" ht="15.75">
      <c r="L3" s="58" t="s">
        <v>98</v>
      </c>
      <c r="M3" s="58"/>
      <c r="AB3" t="s">
        <v>48</v>
      </c>
      <c r="AC3" t="s">
        <v>85</v>
      </c>
      <c r="AD3" t="s">
        <v>54</v>
      </c>
      <c r="AE3" t="s">
        <v>54</v>
      </c>
      <c r="AF3" t="s">
        <v>54</v>
      </c>
      <c r="AG3" t="s">
        <v>58</v>
      </c>
      <c r="AH3" t="s">
        <v>58</v>
      </c>
      <c r="AI3" t="s">
        <v>58</v>
      </c>
      <c r="AJ3" t="s">
        <v>65</v>
      </c>
      <c r="AK3" t="s">
        <v>65</v>
      </c>
      <c r="AL3" t="s">
        <v>65</v>
      </c>
    </row>
    <row r="4" spans="1:38">
      <c r="B4" s="9" t="s">
        <v>34</v>
      </c>
      <c r="C4" s="10"/>
      <c r="D4" s="9" t="s">
        <v>35</v>
      </c>
      <c r="E4" s="10">
        <v>0</v>
      </c>
      <c r="F4" s="9"/>
      <c r="G4" s="9"/>
      <c r="H4" s="9"/>
      <c r="I4" s="9"/>
      <c r="J4" s="9"/>
      <c r="K4" s="56" t="s">
        <v>52</v>
      </c>
      <c r="L4" s="58" t="s">
        <v>96</v>
      </c>
      <c r="M4" s="58"/>
      <c r="R4" s="15" t="s">
        <v>34</v>
      </c>
      <c r="S4" s="15"/>
      <c r="T4" s="15" t="s">
        <v>35</v>
      </c>
      <c r="U4" s="15"/>
      <c r="V4" s="15"/>
      <c r="W4" s="15"/>
      <c r="X4" s="15"/>
      <c r="Y4" s="15"/>
      <c r="Z4" s="15"/>
      <c r="AA4" s="15" t="str">
        <f>L4</f>
        <v>lagtime/s</v>
      </c>
      <c r="AB4">
        <v>1</v>
      </c>
      <c r="AC4">
        <f>S5/10000000000</f>
        <v>0</v>
      </c>
      <c r="AD4">
        <f>W5</f>
        <v>0</v>
      </c>
      <c r="AE4">
        <f>W6</f>
        <v>0</v>
      </c>
      <c r="AF4">
        <f>W7</f>
        <v>0</v>
      </c>
      <c r="AG4" t="e">
        <f>(10000000)*(1000*AD4)/(10000000000*AC4)</f>
        <v>#DIV/0!</v>
      </c>
      <c r="AH4" t="e">
        <f>(10000000)*(1000*AE4)/(10000000000*AC4)</f>
        <v>#DIV/0!</v>
      </c>
      <c r="AI4" t="e">
        <f>(10000000)*(1000*AF4)/(10000000000*AC4)</f>
        <v>#DIV/0!</v>
      </c>
      <c r="AJ4" t="e">
        <f t="shared" ref="AJ4:AL9" si="0">(kBoltz*TdegK)/(6*PI()*EtaP*AG4/10000000)*10000000</f>
        <v>#DIV/0!</v>
      </c>
      <c r="AK4" t="e">
        <f t="shared" si="0"/>
        <v>#DIV/0!</v>
      </c>
      <c r="AL4" t="e">
        <f t="shared" si="0"/>
        <v>#DIV/0!</v>
      </c>
    </row>
    <row r="5" spans="1:38" ht="15.75">
      <c r="B5" s="9" t="s">
        <v>41</v>
      </c>
      <c r="C5" s="13">
        <f>(4*PI()*Refin*SIN(RADIANS(C4/2))/LamCM)^2</f>
        <v>0</v>
      </c>
      <c r="D5" s="9" t="s">
        <v>36</v>
      </c>
      <c r="E5" s="10">
        <v>0.5</v>
      </c>
      <c r="F5" s="9" t="s">
        <v>38</v>
      </c>
      <c r="G5" s="10">
        <v>1</v>
      </c>
      <c r="H5" s="9" t="s">
        <v>54</v>
      </c>
      <c r="I5" s="9" t="s">
        <v>47</v>
      </c>
      <c r="J5" s="10">
        <v>10</v>
      </c>
      <c r="K5" s="57">
        <f>J5+10</f>
        <v>20</v>
      </c>
      <c r="L5" s="58">
        <f ca="1">INDIRECT("B"&amp;K5)</f>
        <v>0</v>
      </c>
      <c r="M5" s="58">
        <v>0</v>
      </c>
      <c r="R5" s="15" t="s">
        <v>53</v>
      </c>
      <c r="S5" s="15"/>
      <c r="T5" s="15" t="s">
        <v>36</v>
      </c>
      <c r="U5" s="15"/>
      <c r="V5" s="15" t="s">
        <v>38</v>
      </c>
      <c r="W5" s="15"/>
      <c r="X5" s="15" t="s">
        <v>54</v>
      </c>
      <c r="Y5" s="15" t="s">
        <v>47</v>
      </c>
      <c r="Z5" s="15"/>
      <c r="AA5" s="15">
        <f ca="1">L$5</f>
        <v>0</v>
      </c>
      <c r="AB5">
        <v>2</v>
      </c>
      <c r="AC5">
        <f>S10/10000000000</f>
        <v>0</v>
      </c>
      <c r="AD5">
        <f>W10</f>
        <v>0</v>
      </c>
      <c r="AE5">
        <f>W11</f>
        <v>0</v>
      </c>
      <c r="AF5">
        <f>W12</f>
        <v>0</v>
      </c>
      <c r="AG5" t="e">
        <f t="shared" ref="AG5:AG11" si="1">(10000000)*(1000*AD5)/(10000000000*AC5)</f>
        <v>#DIV/0!</v>
      </c>
      <c r="AH5" t="e">
        <f t="shared" ref="AH5:AH11" si="2">(10000000)*(1000*AE5)/(10000000000*AC5)</f>
        <v>#DIV/0!</v>
      </c>
      <c r="AI5" t="e">
        <f t="shared" ref="AI5:AI11" si="3">(10000000)*(1000*AF5)/(10000000000*AC5)</f>
        <v>#DIV/0!</v>
      </c>
      <c r="AJ5" t="e">
        <f t="shared" si="0"/>
        <v>#DIV/0!</v>
      </c>
      <c r="AK5" t="e">
        <f t="shared" si="0"/>
        <v>#DIV/0!</v>
      </c>
      <c r="AL5" t="e">
        <f t="shared" si="0"/>
        <v>#DIV/0!</v>
      </c>
    </row>
    <row r="6" spans="1:38">
      <c r="B6" s="9"/>
      <c r="C6" s="9"/>
      <c r="D6" s="9" t="s">
        <v>3</v>
      </c>
      <c r="E6" s="10">
        <v>0</v>
      </c>
      <c r="F6" s="9" t="s">
        <v>39</v>
      </c>
      <c r="G6" s="10">
        <v>0</v>
      </c>
      <c r="H6" s="9" t="s">
        <v>54</v>
      </c>
      <c r="I6" s="9" t="s">
        <v>51</v>
      </c>
      <c r="J6" s="10">
        <v>128</v>
      </c>
      <c r="K6" s="57">
        <f>J6+10</f>
        <v>138</v>
      </c>
      <c r="L6" s="58">
        <f ca="1">INDIRECT("B"&amp;K5)</f>
        <v>0</v>
      </c>
      <c r="M6" s="58">
        <v>0.95</v>
      </c>
      <c r="R6" s="15"/>
      <c r="S6" s="15"/>
      <c r="T6" s="15" t="s">
        <v>3</v>
      </c>
      <c r="U6" s="15"/>
      <c r="V6" s="15" t="s">
        <v>39</v>
      </c>
      <c r="W6" s="15"/>
      <c r="X6" s="15" t="s">
        <v>54</v>
      </c>
      <c r="Y6" s="15" t="s">
        <v>51</v>
      </c>
      <c r="Z6" s="15"/>
      <c r="AA6" s="15">
        <f ca="1">L$7</f>
        <v>0</v>
      </c>
      <c r="AB6">
        <v>3</v>
      </c>
      <c r="AC6">
        <f>S15/10000000000</f>
        <v>0</v>
      </c>
      <c r="AD6">
        <f>W15</f>
        <v>0</v>
      </c>
      <c r="AE6">
        <f>W16</f>
        <v>0</v>
      </c>
      <c r="AF6">
        <f>W17</f>
        <v>0</v>
      </c>
      <c r="AG6" t="e">
        <f t="shared" si="1"/>
        <v>#DIV/0!</v>
      </c>
      <c r="AH6" t="e">
        <f t="shared" si="2"/>
        <v>#DIV/0!</v>
      </c>
      <c r="AI6" t="e">
        <f t="shared" si="3"/>
        <v>#DIV/0!</v>
      </c>
      <c r="AJ6" t="e">
        <f t="shared" si="0"/>
        <v>#DIV/0!</v>
      </c>
      <c r="AK6" t="e">
        <f t="shared" si="0"/>
        <v>#DIV/0!</v>
      </c>
      <c r="AL6" t="e">
        <f t="shared" si="0"/>
        <v>#DIV/0!</v>
      </c>
    </row>
    <row r="7" spans="1:38">
      <c r="B7" s="9"/>
      <c r="C7" s="9"/>
      <c r="D7" s="9" t="s">
        <v>37</v>
      </c>
      <c r="E7" s="10">
        <v>0</v>
      </c>
      <c r="F7" s="9" t="s">
        <v>40</v>
      </c>
      <c r="G7" s="10">
        <v>0</v>
      </c>
      <c r="H7" s="9" t="s">
        <v>54</v>
      </c>
      <c r="I7" s="9"/>
      <c r="J7" s="9"/>
      <c r="K7" s="57"/>
      <c r="L7" s="58">
        <f ca="1">INDIRECT("B"&amp;K6)</f>
        <v>0</v>
      </c>
      <c r="M7" s="58">
        <v>0</v>
      </c>
      <c r="R7" s="15"/>
      <c r="S7" s="15"/>
      <c r="T7" s="15" t="s">
        <v>37</v>
      </c>
      <c r="U7" s="15"/>
      <c r="V7" s="15" t="s">
        <v>40</v>
      </c>
      <c r="W7" s="15"/>
      <c r="X7" s="15" t="s">
        <v>54</v>
      </c>
      <c r="Y7" s="15"/>
      <c r="Z7" s="15"/>
      <c r="AA7" s="15"/>
      <c r="AB7">
        <v>4</v>
      </c>
      <c r="AC7">
        <f>S20/10000000000</f>
        <v>0</v>
      </c>
      <c r="AD7">
        <f>W20</f>
        <v>0</v>
      </c>
      <c r="AE7">
        <f>W21</f>
        <v>0</v>
      </c>
      <c r="AF7">
        <f>W22</f>
        <v>0</v>
      </c>
      <c r="AG7" t="e">
        <f t="shared" si="1"/>
        <v>#DIV/0!</v>
      </c>
      <c r="AH7" t="e">
        <f t="shared" si="2"/>
        <v>#DIV/0!</v>
      </c>
      <c r="AI7" t="e">
        <f t="shared" si="3"/>
        <v>#DIV/0!</v>
      </c>
      <c r="AJ7" t="e">
        <f t="shared" si="0"/>
        <v>#DIV/0!</v>
      </c>
      <c r="AK7" t="e">
        <f t="shared" si="0"/>
        <v>#DIV/0!</v>
      </c>
      <c r="AL7" t="e">
        <f t="shared" si="0"/>
        <v>#DIV/0!</v>
      </c>
    </row>
    <row r="8" spans="1:38">
      <c r="L8" s="58">
        <f ca="1">INDIRECT("B"&amp;K6)</f>
        <v>0</v>
      </c>
      <c r="M8" s="58">
        <v>0.95</v>
      </c>
      <c r="AB8">
        <v>5</v>
      </c>
      <c r="AC8">
        <f>S25/10000000000</f>
        <v>0</v>
      </c>
      <c r="AD8">
        <f>W25</f>
        <v>0</v>
      </c>
      <c r="AE8">
        <f>W26</f>
        <v>0</v>
      </c>
      <c r="AF8">
        <f>W27</f>
        <v>0</v>
      </c>
      <c r="AG8" t="e">
        <f t="shared" si="1"/>
        <v>#DIV/0!</v>
      </c>
      <c r="AH8" t="e">
        <f t="shared" si="2"/>
        <v>#DIV/0!</v>
      </c>
      <c r="AI8" t="e">
        <f t="shared" si="3"/>
        <v>#DIV/0!</v>
      </c>
      <c r="AJ8" t="e">
        <f t="shared" si="0"/>
        <v>#DIV/0!</v>
      </c>
      <c r="AK8" t="e">
        <f t="shared" si="0"/>
        <v>#DIV/0!</v>
      </c>
      <c r="AL8" t="e">
        <f t="shared" si="0"/>
        <v>#DIV/0!</v>
      </c>
    </row>
    <row r="9" spans="1:38">
      <c r="R9" s="16" t="s">
        <v>34</v>
      </c>
      <c r="S9" s="16"/>
      <c r="T9" s="16" t="s">
        <v>35</v>
      </c>
      <c r="U9" s="16"/>
      <c r="V9" s="16"/>
      <c r="W9" s="16"/>
      <c r="X9" s="16"/>
      <c r="Y9" s="16"/>
      <c r="Z9" s="16"/>
      <c r="AA9" s="16">
        <f>L9</f>
        <v>0</v>
      </c>
      <c r="AB9">
        <v>6</v>
      </c>
      <c r="AC9">
        <f>S30/10000000000</f>
        <v>0</v>
      </c>
      <c r="AD9">
        <f>W30</f>
        <v>0</v>
      </c>
      <c r="AE9">
        <f>W31</f>
        <v>0</v>
      </c>
      <c r="AF9">
        <v>0</v>
      </c>
      <c r="AG9" t="e">
        <f t="shared" si="1"/>
        <v>#DIV/0!</v>
      </c>
      <c r="AH9" t="e">
        <f t="shared" si="2"/>
        <v>#DIV/0!</v>
      </c>
      <c r="AI9" t="e">
        <f t="shared" si="3"/>
        <v>#DIV/0!</v>
      </c>
      <c r="AJ9" t="e">
        <f t="shared" si="0"/>
        <v>#DIV/0!</v>
      </c>
      <c r="AK9" t="e">
        <f t="shared" ref="AK9:AL11" si="4">(kBoltz*TdegK)/(6*PI()*EtaP*AH9/10000000)*10000000</f>
        <v>#DIV/0!</v>
      </c>
      <c r="AL9" t="e">
        <f t="shared" si="4"/>
        <v>#DIV/0!</v>
      </c>
    </row>
    <row r="10" spans="1:38" ht="15.75">
      <c r="A10" t="s">
        <v>48</v>
      </c>
      <c r="B10" t="s">
        <v>42</v>
      </c>
      <c r="C10" t="s">
        <v>43</v>
      </c>
      <c r="D10" t="s">
        <v>45</v>
      </c>
      <c r="E10" t="s">
        <v>46</v>
      </c>
      <c r="F10" t="s">
        <v>50</v>
      </c>
      <c r="G10" t="s">
        <v>49</v>
      </c>
      <c r="H10" t="s">
        <v>44</v>
      </c>
      <c r="R10" s="16" t="s">
        <v>53</v>
      </c>
      <c r="S10" s="16"/>
      <c r="T10" s="16" t="s">
        <v>36</v>
      </c>
      <c r="U10" s="16"/>
      <c r="V10" s="16" t="s">
        <v>38</v>
      </c>
      <c r="W10" s="16"/>
      <c r="X10" s="16" t="s">
        <v>54</v>
      </c>
      <c r="Y10" s="16" t="s">
        <v>47</v>
      </c>
      <c r="Z10" s="16"/>
      <c r="AA10" s="16">
        <f ca="1">L$5</f>
        <v>0</v>
      </c>
      <c r="AB10">
        <v>7</v>
      </c>
      <c r="AC10">
        <f>S35/10000000000</f>
        <v>0</v>
      </c>
      <c r="AD10">
        <f>W35</f>
        <v>0</v>
      </c>
      <c r="AE10">
        <f>W36</f>
        <v>0</v>
      </c>
      <c r="AF10">
        <f>W37</f>
        <v>0</v>
      </c>
      <c r="AG10" t="e">
        <f t="shared" si="1"/>
        <v>#DIV/0!</v>
      </c>
      <c r="AH10" t="e">
        <f t="shared" si="2"/>
        <v>#DIV/0!</v>
      </c>
      <c r="AI10" t="e">
        <f t="shared" si="3"/>
        <v>#DIV/0!</v>
      </c>
      <c r="AJ10" t="e">
        <f>(kBoltz*TdegK)/(6*PI()*EtaP*AG10/10000000)*10000000</f>
        <v>#DIV/0!</v>
      </c>
      <c r="AK10" t="e">
        <f t="shared" si="4"/>
        <v>#DIV/0!</v>
      </c>
      <c r="AL10" t="e">
        <f t="shared" si="4"/>
        <v>#DIV/0!</v>
      </c>
    </row>
    <row r="11" spans="1:38">
      <c r="A11">
        <v>1</v>
      </c>
      <c r="B11">
        <f>C11/1000</f>
        <v>0</v>
      </c>
      <c r="C11" s="11"/>
      <c r="D11" s="11"/>
      <c r="E11">
        <f t="shared" ref="E11:E74" si="5">BaseAdjust+(ampl1*EXP(-gamma1*C11)+ampl2*EXP(-gamma2*C11)+ampl3*EXP(-gamma3*C11))^2</f>
        <v>0.25</v>
      </c>
      <c r="F11">
        <f>D11-E11</f>
        <v>-0.25</v>
      </c>
      <c r="G11">
        <f>F11^2</f>
        <v>6.25E-2</v>
      </c>
      <c r="H11">
        <f ca="1">SUM(INDIRECT("G"&amp;K5&amp;":G"&amp;K6))</f>
        <v>7.4375</v>
      </c>
      <c r="R11" s="16"/>
      <c r="S11" s="16"/>
      <c r="T11" s="16" t="s">
        <v>3</v>
      </c>
      <c r="U11" s="16"/>
      <c r="V11" s="16" t="s">
        <v>39</v>
      </c>
      <c r="W11" s="16"/>
      <c r="X11" s="16" t="s">
        <v>54</v>
      </c>
      <c r="Y11" s="16" t="s">
        <v>51</v>
      </c>
      <c r="Z11" s="16"/>
      <c r="AA11" s="16">
        <f ca="1">L$7</f>
        <v>0</v>
      </c>
      <c r="AB11">
        <v>8</v>
      </c>
      <c r="AC11">
        <f>S40/10000000000</f>
        <v>0</v>
      </c>
      <c r="AD11">
        <f>W40</f>
        <v>0</v>
      </c>
      <c r="AE11">
        <f>W41</f>
        <v>0</v>
      </c>
      <c r="AF11">
        <f>W42</f>
        <v>0</v>
      </c>
      <c r="AG11" t="e">
        <f t="shared" si="1"/>
        <v>#DIV/0!</v>
      </c>
      <c r="AH11" t="e">
        <f t="shared" si="2"/>
        <v>#DIV/0!</v>
      </c>
      <c r="AI11" t="e">
        <f t="shared" si="3"/>
        <v>#DIV/0!</v>
      </c>
      <c r="AJ11" t="e">
        <f>(kBoltz*TdegK)/(6*PI()*EtaP*AG11/10000000)*10000000</f>
        <v>#DIV/0!</v>
      </c>
      <c r="AK11" t="e">
        <f t="shared" si="4"/>
        <v>#DIV/0!</v>
      </c>
      <c r="AL11" t="e">
        <f t="shared" si="4"/>
        <v>#DIV/0!</v>
      </c>
    </row>
    <row r="12" spans="1:38">
      <c r="A12">
        <v>2</v>
      </c>
      <c r="B12">
        <f t="shared" ref="B12:B75" si="6">C12/1000</f>
        <v>0</v>
      </c>
      <c r="C12" s="10"/>
      <c r="D12" s="10"/>
      <c r="E12">
        <f t="shared" si="5"/>
        <v>0.25</v>
      </c>
      <c r="F12">
        <f t="shared" ref="F12:F75" si="7">D12-E12</f>
        <v>-0.25</v>
      </c>
      <c r="G12">
        <f t="shared" ref="G12:G75" si="8">F12^2</f>
        <v>6.25E-2</v>
      </c>
      <c r="R12" s="16"/>
      <c r="S12" s="16"/>
      <c r="T12" s="16" t="s">
        <v>37</v>
      </c>
      <c r="U12" s="16"/>
      <c r="V12" s="16" t="s">
        <v>40</v>
      </c>
      <c r="W12" s="16"/>
      <c r="X12" s="16" t="s">
        <v>54</v>
      </c>
      <c r="Y12" s="16"/>
      <c r="Z12" s="16"/>
      <c r="AA12" s="16"/>
    </row>
    <row r="13" spans="1:38">
      <c r="A13">
        <v>3</v>
      </c>
      <c r="B13">
        <f t="shared" si="6"/>
        <v>0</v>
      </c>
      <c r="C13" s="10"/>
      <c r="D13" s="10"/>
      <c r="E13">
        <f t="shared" si="5"/>
        <v>0.25</v>
      </c>
      <c r="F13">
        <f t="shared" si="7"/>
        <v>-0.25</v>
      </c>
      <c r="G13">
        <f t="shared" si="8"/>
        <v>6.25E-2</v>
      </c>
    </row>
    <row r="14" spans="1:38">
      <c r="A14">
        <v>4</v>
      </c>
      <c r="B14">
        <f t="shared" si="6"/>
        <v>0</v>
      </c>
      <c r="C14" s="10"/>
      <c r="D14" s="10"/>
      <c r="E14">
        <f t="shared" si="5"/>
        <v>0.25</v>
      </c>
      <c r="F14">
        <f t="shared" si="7"/>
        <v>-0.25</v>
      </c>
      <c r="G14">
        <f t="shared" si="8"/>
        <v>6.25E-2</v>
      </c>
      <c r="R14" s="17" t="s">
        <v>34</v>
      </c>
      <c r="S14" s="17"/>
      <c r="T14" s="17" t="s">
        <v>35</v>
      </c>
      <c r="U14" s="17"/>
      <c r="V14" s="17"/>
      <c r="W14" s="17"/>
      <c r="X14" s="17"/>
      <c r="Y14" s="17"/>
      <c r="Z14" s="17"/>
      <c r="AA14" s="17">
        <f>L14</f>
        <v>0</v>
      </c>
    </row>
    <row r="15" spans="1:38">
      <c r="A15">
        <v>5</v>
      </c>
      <c r="B15">
        <f t="shared" si="6"/>
        <v>0</v>
      </c>
      <c r="C15" s="10"/>
      <c r="D15" s="10"/>
      <c r="E15">
        <f t="shared" si="5"/>
        <v>0.25</v>
      </c>
      <c r="F15">
        <f t="shared" si="7"/>
        <v>-0.25</v>
      </c>
      <c r="G15">
        <f t="shared" si="8"/>
        <v>6.25E-2</v>
      </c>
      <c r="R15" s="17" t="s">
        <v>53</v>
      </c>
      <c r="S15" s="17"/>
      <c r="T15" s="17" t="s">
        <v>36</v>
      </c>
      <c r="U15" s="17"/>
      <c r="V15" s="17" t="s">
        <v>38</v>
      </c>
      <c r="W15" s="17"/>
      <c r="X15" s="17" t="s">
        <v>54</v>
      </c>
      <c r="Y15" s="17" t="s">
        <v>47</v>
      </c>
      <c r="Z15" s="17"/>
      <c r="AA15" s="17">
        <f ca="1">L$5</f>
        <v>0</v>
      </c>
    </row>
    <row r="16" spans="1:38">
      <c r="A16">
        <v>6</v>
      </c>
      <c r="B16">
        <f t="shared" si="6"/>
        <v>0</v>
      </c>
      <c r="C16" s="10"/>
      <c r="D16" s="10"/>
      <c r="E16">
        <f t="shared" si="5"/>
        <v>0.25</v>
      </c>
      <c r="F16">
        <f t="shared" si="7"/>
        <v>-0.25</v>
      </c>
      <c r="G16">
        <f t="shared" si="8"/>
        <v>6.25E-2</v>
      </c>
      <c r="R16" s="17"/>
      <c r="S16" s="17"/>
      <c r="T16" s="17" t="s">
        <v>3</v>
      </c>
      <c r="U16" s="17"/>
      <c r="V16" s="17" t="s">
        <v>39</v>
      </c>
      <c r="W16" s="17"/>
      <c r="X16" s="17" t="s">
        <v>54</v>
      </c>
      <c r="Y16" s="17" t="s">
        <v>51</v>
      </c>
      <c r="Z16" s="17"/>
      <c r="AA16" s="17">
        <f ca="1">L$7</f>
        <v>0</v>
      </c>
    </row>
    <row r="17" spans="1:27">
      <c r="A17">
        <v>7</v>
      </c>
      <c r="B17">
        <f t="shared" si="6"/>
        <v>0</v>
      </c>
      <c r="C17" s="10"/>
      <c r="D17" s="10"/>
      <c r="E17">
        <f t="shared" si="5"/>
        <v>0.25</v>
      </c>
      <c r="F17">
        <f t="shared" si="7"/>
        <v>-0.25</v>
      </c>
      <c r="G17">
        <f t="shared" si="8"/>
        <v>6.25E-2</v>
      </c>
      <c r="R17" s="17"/>
      <c r="S17" s="17"/>
      <c r="T17" s="17" t="s">
        <v>37</v>
      </c>
      <c r="U17" s="17"/>
      <c r="V17" s="17" t="s">
        <v>40</v>
      </c>
      <c r="W17" s="17"/>
      <c r="X17" s="17" t="s">
        <v>54</v>
      </c>
      <c r="Y17" s="17"/>
      <c r="Z17" s="17"/>
      <c r="AA17" s="17"/>
    </row>
    <row r="18" spans="1:27">
      <c r="A18">
        <v>8</v>
      </c>
      <c r="B18">
        <f t="shared" si="6"/>
        <v>0</v>
      </c>
      <c r="C18" s="10"/>
      <c r="D18" s="10"/>
      <c r="E18">
        <f t="shared" si="5"/>
        <v>0.25</v>
      </c>
      <c r="F18">
        <f t="shared" si="7"/>
        <v>-0.25</v>
      </c>
      <c r="G18">
        <f t="shared" si="8"/>
        <v>6.25E-2</v>
      </c>
    </row>
    <row r="19" spans="1:27">
      <c r="A19">
        <v>9</v>
      </c>
      <c r="B19">
        <f t="shared" si="6"/>
        <v>0</v>
      </c>
      <c r="C19" s="10"/>
      <c r="D19" s="10"/>
      <c r="E19">
        <f t="shared" si="5"/>
        <v>0.25</v>
      </c>
      <c r="F19">
        <f t="shared" si="7"/>
        <v>-0.25</v>
      </c>
      <c r="G19">
        <f t="shared" si="8"/>
        <v>6.25E-2</v>
      </c>
      <c r="R19" s="18" t="s">
        <v>34</v>
      </c>
      <c r="S19" s="18"/>
      <c r="T19" s="18" t="s">
        <v>35</v>
      </c>
      <c r="U19" s="18"/>
      <c r="V19" s="18"/>
      <c r="W19" s="18"/>
      <c r="X19" s="18"/>
      <c r="Y19" s="18"/>
      <c r="Z19" s="18"/>
      <c r="AA19" s="18">
        <f>L19</f>
        <v>0</v>
      </c>
    </row>
    <row r="20" spans="1:27">
      <c r="A20">
        <v>10</v>
      </c>
      <c r="B20">
        <f t="shared" si="6"/>
        <v>0</v>
      </c>
      <c r="C20" s="10"/>
      <c r="D20" s="10"/>
      <c r="E20">
        <f t="shared" si="5"/>
        <v>0.25</v>
      </c>
      <c r="F20">
        <f t="shared" si="7"/>
        <v>-0.25</v>
      </c>
      <c r="G20">
        <f t="shared" si="8"/>
        <v>6.25E-2</v>
      </c>
      <c r="R20" s="18" t="s">
        <v>53</v>
      </c>
      <c r="S20" s="18"/>
      <c r="T20" s="18" t="s">
        <v>36</v>
      </c>
      <c r="U20" s="18"/>
      <c r="V20" s="18" t="s">
        <v>38</v>
      </c>
      <c r="W20" s="18"/>
      <c r="X20" s="18" t="s">
        <v>54</v>
      </c>
      <c r="Y20" s="18" t="s">
        <v>47</v>
      </c>
      <c r="Z20" s="18"/>
      <c r="AA20" s="18">
        <f ca="1">L$5</f>
        <v>0</v>
      </c>
    </row>
    <row r="21" spans="1:27">
      <c r="A21">
        <v>11</v>
      </c>
      <c r="B21">
        <f t="shared" si="6"/>
        <v>0</v>
      </c>
      <c r="C21" s="10"/>
      <c r="D21" s="10"/>
      <c r="E21">
        <f t="shared" si="5"/>
        <v>0.25</v>
      </c>
      <c r="F21">
        <f t="shared" si="7"/>
        <v>-0.25</v>
      </c>
      <c r="G21">
        <f t="shared" si="8"/>
        <v>6.25E-2</v>
      </c>
      <c r="R21" s="18"/>
      <c r="S21" s="18"/>
      <c r="T21" s="18" t="s">
        <v>3</v>
      </c>
      <c r="U21" s="18"/>
      <c r="V21" s="18" t="s">
        <v>39</v>
      </c>
      <c r="W21" s="18"/>
      <c r="X21" s="18" t="s">
        <v>54</v>
      </c>
      <c r="Y21" s="18" t="s">
        <v>51</v>
      </c>
      <c r="Z21" s="18"/>
      <c r="AA21" s="18">
        <f ca="1">L$7</f>
        <v>0</v>
      </c>
    </row>
    <row r="22" spans="1:27">
      <c r="A22">
        <v>12</v>
      </c>
      <c r="B22">
        <f t="shared" si="6"/>
        <v>0</v>
      </c>
      <c r="C22" s="10"/>
      <c r="D22" s="10"/>
      <c r="E22">
        <f t="shared" si="5"/>
        <v>0.25</v>
      </c>
      <c r="F22">
        <f t="shared" si="7"/>
        <v>-0.25</v>
      </c>
      <c r="G22">
        <f t="shared" si="8"/>
        <v>6.25E-2</v>
      </c>
      <c r="R22" s="18"/>
      <c r="S22" s="18"/>
      <c r="T22" s="18" t="s">
        <v>37</v>
      </c>
      <c r="U22" s="18"/>
      <c r="V22" s="18" t="s">
        <v>40</v>
      </c>
      <c r="W22" s="18"/>
      <c r="X22" s="18" t="s">
        <v>54</v>
      </c>
      <c r="Y22" s="18"/>
      <c r="Z22" s="18"/>
      <c r="AA22" s="18"/>
    </row>
    <row r="23" spans="1:27">
      <c r="A23">
        <v>13</v>
      </c>
      <c r="B23">
        <f t="shared" si="6"/>
        <v>0</v>
      </c>
      <c r="C23" s="10"/>
      <c r="D23" s="10"/>
      <c r="E23">
        <f t="shared" si="5"/>
        <v>0.25</v>
      </c>
      <c r="F23">
        <f t="shared" si="7"/>
        <v>-0.25</v>
      </c>
      <c r="G23">
        <f t="shared" si="8"/>
        <v>6.25E-2</v>
      </c>
    </row>
    <row r="24" spans="1:27">
      <c r="A24">
        <v>14</v>
      </c>
      <c r="B24">
        <f t="shared" si="6"/>
        <v>0</v>
      </c>
      <c r="C24" s="10"/>
      <c r="D24" s="10"/>
      <c r="E24">
        <f t="shared" si="5"/>
        <v>0.25</v>
      </c>
      <c r="F24">
        <f t="shared" si="7"/>
        <v>-0.25</v>
      </c>
      <c r="G24">
        <f t="shared" si="8"/>
        <v>6.25E-2</v>
      </c>
      <c r="R24" s="19" t="s">
        <v>34</v>
      </c>
      <c r="S24" s="19"/>
      <c r="T24" s="19" t="s">
        <v>35</v>
      </c>
      <c r="U24" s="19"/>
      <c r="V24" s="19"/>
      <c r="W24" s="19"/>
      <c r="X24" s="19"/>
      <c r="Y24" s="19"/>
      <c r="Z24" s="19"/>
      <c r="AA24" s="19">
        <f>L24</f>
        <v>0</v>
      </c>
    </row>
    <row r="25" spans="1:27">
      <c r="A25">
        <v>15</v>
      </c>
      <c r="B25">
        <f t="shared" si="6"/>
        <v>0</v>
      </c>
      <c r="C25" s="10"/>
      <c r="D25" s="10"/>
      <c r="E25">
        <f t="shared" si="5"/>
        <v>0.25</v>
      </c>
      <c r="F25">
        <f t="shared" si="7"/>
        <v>-0.25</v>
      </c>
      <c r="G25">
        <f t="shared" si="8"/>
        <v>6.25E-2</v>
      </c>
      <c r="R25" s="19" t="s">
        <v>53</v>
      </c>
      <c r="S25" s="19"/>
      <c r="T25" s="19" t="s">
        <v>36</v>
      </c>
      <c r="U25" s="19"/>
      <c r="V25" s="19" t="s">
        <v>38</v>
      </c>
      <c r="W25" s="19"/>
      <c r="X25" s="19" t="s">
        <v>54</v>
      </c>
      <c r="Y25" s="19" t="s">
        <v>47</v>
      </c>
      <c r="Z25" s="19"/>
      <c r="AA25" s="19">
        <f ca="1">L$5</f>
        <v>0</v>
      </c>
    </row>
    <row r="26" spans="1:27">
      <c r="A26">
        <v>16</v>
      </c>
      <c r="B26">
        <f t="shared" si="6"/>
        <v>0</v>
      </c>
      <c r="C26" s="10"/>
      <c r="D26" s="10"/>
      <c r="E26">
        <f t="shared" si="5"/>
        <v>0.25</v>
      </c>
      <c r="F26">
        <f t="shared" si="7"/>
        <v>-0.25</v>
      </c>
      <c r="G26">
        <f t="shared" si="8"/>
        <v>6.25E-2</v>
      </c>
      <c r="R26" s="19"/>
      <c r="S26" s="19"/>
      <c r="T26" s="19" t="s">
        <v>3</v>
      </c>
      <c r="U26" s="19"/>
      <c r="V26" s="19" t="s">
        <v>39</v>
      </c>
      <c r="W26" s="19"/>
      <c r="X26" s="19" t="s">
        <v>54</v>
      </c>
      <c r="Y26" s="19" t="s">
        <v>51</v>
      </c>
      <c r="Z26" s="19"/>
      <c r="AA26" s="19">
        <f ca="1">L$7</f>
        <v>0</v>
      </c>
    </row>
    <row r="27" spans="1:27">
      <c r="A27">
        <v>17</v>
      </c>
      <c r="B27">
        <f t="shared" si="6"/>
        <v>0</v>
      </c>
      <c r="C27" s="10"/>
      <c r="D27" s="10"/>
      <c r="E27">
        <f t="shared" si="5"/>
        <v>0.25</v>
      </c>
      <c r="F27">
        <f t="shared" si="7"/>
        <v>-0.25</v>
      </c>
      <c r="G27">
        <f t="shared" si="8"/>
        <v>6.25E-2</v>
      </c>
      <c r="R27" s="19"/>
      <c r="S27" s="19"/>
      <c r="T27" s="19" t="s">
        <v>37</v>
      </c>
      <c r="U27" s="19"/>
      <c r="V27" s="19" t="s">
        <v>40</v>
      </c>
      <c r="W27" s="19"/>
      <c r="X27" s="19" t="s">
        <v>54</v>
      </c>
      <c r="Y27" s="19"/>
      <c r="Z27" s="19"/>
      <c r="AA27" s="19"/>
    </row>
    <row r="28" spans="1:27">
      <c r="A28">
        <v>18</v>
      </c>
      <c r="B28">
        <f t="shared" si="6"/>
        <v>0</v>
      </c>
      <c r="C28" s="10"/>
      <c r="D28" s="10"/>
      <c r="E28">
        <f t="shared" si="5"/>
        <v>0.25</v>
      </c>
      <c r="F28">
        <f t="shared" si="7"/>
        <v>-0.25</v>
      </c>
      <c r="G28">
        <f t="shared" si="8"/>
        <v>6.25E-2</v>
      </c>
    </row>
    <row r="29" spans="1:27">
      <c r="A29">
        <v>19</v>
      </c>
      <c r="B29">
        <f t="shared" si="6"/>
        <v>0</v>
      </c>
      <c r="C29" s="10"/>
      <c r="D29" s="10"/>
      <c r="E29">
        <f t="shared" si="5"/>
        <v>0.25</v>
      </c>
      <c r="F29">
        <f t="shared" si="7"/>
        <v>-0.25</v>
      </c>
      <c r="G29">
        <f t="shared" si="8"/>
        <v>6.25E-2</v>
      </c>
      <c r="R29" s="20" t="s">
        <v>34</v>
      </c>
      <c r="S29" s="20"/>
      <c r="T29" s="20" t="s">
        <v>35</v>
      </c>
      <c r="U29" s="20"/>
      <c r="V29" s="20"/>
      <c r="W29" s="20"/>
      <c r="X29" s="20"/>
      <c r="Y29" s="20"/>
      <c r="Z29" s="20"/>
      <c r="AA29" s="20">
        <f>L29</f>
        <v>0</v>
      </c>
    </row>
    <row r="30" spans="1:27">
      <c r="A30">
        <v>20</v>
      </c>
      <c r="B30">
        <f t="shared" si="6"/>
        <v>0</v>
      </c>
      <c r="C30" s="10"/>
      <c r="D30" s="10"/>
      <c r="E30">
        <f t="shared" si="5"/>
        <v>0.25</v>
      </c>
      <c r="F30">
        <f t="shared" si="7"/>
        <v>-0.25</v>
      </c>
      <c r="G30">
        <f t="shared" si="8"/>
        <v>6.25E-2</v>
      </c>
      <c r="R30" s="20" t="s">
        <v>53</v>
      </c>
      <c r="S30" s="20"/>
      <c r="T30" s="20" t="s">
        <v>36</v>
      </c>
      <c r="U30" s="20"/>
      <c r="V30" s="20" t="s">
        <v>38</v>
      </c>
      <c r="W30" s="20"/>
      <c r="X30" s="20" t="s">
        <v>54</v>
      </c>
      <c r="Y30" s="20" t="s">
        <v>47</v>
      </c>
      <c r="Z30" s="20"/>
      <c r="AA30" s="20">
        <f ca="1">L$5</f>
        <v>0</v>
      </c>
    </row>
    <row r="31" spans="1:27">
      <c r="A31">
        <v>21</v>
      </c>
      <c r="B31">
        <f t="shared" si="6"/>
        <v>0</v>
      </c>
      <c r="C31" s="10"/>
      <c r="D31" s="10"/>
      <c r="E31">
        <f t="shared" si="5"/>
        <v>0.25</v>
      </c>
      <c r="F31">
        <f t="shared" si="7"/>
        <v>-0.25</v>
      </c>
      <c r="G31">
        <f t="shared" si="8"/>
        <v>6.25E-2</v>
      </c>
      <c r="R31" s="20"/>
      <c r="S31" s="20"/>
      <c r="T31" s="20" t="s">
        <v>3</v>
      </c>
      <c r="U31" s="20"/>
      <c r="V31" s="20" t="s">
        <v>39</v>
      </c>
      <c r="W31" s="20"/>
      <c r="X31" s="20" t="s">
        <v>54</v>
      </c>
      <c r="Y31" s="20" t="s">
        <v>51</v>
      </c>
      <c r="Z31" s="20"/>
      <c r="AA31" s="20">
        <f ca="1">L$7</f>
        <v>0</v>
      </c>
    </row>
    <row r="32" spans="1:27">
      <c r="A32">
        <v>22</v>
      </c>
      <c r="B32">
        <f t="shared" si="6"/>
        <v>0</v>
      </c>
      <c r="C32" s="10"/>
      <c r="D32" s="10"/>
      <c r="E32">
        <f t="shared" si="5"/>
        <v>0.25</v>
      </c>
      <c r="F32">
        <f t="shared" si="7"/>
        <v>-0.25</v>
      </c>
      <c r="G32">
        <f t="shared" si="8"/>
        <v>6.25E-2</v>
      </c>
      <c r="R32" s="20"/>
      <c r="S32" s="20"/>
      <c r="T32" s="20" t="s">
        <v>37</v>
      </c>
      <c r="U32" s="20"/>
      <c r="V32" s="20" t="s">
        <v>40</v>
      </c>
      <c r="W32" s="20"/>
      <c r="X32" s="20" t="s">
        <v>54</v>
      </c>
      <c r="Y32" s="20"/>
      <c r="Z32" s="20"/>
      <c r="AA32" s="20"/>
    </row>
    <row r="33" spans="1:27">
      <c r="A33">
        <v>23</v>
      </c>
      <c r="B33">
        <f t="shared" si="6"/>
        <v>0</v>
      </c>
      <c r="C33" s="10"/>
      <c r="D33" s="10"/>
      <c r="E33">
        <f t="shared" si="5"/>
        <v>0.25</v>
      </c>
      <c r="F33">
        <f t="shared" si="7"/>
        <v>-0.25</v>
      </c>
      <c r="G33">
        <f t="shared" si="8"/>
        <v>6.25E-2</v>
      </c>
    </row>
    <row r="34" spans="1:27">
      <c r="A34">
        <v>24</v>
      </c>
      <c r="B34">
        <f t="shared" si="6"/>
        <v>0</v>
      </c>
      <c r="C34" s="10"/>
      <c r="D34" s="10"/>
      <c r="E34">
        <f t="shared" si="5"/>
        <v>0.25</v>
      </c>
      <c r="F34">
        <f t="shared" si="7"/>
        <v>-0.25</v>
      </c>
      <c r="G34">
        <f t="shared" si="8"/>
        <v>6.25E-2</v>
      </c>
      <c r="R34" s="21" t="s">
        <v>34</v>
      </c>
      <c r="S34" s="21"/>
      <c r="T34" s="21" t="s">
        <v>35</v>
      </c>
      <c r="U34" s="21"/>
      <c r="V34" s="21"/>
      <c r="W34" s="21"/>
      <c r="X34" s="21"/>
      <c r="Y34" s="21"/>
      <c r="Z34" s="21"/>
      <c r="AA34" s="21">
        <f>L34</f>
        <v>0</v>
      </c>
    </row>
    <row r="35" spans="1:27">
      <c r="A35">
        <v>25</v>
      </c>
      <c r="B35">
        <f t="shared" si="6"/>
        <v>0</v>
      </c>
      <c r="C35" s="10"/>
      <c r="D35" s="10"/>
      <c r="E35">
        <f t="shared" si="5"/>
        <v>0.25</v>
      </c>
      <c r="F35">
        <f t="shared" si="7"/>
        <v>-0.25</v>
      </c>
      <c r="G35">
        <f t="shared" si="8"/>
        <v>6.25E-2</v>
      </c>
      <c r="R35" s="21" t="s">
        <v>53</v>
      </c>
      <c r="S35" s="21"/>
      <c r="T35" s="21" t="s">
        <v>36</v>
      </c>
      <c r="U35" s="21"/>
      <c r="V35" s="21" t="s">
        <v>38</v>
      </c>
      <c r="W35" s="21"/>
      <c r="X35" s="21" t="s">
        <v>54</v>
      </c>
      <c r="Y35" s="21" t="s">
        <v>47</v>
      </c>
      <c r="Z35" s="21"/>
      <c r="AA35" s="21">
        <f ca="1">L$5</f>
        <v>0</v>
      </c>
    </row>
    <row r="36" spans="1:27">
      <c r="A36">
        <v>26</v>
      </c>
      <c r="B36">
        <f t="shared" si="6"/>
        <v>0</v>
      </c>
      <c r="C36" s="10"/>
      <c r="D36" s="10"/>
      <c r="E36">
        <f t="shared" si="5"/>
        <v>0.25</v>
      </c>
      <c r="F36">
        <f t="shared" si="7"/>
        <v>-0.25</v>
      </c>
      <c r="G36">
        <f t="shared" si="8"/>
        <v>6.25E-2</v>
      </c>
      <c r="R36" s="21"/>
      <c r="S36" s="21"/>
      <c r="T36" s="21" t="s">
        <v>3</v>
      </c>
      <c r="U36" s="21"/>
      <c r="V36" s="21" t="s">
        <v>39</v>
      </c>
      <c r="W36" s="21"/>
      <c r="X36" s="21" t="s">
        <v>54</v>
      </c>
      <c r="Y36" s="21" t="s">
        <v>51</v>
      </c>
      <c r="Z36" s="21"/>
      <c r="AA36" s="21">
        <f ca="1">L$7</f>
        <v>0</v>
      </c>
    </row>
    <row r="37" spans="1:27">
      <c r="A37">
        <v>27</v>
      </c>
      <c r="B37">
        <f t="shared" si="6"/>
        <v>0</v>
      </c>
      <c r="C37" s="10"/>
      <c r="D37" s="10"/>
      <c r="E37">
        <f t="shared" si="5"/>
        <v>0.25</v>
      </c>
      <c r="F37">
        <f t="shared" si="7"/>
        <v>-0.25</v>
      </c>
      <c r="G37">
        <f t="shared" si="8"/>
        <v>6.25E-2</v>
      </c>
      <c r="R37" s="21"/>
      <c r="S37" s="21"/>
      <c r="T37" s="21" t="s">
        <v>37</v>
      </c>
      <c r="U37" s="21"/>
      <c r="V37" s="21" t="s">
        <v>40</v>
      </c>
      <c r="W37" s="21"/>
      <c r="X37" s="21" t="s">
        <v>54</v>
      </c>
      <c r="Y37" s="21"/>
      <c r="Z37" s="21"/>
      <c r="AA37" s="21"/>
    </row>
    <row r="38" spans="1:27">
      <c r="A38">
        <v>28</v>
      </c>
      <c r="B38">
        <f t="shared" si="6"/>
        <v>0</v>
      </c>
      <c r="C38" s="10"/>
      <c r="D38" s="10"/>
      <c r="E38">
        <f t="shared" si="5"/>
        <v>0.25</v>
      </c>
      <c r="F38">
        <f t="shared" si="7"/>
        <v>-0.25</v>
      </c>
      <c r="G38">
        <f t="shared" si="8"/>
        <v>6.25E-2</v>
      </c>
    </row>
    <row r="39" spans="1:27">
      <c r="A39">
        <v>29</v>
      </c>
      <c r="B39">
        <f t="shared" si="6"/>
        <v>0</v>
      </c>
      <c r="C39" s="10"/>
      <c r="D39" s="10"/>
      <c r="E39">
        <f t="shared" si="5"/>
        <v>0.25</v>
      </c>
      <c r="F39">
        <f t="shared" si="7"/>
        <v>-0.25</v>
      </c>
      <c r="G39">
        <f t="shared" si="8"/>
        <v>6.25E-2</v>
      </c>
      <c r="R39" s="22" t="s">
        <v>34</v>
      </c>
      <c r="S39" s="22"/>
      <c r="T39" s="22" t="s">
        <v>35</v>
      </c>
      <c r="U39" s="22"/>
      <c r="V39" s="22"/>
      <c r="W39" s="22"/>
      <c r="X39" s="22"/>
      <c r="Y39" s="22"/>
      <c r="Z39" s="22"/>
      <c r="AA39" s="22">
        <f>L39</f>
        <v>0</v>
      </c>
    </row>
    <row r="40" spans="1:27">
      <c r="A40">
        <v>30</v>
      </c>
      <c r="B40">
        <f t="shared" si="6"/>
        <v>0</v>
      </c>
      <c r="C40" s="10"/>
      <c r="D40" s="10"/>
      <c r="E40">
        <f t="shared" si="5"/>
        <v>0.25</v>
      </c>
      <c r="F40">
        <f t="shared" si="7"/>
        <v>-0.25</v>
      </c>
      <c r="G40">
        <f t="shared" si="8"/>
        <v>6.25E-2</v>
      </c>
      <c r="R40" s="22" t="s">
        <v>53</v>
      </c>
      <c r="S40" s="22"/>
      <c r="T40" s="22" t="s">
        <v>36</v>
      </c>
      <c r="U40" s="22"/>
      <c r="V40" s="22" t="s">
        <v>38</v>
      </c>
      <c r="W40" s="22"/>
      <c r="X40" s="22" t="s">
        <v>54</v>
      </c>
      <c r="Y40" s="22" t="s">
        <v>47</v>
      </c>
      <c r="Z40" s="22"/>
      <c r="AA40" s="22">
        <f ca="1">L$5</f>
        <v>0</v>
      </c>
    </row>
    <row r="41" spans="1:27">
      <c r="A41">
        <v>31</v>
      </c>
      <c r="B41">
        <f t="shared" si="6"/>
        <v>0</v>
      </c>
      <c r="C41" s="10"/>
      <c r="D41" s="10"/>
      <c r="E41">
        <f t="shared" si="5"/>
        <v>0.25</v>
      </c>
      <c r="F41">
        <f t="shared" si="7"/>
        <v>-0.25</v>
      </c>
      <c r="G41">
        <f t="shared" si="8"/>
        <v>6.25E-2</v>
      </c>
      <c r="R41" s="22"/>
      <c r="S41" s="22"/>
      <c r="T41" s="22" t="s">
        <v>3</v>
      </c>
      <c r="U41" s="22"/>
      <c r="V41" s="22" t="s">
        <v>39</v>
      </c>
      <c r="W41" s="22"/>
      <c r="X41" s="22" t="s">
        <v>54</v>
      </c>
      <c r="Y41" s="22" t="s">
        <v>51</v>
      </c>
      <c r="Z41" s="22"/>
      <c r="AA41" s="22">
        <f ca="1">L$7</f>
        <v>0</v>
      </c>
    </row>
    <row r="42" spans="1:27">
      <c r="A42">
        <v>32</v>
      </c>
      <c r="B42">
        <f t="shared" si="6"/>
        <v>0</v>
      </c>
      <c r="C42" s="10"/>
      <c r="D42" s="10"/>
      <c r="E42">
        <f t="shared" si="5"/>
        <v>0.25</v>
      </c>
      <c r="F42">
        <f t="shared" si="7"/>
        <v>-0.25</v>
      </c>
      <c r="G42">
        <f t="shared" si="8"/>
        <v>6.25E-2</v>
      </c>
      <c r="R42" s="22"/>
      <c r="S42" s="22"/>
      <c r="T42" s="22" t="s">
        <v>37</v>
      </c>
      <c r="U42" s="22"/>
      <c r="V42" s="22" t="s">
        <v>40</v>
      </c>
      <c r="W42" s="22"/>
      <c r="X42" s="22" t="s">
        <v>54</v>
      </c>
      <c r="Y42" s="22"/>
      <c r="Z42" s="22"/>
      <c r="AA42" s="22"/>
    </row>
    <row r="43" spans="1:27">
      <c r="A43">
        <v>33</v>
      </c>
      <c r="B43">
        <f t="shared" si="6"/>
        <v>0</v>
      </c>
      <c r="C43" s="10"/>
      <c r="D43" s="10"/>
      <c r="E43">
        <f t="shared" si="5"/>
        <v>0.25</v>
      </c>
      <c r="F43">
        <f t="shared" si="7"/>
        <v>-0.25</v>
      </c>
      <c r="G43">
        <f t="shared" si="8"/>
        <v>6.25E-2</v>
      </c>
    </row>
    <row r="44" spans="1:27">
      <c r="A44">
        <v>34</v>
      </c>
      <c r="B44">
        <f t="shared" si="6"/>
        <v>0</v>
      </c>
      <c r="C44" s="10"/>
      <c r="D44" s="10"/>
      <c r="E44">
        <f t="shared" si="5"/>
        <v>0.25</v>
      </c>
      <c r="F44">
        <f t="shared" si="7"/>
        <v>-0.25</v>
      </c>
      <c r="G44">
        <f t="shared" si="8"/>
        <v>6.25E-2</v>
      </c>
      <c r="R44" s="14"/>
      <c r="S44" s="14"/>
      <c r="T44" s="14"/>
      <c r="U44" s="14"/>
      <c r="V44" s="14"/>
      <c r="W44" s="14"/>
      <c r="X44" s="14"/>
      <c r="Y44" s="14"/>
      <c r="Z44" s="14"/>
    </row>
    <row r="45" spans="1:27">
      <c r="A45">
        <v>35</v>
      </c>
      <c r="B45">
        <f t="shared" si="6"/>
        <v>0</v>
      </c>
      <c r="C45" s="10"/>
      <c r="D45" s="10"/>
      <c r="E45">
        <f t="shared" si="5"/>
        <v>0.25</v>
      </c>
      <c r="F45">
        <f t="shared" si="7"/>
        <v>-0.25</v>
      </c>
      <c r="G45">
        <f t="shared" si="8"/>
        <v>6.25E-2</v>
      </c>
      <c r="R45" s="14"/>
      <c r="S45" s="14"/>
      <c r="T45" s="14"/>
      <c r="U45" s="14"/>
      <c r="V45" s="14"/>
      <c r="W45" s="14"/>
      <c r="X45" s="14"/>
      <c r="Y45" s="14"/>
      <c r="Z45" s="14"/>
    </row>
    <row r="46" spans="1:27">
      <c r="A46">
        <v>36</v>
      </c>
      <c r="B46">
        <f t="shared" si="6"/>
        <v>0</v>
      </c>
      <c r="C46" s="10"/>
      <c r="D46" s="10"/>
      <c r="E46">
        <f t="shared" si="5"/>
        <v>0.25</v>
      </c>
      <c r="F46">
        <f t="shared" si="7"/>
        <v>-0.25</v>
      </c>
      <c r="G46">
        <f t="shared" si="8"/>
        <v>6.25E-2</v>
      </c>
      <c r="R46" s="14"/>
      <c r="S46" s="14"/>
      <c r="T46" s="14"/>
      <c r="U46" s="14"/>
      <c r="V46" s="14"/>
      <c r="W46" s="14"/>
      <c r="X46" s="14"/>
      <c r="Y46" s="14"/>
      <c r="Z46" s="14"/>
    </row>
    <row r="47" spans="1:27">
      <c r="A47">
        <v>37</v>
      </c>
      <c r="B47">
        <f t="shared" si="6"/>
        <v>0</v>
      </c>
      <c r="C47" s="10"/>
      <c r="D47" s="10"/>
      <c r="E47">
        <f t="shared" si="5"/>
        <v>0.25</v>
      </c>
      <c r="F47">
        <f t="shared" si="7"/>
        <v>-0.25</v>
      </c>
      <c r="G47">
        <f t="shared" si="8"/>
        <v>6.25E-2</v>
      </c>
      <c r="R47" s="14"/>
      <c r="S47" s="14"/>
      <c r="T47" s="14"/>
      <c r="U47" s="14"/>
      <c r="V47" s="14"/>
      <c r="W47" s="14"/>
      <c r="X47" s="14"/>
      <c r="Y47" s="14"/>
      <c r="Z47" s="14"/>
    </row>
    <row r="48" spans="1:27">
      <c r="A48">
        <v>38</v>
      </c>
      <c r="B48">
        <f t="shared" si="6"/>
        <v>0</v>
      </c>
      <c r="C48" s="10"/>
      <c r="D48" s="10"/>
      <c r="E48">
        <f t="shared" si="5"/>
        <v>0.25</v>
      </c>
      <c r="F48">
        <f t="shared" si="7"/>
        <v>-0.25</v>
      </c>
      <c r="G48">
        <f t="shared" si="8"/>
        <v>6.25E-2</v>
      </c>
      <c r="R48" s="14"/>
      <c r="S48" s="14"/>
      <c r="T48" s="14"/>
      <c r="U48" s="14"/>
      <c r="V48" s="14"/>
      <c r="W48" s="14"/>
      <c r="X48" s="14"/>
      <c r="Y48" s="14"/>
      <c r="Z48" s="14"/>
    </row>
    <row r="49" spans="1:7">
      <c r="A49">
        <v>39</v>
      </c>
      <c r="B49">
        <f t="shared" si="6"/>
        <v>0</v>
      </c>
      <c r="C49" s="10"/>
      <c r="D49" s="10"/>
      <c r="E49">
        <f t="shared" si="5"/>
        <v>0.25</v>
      </c>
      <c r="F49">
        <f t="shared" si="7"/>
        <v>-0.25</v>
      </c>
      <c r="G49">
        <f t="shared" si="8"/>
        <v>6.25E-2</v>
      </c>
    </row>
    <row r="50" spans="1:7">
      <c r="A50">
        <v>40</v>
      </c>
      <c r="B50">
        <f t="shared" si="6"/>
        <v>0</v>
      </c>
      <c r="C50" s="10"/>
      <c r="D50" s="10"/>
      <c r="E50">
        <f t="shared" si="5"/>
        <v>0.25</v>
      </c>
      <c r="F50">
        <f t="shared" si="7"/>
        <v>-0.25</v>
      </c>
      <c r="G50">
        <f t="shared" si="8"/>
        <v>6.25E-2</v>
      </c>
    </row>
    <row r="51" spans="1:7">
      <c r="A51">
        <v>41</v>
      </c>
      <c r="B51">
        <f t="shared" si="6"/>
        <v>0</v>
      </c>
      <c r="C51" s="10"/>
      <c r="D51" s="10"/>
      <c r="E51">
        <f t="shared" si="5"/>
        <v>0.25</v>
      </c>
      <c r="F51">
        <f t="shared" si="7"/>
        <v>-0.25</v>
      </c>
      <c r="G51">
        <f t="shared" si="8"/>
        <v>6.25E-2</v>
      </c>
    </row>
    <row r="52" spans="1:7">
      <c r="A52">
        <v>42</v>
      </c>
      <c r="B52">
        <f t="shared" si="6"/>
        <v>0</v>
      </c>
      <c r="C52" s="10"/>
      <c r="D52" s="10"/>
      <c r="E52">
        <f t="shared" si="5"/>
        <v>0.25</v>
      </c>
      <c r="F52">
        <f t="shared" si="7"/>
        <v>-0.25</v>
      </c>
      <c r="G52">
        <f t="shared" si="8"/>
        <v>6.25E-2</v>
      </c>
    </row>
    <row r="53" spans="1:7">
      <c r="A53">
        <v>43</v>
      </c>
      <c r="B53">
        <f t="shared" si="6"/>
        <v>0</v>
      </c>
      <c r="C53" s="10"/>
      <c r="D53" s="10"/>
      <c r="E53">
        <f t="shared" si="5"/>
        <v>0.25</v>
      </c>
      <c r="F53">
        <f t="shared" si="7"/>
        <v>-0.25</v>
      </c>
      <c r="G53">
        <f t="shared" si="8"/>
        <v>6.25E-2</v>
      </c>
    </row>
    <row r="54" spans="1:7">
      <c r="A54">
        <v>44</v>
      </c>
      <c r="B54">
        <f t="shared" si="6"/>
        <v>0</v>
      </c>
      <c r="C54" s="10"/>
      <c r="D54" s="10"/>
      <c r="E54">
        <f t="shared" si="5"/>
        <v>0.25</v>
      </c>
      <c r="F54">
        <f t="shared" si="7"/>
        <v>-0.25</v>
      </c>
      <c r="G54">
        <f t="shared" si="8"/>
        <v>6.25E-2</v>
      </c>
    </row>
    <row r="55" spans="1:7">
      <c r="A55">
        <v>45</v>
      </c>
      <c r="B55">
        <f t="shared" si="6"/>
        <v>0</v>
      </c>
      <c r="C55" s="10"/>
      <c r="D55" s="10"/>
      <c r="E55">
        <f t="shared" si="5"/>
        <v>0.25</v>
      </c>
      <c r="F55">
        <f t="shared" si="7"/>
        <v>-0.25</v>
      </c>
      <c r="G55">
        <f t="shared" si="8"/>
        <v>6.25E-2</v>
      </c>
    </row>
    <row r="56" spans="1:7">
      <c r="A56">
        <v>46</v>
      </c>
      <c r="B56">
        <f t="shared" si="6"/>
        <v>0</v>
      </c>
      <c r="C56" s="10"/>
      <c r="D56" s="10"/>
      <c r="E56">
        <f t="shared" si="5"/>
        <v>0.25</v>
      </c>
      <c r="F56">
        <f t="shared" si="7"/>
        <v>-0.25</v>
      </c>
      <c r="G56">
        <f t="shared" si="8"/>
        <v>6.25E-2</v>
      </c>
    </row>
    <row r="57" spans="1:7">
      <c r="A57">
        <v>47</v>
      </c>
      <c r="B57">
        <f t="shared" si="6"/>
        <v>0</v>
      </c>
      <c r="C57" s="10"/>
      <c r="D57" s="10"/>
      <c r="E57">
        <f t="shared" si="5"/>
        <v>0.25</v>
      </c>
      <c r="F57">
        <f t="shared" si="7"/>
        <v>-0.25</v>
      </c>
      <c r="G57">
        <f t="shared" si="8"/>
        <v>6.25E-2</v>
      </c>
    </row>
    <row r="58" spans="1:7">
      <c r="A58">
        <v>48</v>
      </c>
      <c r="B58">
        <f t="shared" si="6"/>
        <v>0</v>
      </c>
      <c r="C58" s="10"/>
      <c r="D58" s="10"/>
      <c r="E58">
        <f t="shared" si="5"/>
        <v>0.25</v>
      </c>
      <c r="F58">
        <f t="shared" si="7"/>
        <v>-0.25</v>
      </c>
      <c r="G58">
        <f t="shared" si="8"/>
        <v>6.25E-2</v>
      </c>
    </row>
    <row r="59" spans="1:7">
      <c r="A59">
        <v>49</v>
      </c>
      <c r="B59">
        <f t="shared" si="6"/>
        <v>0</v>
      </c>
      <c r="C59" s="10"/>
      <c r="D59" s="10"/>
      <c r="E59">
        <f t="shared" si="5"/>
        <v>0.25</v>
      </c>
      <c r="F59">
        <f t="shared" si="7"/>
        <v>-0.25</v>
      </c>
      <c r="G59">
        <f t="shared" si="8"/>
        <v>6.25E-2</v>
      </c>
    </row>
    <row r="60" spans="1:7">
      <c r="A60">
        <v>50</v>
      </c>
      <c r="B60">
        <f t="shared" si="6"/>
        <v>0</v>
      </c>
      <c r="C60" s="10"/>
      <c r="D60" s="10"/>
      <c r="E60">
        <f t="shared" si="5"/>
        <v>0.25</v>
      </c>
      <c r="F60">
        <f t="shared" si="7"/>
        <v>-0.25</v>
      </c>
      <c r="G60">
        <f t="shared" si="8"/>
        <v>6.25E-2</v>
      </c>
    </row>
    <row r="61" spans="1:7">
      <c r="A61">
        <v>51</v>
      </c>
      <c r="B61">
        <f t="shared" si="6"/>
        <v>0</v>
      </c>
      <c r="C61" s="10"/>
      <c r="D61" s="10"/>
      <c r="E61">
        <f t="shared" si="5"/>
        <v>0.25</v>
      </c>
      <c r="F61">
        <f t="shared" si="7"/>
        <v>-0.25</v>
      </c>
      <c r="G61">
        <f t="shared" si="8"/>
        <v>6.25E-2</v>
      </c>
    </row>
    <row r="62" spans="1:7">
      <c r="A62">
        <v>52</v>
      </c>
      <c r="B62">
        <f t="shared" si="6"/>
        <v>0</v>
      </c>
      <c r="C62" s="10"/>
      <c r="D62" s="10"/>
      <c r="E62">
        <f t="shared" si="5"/>
        <v>0.25</v>
      </c>
      <c r="F62">
        <f t="shared" si="7"/>
        <v>-0.25</v>
      </c>
      <c r="G62">
        <f t="shared" si="8"/>
        <v>6.25E-2</v>
      </c>
    </row>
    <row r="63" spans="1:7">
      <c r="A63">
        <v>53</v>
      </c>
      <c r="B63">
        <f t="shared" si="6"/>
        <v>0</v>
      </c>
      <c r="C63" s="10"/>
      <c r="D63" s="10"/>
      <c r="E63">
        <f t="shared" si="5"/>
        <v>0.25</v>
      </c>
      <c r="F63">
        <f t="shared" si="7"/>
        <v>-0.25</v>
      </c>
      <c r="G63">
        <f t="shared" si="8"/>
        <v>6.25E-2</v>
      </c>
    </row>
    <row r="64" spans="1:7">
      <c r="A64">
        <v>54</v>
      </c>
      <c r="B64">
        <f t="shared" si="6"/>
        <v>0</v>
      </c>
      <c r="C64" s="10"/>
      <c r="D64" s="10"/>
      <c r="E64">
        <f t="shared" si="5"/>
        <v>0.25</v>
      </c>
      <c r="F64">
        <f t="shared" si="7"/>
        <v>-0.25</v>
      </c>
      <c r="G64">
        <f t="shared" si="8"/>
        <v>6.25E-2</v>
      </c>
    </row>
    <row r="65" spans="1:7">
      <c r="A65">
        <v>55</v>
      </c>
      <c r="B65">
        <f t="shared" si="6"/>
        <v>0</v>
      </c>
      <c r="C65" s="10"/>
      <c r="D65" s="10"/>
      <c r="E65">
        <f t="shared" si="5"/>
        <v>0.25</v>
      </c>
      <c r="F65">
        <f t="shared" si="7"/>
        <v>-0.25</v>
      </c>
      <c r="G65">
        <f t="shared" si="8"/>
        <v>6.25E-2</v>
      </c>
    </row>
    <row r="66" spans="1:7">
      <c r="A66">
        <v>56</v>
      </c>
      <c r="B66">
        <f t="shared" si="6"/>
        <v>0</v>
      </c>
      <c r="C66" s="10"/>
      <c r="D66" s="10"/>
      <c r="E66">
        <f t="shared" si="5"/>
        <v>0.25</v>
      </c>
      <c r="F66">
        <f t="shared" si="7"/>
        <v>-0.25</v>
      </c>
      <c r="G66">
        <f t="shared" si="8"/>
        <v>6.25E-2</v>
      </c>
    </row>
    <row r="67" spans="1:7">
      <c r="A67">
        <v>57</v>
      </c>
      <c r="B67">
        <f t="shared" si="6"/>
        <v>0</v>
      </c>
      <c r="C67" s="10"/>
      <c r="D67" s="10"/>
      <c r="E67">
        <f t="shared" si="5"/>
        <v>0.25</v>
      </c>
      <c r="F67">
        <f t="shared" si="7"/>
        <v>-0.25</v>
      </c>
      <c r="G67">
        <f t="shared" si="8"/>
        <v>6.25E-2</v>
      </c>
    </row>
    <row r="68" spans="1:7">
      <c r="A68">
        <v>58</v>
      </c>
      <c r="B68">
        <f t="shared" si="6"/>
        <v>0</v>
      </c>
      <c r="C68" s="10"/>
      <c r="D68" s="10"/>
      <c r="E68">
        <f t="shared" si="5"/>
        <v>0.25</v>
      </c>
      <c r="F68">
        <f t="shared" si="7"/>
        <v>-0.25</v>
      </c>
      <c r="G68">
        <f t="shared" si="8"/>
        <v>6.25E-2</v>
      </c>
    </row>
    <row r="69" spans="1:7">
      <c r="A69">
        <v>59</v>
      </c>
      <c r="B69">
        <f t="shared" si="6"/>
        <v>0</v>
      </c>
      <c r="C69" s="10"/>
      <c r="D69" s="10"/>
      <c r="E69">
        <f t="shared" si="5"/>
        <v>0.25</v>
      </c>
      <c r="F69">
        <f t="shared" si="7"/>
        <v>-0.25</v>
      </c>
      <c r="G69">
        <f t="shared" si="8"/>
        <v>6.25E-2</v>
      </c>
    </row>
    <row r="70" spans="1:7">
      <c r="A70">
        <v>60</v>
      </c>
      <c r="B70">
        <f t="shared" si="6"/>
        <v>0</v>
      </c>
      <c r="C70" s="10"/>
      <c r="D70" s="10"/>
      <c r="E70">
        <f t="shared" si="5"/>
        <v>0.25</v>
      </c>
      <c r="F70">
        <f t="shared" si="7"/>
        <v>-0.25</v>
      </c>
      <c r="G70">
        <f t="shared" si="8"/>
        <v>6.25E-2</v>
      </c>
    </row>
    <row r="71" spans="1:7">
      <c r="A71">
        <v>61</v>
      </c>
      <c r="B71">
        <f t="shared" si="6"/>
        <v>0</v>
      </c>
      <c r="C71" s="10"/>
      <c r="D71" s="10"/>
      <c r="E71">
        <f t="shared" si="5"/>
        <v>0.25</v>
      </c>
      <c r="F71">
        <f t="shared" si="7"/>
        <v>-0.25</v>
      </c>
      <c r="G71">
        <f t="shared" si="8"/>
        <v>6.25E-2</v>
      </c>
    </row>
    <row r="72" spans="1:7">
      <c r="A72">
        <v>62</v>
      </c>
      <c r="B72">
        <f t="shared" si="6"/>
        <v>0</v>
      </c>
      <c r="C72" s="10"/>
      <c r="D72" s="10"/>
      <c r="E72">
        <f t="shared" si="5"/>
        <v>0.25</v>
      </c>
      <c r="F72">
        <f t="shared" si="7"/>
        <v>-0.25</v>
      </c>
      <c r="G72">
        <f t="shared" si="8"/>
        <v>6.25E-2</v>
      </c>
    </row>
    <row r="73" spans="1:7">
      <c r="A73">
        <v>63</v>
      </c>
      <c r="B73">
        <f t="shared" si="6"/>
        <v>0</v>
      </c>
      <c r="C73" s="10"/>
      <c r="D73" s="10"/>
      <c r="E73">
        <f t="shared" si="5"/>
        <v>0.25</v>
      </c>
      <c r="F73">
        <f t="shared" si="7"/>
        <v>-0.25</v>
      </c>
      <c r="G73">
        <f t="shared" si="8"/>
        <v>6.25E-2</v>
      </c>
    </row>
    <row r="74" spans="1:7">
      <c r="A74">
        <v>64</v>
      </c>
      <c r="B74">
        <f t="shared" si="6"/>
        <v>0</v>
      </c>
      <c r="C74" s="10"/>
      <c r="D74" s="10"/>
      <c r="E74">
        <f t="shared" si="5"/>
        <v>0.25</v>
      </c>
      <c r="F74">
        <f t="shared" si="7"/>
        <v>-0.25</v>
      </c>
      <c r="G74">
        <f t="shared" si="8"/>
        <v>6.25E-2</v>
      </c>
    </row>
    <row r="75" spans="1:7">
      <c r="A75">
        <v>65</v>
      </c>
      <c r="B75">
        <f t="shared" si="6"/>
        <v>0</v>
      </c>
      <c r="C75" s="10"/>
      <c r="D75" s="10"/>
      <c r="E75">
        <f t="shared" ref="E75:E138" si="9">BaseAdjust+(ampl1*EXP(-gamma1*C75)+ampl2*EXP(-gamma2*C75)+ampl3*EXP(-gamma3*C75))^2</f>
        <v>0.25</v>
      </c>
      <c r="F75">
        <f t="shared" si="7"/>
        <v>-0.25</v>
      </c>
      <c r="G75">
        <f t="shared" si="8"/>
        <v>6.25E-2</v>
      </c>
    </row>
    <row r="76" spans="1:7">
      <c r="A76">
        <v>66</v>
      </c>
      <c r="B76">
        <f t="shared" ref="B76:B139" si="10">C76/1000</f>
        <v>0</v>
      </c>
      <c r="C76" s="10"/>
      <c r="D76" s="10"/>
      <c r="E76">
        <f t="shared" si="9"/>
        <v>0.25</v>
      </c>
      <c r="F76">
        <f t="shared" ref="F76:F139" si="11">D76-E76</f>
        <v>-0.25</v>
      </c>
      <c r="G76">
        <f t="shared" ref="G76:G139" si="12">F76^2</f>
        <v>6.25E-2</v>
      </c>
    </row>
    <row r="77" spans="1:7">
      <c r="A77">
        <v>67</v>
      </c>
      <c r="B77">
        <f t="shared" si="10"/>
        <v>0</v>
      </c>
      <c r="C77" s="10"/>
      <c r="D77" s="10"/>
      <c r="E77">
        <f t="shared" si="9"/>
        <v>0.25</v>
      </c>
      <c r="F77">
        <f t="shared" si="11"/>
        <v>-0.25</v>
      </c>
      <c r="G77">
        <f t="shared" si="12"/>
        <v>6.25E-2</v>
      </c>
    </row>
    <row r="78" spans="1:7">
      <c r="A78">
        <v>68</v>
      </c>
      <c r="B78">
        <f t="shared" si="10"/>
        <v>0</v>
      </c>
      <c r="C78" s="10"/>
      <c r="D78" s="10"/>
      <c r="E78">
        <f t="shared" si="9"/>
        <v>0.25</v>
      </c>
      <c r="F78">
        <f t="shared" si="11"/>
        <v>-0.25</v>
      </c>
      <c r="G78">
        <f t="shared" si="12"/>
        <v>6.25E-2</v>
      </c>
    </row>
    <row r="79" spans="1:7">
      <c r="A79">
        <v>69</v>
      </c>
      <c r="B79">
        <f t="shared" si="10"/>
        <v>0</v>
      </c>
      <c r="C79" s="10"/>
      <c r="D79" s="10"/>
      <c r="E79">
        <f t="shared" si="9"/>
        <v>0.25</v>
      </c>
      <c r="F79">
        <f t="shared" si="11"/>
        <v>-0.25</v>
      </c>
      <c r="G79">
        <f t="shared" si="12"/>
        <v>6.25E-2</v>
      </c>
    </row>
    <row r="80" spans="1:7">
      <c r="A80">
        <v>70</v>
      </c>
      <c r="B80">
        <f t="shared" si="10"/>
        <v>0</v>
      </c>
      <c r="C80" s="10"/>
      <c r="D80" s="10"/>
      <c r="E80">
        <f t="shared" si="9"/>
        <v>0.25</v>
      </c>
      <c r="F80">
        <f t="shared" si="11"/>
        <v>-0.25</v>
      </c>
      <c r="G80">
        <f t="shared" si="12"/>
        <v>6.25E-2</v>
      </c>
    </row>
    <row r="81" spans="1:7">
      <c r="A81">
        <v>71</v>
      </c>
      <c r="B81">
        <f t="shared" si="10"/>
        <v>0</v>
      </c>
      <c r="C81" s="10"/>
      <c r="D81" s="10"/>
      <c r="E81">
        <f t="shared" si="9"/>
        <v>0.25</v>
      </c>
      <c r="F81">
        <f t="shared" si="11"/>
        <v>-0.25</v>
      </c>
      <c r="G81">
        <f t="shared" si="12"/>
        <v>6.25E-2</v>
      </c>
    </row>
    <row r="82" spans="1:7">
      <c r="A82">
        <v>72</v>
      </c>
      <c r="B82">
        <f t="shared" si="10"/>
        <v>0</v>
      </c>
      <c r="C82" s="10"/>
      <c r="D82" s="10"/>
      <c r="E82">
        <f t="shared" si="9"/>
        <v>0.25</v>
      </c>
      <c r="F82">
        <f t="shared" si="11"/>
        <v>-0.25</v>
      </c>
      <c r="G82">
        <f t="shared" si="12"/>
        <v>6.25E-2</v>
      </c>
    </row>
    <row r="83" spans="1:7">
      <c r="A83">
        <v>73</v>
      </c>
      <c r="B83">
        <f t="shared" si="10"/>
        <v>0</v>
      </c>
      <c r="C83" s="10"/>
      <c r="D83" s="10"/>
      <c r="E83">
        <f t="shared" si="9"/>
        <v>0.25</v>
      </c>
      <c r="F83">
        <f t="shared" si="11"/>
        <v>-0.25</v>
      </c>
      <c r="G83">
        <f t="shared" si="12"/>
        <v>6.25E-2</v>
      </c>
    </row>
    <row r="84" spans="1:7">
      <c r="A84">
        <v>74</v>
      </c>
      <c r="B84">
        <f t="shared" si="10"/>
        <v>0</v>
      </c>
      <c r="C84" s="10"/>
      <c r="D84" s="10"/>
      <c r="E84">
        <f t="shared" si="9"/>
        <v>0.25</v>
      </c>
      <c r="F84">
        <f t="shared" si="11"/>
        <v>-0.25</v>
      </c>
      <c r="G84">
        <f t="shared" si="12"/>
        <v>6.25E-2</v>
      </c>
    </row>
    <row r="85" spans="1:7">
      <c r="A85">
        <v>75</v>
      </c>
      <c r="B85">
        <f t="shared" si="10"/>
        <v>0</v>
      </c>
      <c r="C85" s="10"/>
      <c r="D85" s="10"/>
      <c r="E85">
        <f t="shared" si="9"/>
        <v>0.25</v>
      </c>
      <c r="F85">
        <f t="shared" si="11"/>
        <v>-0.25</v>
      </c>
      <c r="G85">
        <f t="shared" si="12"/>
        <v>6.25E-2</v>
      </c>
    </row>
    <row r="86" spans="1:7">
      <c r="A86">
        <v>76</v>
      </c>
      <c r="B86">
        <f t="shared" si="10"/>
        <v>0</v>
      </c>
      <c r="C86" s="10"/>
      <c r="D86" s="10"/>
      <c r="E86">
        <f t="shared" si="9"/>
        <v>0.25</v>
      </c>
      <c r="F86">
        <f t="shared" si="11"/>
        <v>-0.25</v>
      </c>
      <c r="G86">
        <f t="shared" si="12"/>
        <v>6.25E-2</v>
      </c>
    </row>
    <row r="87" spans="1:7">
      <c r="A87">
        <v>77</v>
      </c>
      <c r="B87">
        <f t="shared" si="10"/>
        <v>0</v>
      </c>
      <c r="C87" s="10"/>
      <c r="D87" s="10"/>
      <c r="E87">
        <f t="shared" si="9"/>
        <v>0.25</v>
      </c>
      <c r="F87">
        <f t="shared" si="11"/>
        <v>-0.25</v>
      </c>
      <c r="G87">
        <f t="shared" si="12"/>
        <v>6.25E-2</v>
      </c>
    </row>
    <row r="88" spans="1:7">
      <c r="A88">
        <v>78</v>
      </c>
      <c r="B88">
        <f t="shared" si="10"/>
        <v>0</v>
      </c>
      <c r="C88" s="10"/>
      <c r="D88" s="10"/>
      <c r="E88">
        <f t="shared" si="9"/>
        <v>0.25</v>
      </c>
      <c r="F88">
        <f t="shared" si="11"/>
        <v>-0.25</v>
      </c>
      <c r="G88">
        <f t="shared" si="12"/>
        <v>6.25E-2</v>
      </c>
    </row>
    <row r="89" spans="1:7">
      <c r="A89">
        <v>79</v>
      </c>
      <c r="B89">
        <f t="shared" si="10"/>
        <v>0</v>
      </c>
      <c r="C89" s="10"/>
      <c r="D89" s="10"/>
      <c r="E89">
        <f t="shared" si="9"/>
        <v>0.25</v>
      </c>
      <c r="F89">
        <f t="shared" si="11"/>
        <v>-0.25</v>
      </c>
      <c r="G89">
        <f t="shared" si="12"/>
        <v>6.25E-2</v>
      </c>
    </row>
    <row r="90" spans="1:7">
      <c r="A90">
        <v>80</v>
      </c>
      <c r="B90">
        <f t="shared" si="10"/>
        <v>0</v>
      </c>
      <c r="C90" s="10"/>
      <c r="D90" s="10"/>
      <c r="E90">
        <f t="shared" si="9"/>
        <v>0.25</v>
      </c>
      <c r="F90">
        <f t="shared" si="11"/>
        <v>-0.25</v>
      </c>
      <c r="G90">
        <f t="shared" si="12"/>
        <v>6.25E-2</v>
      </c>
    </row>
    <row r="91" spans="1:7">
      <c r="A91">
        <v>81</v>
      </c>
      <c r="B91">
        <f t="shared" si="10"/>
        <v>0</v>
      </c>
      <c r="C91" s="10"/>
      <c r="D91" s="10"/>
      <c r="E91">
        <f t="shared" si="9"/>
        <v>0.25</v>
      </c>
      <c r="F91">
        <f t="shared" si="11"/>
        <v>-0.25</v>
      </c>
      <c r="G91">
        <f t="shared" si="12"/>
        <v>6.25E-2</v>
      </c>
    </row>
    <row r="92" spans="1:7">
      <c r="A92">
        <v>82</v>
      </c>
      <c r="B92">
        <f t="shared" si="10"/>
        <v>0</v>
      </c>
      <c r="C92" s="10"/>
      <c r="D92" s="10"/>
      <c r="E92">
        <f t="shared" si="9"/>
        <v>0.25</v>
      </c>
      <c r="F92">
        <f t="shared" si="11"/>
        <v>-0.25</v>
      </c>
      <c r="G92">
        <f t="shared" si="12"/>
        <v>6.25E-2</v>
      </c>
    </row>
    <row r="93" spans="1:7">
      <c r="A93">
        <v>83</v>
      </c>
      <c r="B93">
        <f t="shared" si="10"/>
        <v>0</v>
      </c>
      <c r="C93" s="10"/>
      <c r="D93" s="10"/>
      <c r="E93">
        <f t="shared" si="9"/>
        <v>0.25</v>
      </c>
      <c r="F93">
        <f t="shared" si="11"/>
        <v>-0.25</v>
      </c>
      <c r="G93">
        <f t="shared" si="12"/>
        <v>6.25E-2</v>
      </c>
    </row>
    <row r="94" spans="1:7">
      <c r="A94">
        <v>84</v>
      </c>
      <c r="B94">
        <f t="shared" si="10"/>
        <v>0</v>
      </c>
      <c r="C94" s="10"/>
      <c r="D94" s="10"/>
      <c r="E94">
        <f t="shared" si="9"/>
        <v>0.25</v>
      </c>
      <c r="F94">
        <f t="shared" si="11"/>
        <v>-0.25</v>
      </c>
      <c r="G94">
        <f t="shared" si="12"/>
        <v>6.25E-2</v>
      </c>
    </row>
    <row r="95" spans="1:7">
      <c r="A95">
        <v>85</v>
      </c>
      <c r="B95">
        <f t="shared" si="10"/>
        <v>0</v>
      </c>
      <c r="C95" s="10"/>
      <c r="D95" s="10"/>
      <c r="E95">
        <f t="shared" si="9"/>
        <v>0.25</v>
      </c>
      <c r="F95">
        <f t="shared" si="11"/>
        <v>-0.25</v>
      </c>
      <c r="G95">
        <f t="shared" si="12"/>
        <v>6.25E-2</v>
      </c>
    </row>
    <row r="96" spans="1:7">
      <c r="A96">
        <v>86</v>
      </c>
      <c r="B96">
        <f t="shared" si="10"/>
        <v>0</v>
      </c>
      <c r="C96" s="10"/>
      <c r="D96" s="10"/>
      <c r="E96">
        <f t="shared" si="9"/>
        <v>0.25</v>
      </c>
      <c r="F96">
        <f t="shared" si="11"/>
        <v>-0.25</v>
      </c>
      <c r="G96">
        <f t="shared" si="12"/>
        <v>6.25E-2</v>
      </c>
    </row>
    <row r="97" spans="1:7">
      <c r="A97">
        <v>87</v>
      </c>
      <c r="B97">
        <f t="shared" si="10"/>
        <v>0</v>
      </c>
      <c r="C97" s="10"/>
      <c r="D97" s="10"/>
      <c r="E97">
        <f t="shared" si="9"/>
        <v>0.25</v>
      </c>
      <c r="F97">
        <f t="shared" si="11"/>
        <v>-0.25</v>
      </c>
      <c r="G97">
        <f t="shared" si="12"/>
        <v>6.25E-2</v>
      </c>
    </row>
    <row r="98" spans="1:7">
      <c r="A98">
        <v>88</v>
      </c>
      <c r="B98">
        <f t="shared" si="10"/>
        <v>0</v>
      </c>
      <c r="C98" s="10"/>
      <c r="D98" s="10"/>
      <c r="E98">
        <f t="shared" si="9"/>
        <v>0.25</v>
      </c>
      <c r="F98">
        <f t="shared" si="11"/>
        <v>-0.25</v>
      </c>
      <c r="G98">
        <f t="shared" si="12"/>
        <v>6.25E-2</v>
      </c>
    </row>
    <row r="99" spans="1:7">
      <c r="A99">
        <v>89</v>
      </c>
      <c r="B99">
        <f t="shared" si="10"/>
        <v>0</v>
      </c>
      <c r="C99" s="10"/>
      <c r="D99" s="10"/>
      <c r="E99">
        <f t="shared" si="9"/>
        <v>0.25</v>
      </c>
      <c r="F99">
        <f t="shared" si="11"/>
        <v>-0.25</v>
      </c>
      <c r="G99">
        <f t="shared" si="12"/>
        <v>6.25E-2</v>
      </c>
    </row>
    <row r="100" spans="1:7">
      <c r="A100">
        <v>90</v>
      </c>
      <c r="B100">
        <f t="shared" si="10"/>
        <v>0</v>
      </c>
      <c r="C100" s="10"/>
      <c r="D100" s="10"/>
      <c r="E100">
        <f t="shared" si="9"/>
        <v>0.25</v>
      </c>
      <c r="F100">
        <f t="shared" si="11"/>
        <v>-0.25</v>
      </c>
      <c r="G100">
        <f t="shared" si="12"/>
        <v>6.25E-2</v>
      </c>
    </row>
    <row r="101" spans="1:7">
      <c r="A101">
        <v>91</v>
      </c>
      <c r="B101">
        <f t="shared" si="10"/>
        <v>0</v>
      </c>
      <c r="C101" s="10"/>
      <c r="D101" s="10"/>
      <c r="E101">
        <f t="shared" si="9"/>
        <v>0.25</v>
      </c>
      <c r="F101">
        <f t="shared" si="11"/>
        <v>-0.25</v>
      </c>
      <c r="G101">
        <f t="shared" si="12"/>
        <v>6.25E-2</v>
      </c>
    </row>
    <row r="102" spans="1:7">
      <c r="A102">
        <v>92</v>
      </c>
      <c r="B102">
        <f t="shared" si="10"/>
        <v>0</v>
      </c>
      <c r="C102" s="10"/>
      <c r="D102" s="10"/>
      <c r="E102">
        <f t="shared" si="9"/>
        <v>0.25</v>
      </c>
      <c r="F102">
        <f t="shared" si="11"/>
        <v>-0.25</v>
      </c>
      <c r="G102">
        <f t="shared" si="12"/>
        <v>6.25E-2</v>
      </c>
    </row>
    <row r="103" spans="1:7">
      <c r="A103">
        <v>93</v>
      </c>
      <c r="B103">
        <f t="shared" si="10"/>
        <v>0</v>
      </c>
      <c r="C103" s="10"/>
      <c r="D103" s="10"/>
      <c r="E103">
        <f t="shared" si="9"/>
        <v>0.25</v>
      </c>
      <c r="F103">
        <f t="shared" si="11"/>
        <v>-0.25</v>
      </c>
      <c r="G103">
        <f t="shared" si="12"/>
        <v>6.25E-2</v>
      </c>
    </row>
    <row r="104" spans="1:7">
      <c r="A104">
        <v>94</v>
      </c>
      <c r="B104">
        <f t="shared" si="10"/>
        <v>0</v>
      </c>
      <c r="C104" s="10"/>
      <c r="D104" s="10"/>
      <c r="E104">
        <f t="shared" si="9"/>
        <v>0.25</v>
      </c>
      <c r="F104">
        <f t="shared" si="11"/>
        <v>-0.25</v>
      </c>
      <c r="G104">
        <f t="shared" si="12"/>
        <v>6.25E-2</v>
      </c>
    </row>
    <row r="105" spans="1:7">
      <c r="A105">
        <v>95</v>
      </c>
      <c r="B105">
        <f t="shared" si="10"/>
        <v>0</v>
      </c>
      <c r="C105" s="10"/>
      <c r="D105" s="10"/>
      <c r="E105">
        <f t="shared" si="9"/>
        <v>0.25</v>
      </c>
      <c r="F105">
        <f t="shared" si="11"/>
        <v>-0.25</v>
      </c>
      <c r="G105">
        <f t="shared" si="12"/>
        <v>6.25E-2</v>
      </c>
    </row>
    <row r="106" spans="1:7">
      <c r="A106">
        <v>96</v>
      </c>
      <c r="B106">
        <f t="shared" si="10"/>
        <v>0</v>
      </c>
      <c r="C106" s="10"/>
      <c r="D106" s="10"/>
      <c r="E106">
        <f t="shared" si="9"/>
        <v>0.25</v>
      </c>
      <c r="F106">
        <f t="shared" si="11"/>
        <v>-0.25</v>
      </c>
      <c r="G106">
        <f t="shared" si="12"/>
        <v>6.25E-2</v>
      </c>
    </row>
    <row r="107" spans="1:7">
      <c r="A107">
        <v>97</v>
      </c>
      <c r="B107">
        <f t="shared" si="10"/>
        <v>0</v>
      </c>
      <c r="C107" s="10"/>
      <c r="D107" s="10"/>
      <c r="E107">
        <f t="shared" si="9"/>
        <v>0.25</v>
      </c>
      <c r="F107">
        <f t="shared" si="11"/>
        <v>-0.25</v>
      </c>
      <c r="G107">
        <f t="shared" si="12"/>
        <v>6.25E-2</v>
      </c>
    </row>
    <row r="108" spans="1:7">
      <c r="A108">
        <v>98</v>
      </c>
      <c r="B108">
        <f t="shared" si="10"/>
        <v>0</v>
      </c>
      <c r="C108" s="10"/>
      <c r="D108" s="10"/>
      <c r="E108">
        <f t="shared" si="9"/>
        <v>0.25</v>
      </c>
      <c r="F108">
        <f t="shared" si="11"/>
        <v>-0.25</v>
      </c>
      <c r="G108">
        <f t="shared" si="12"/>
        <v>6.25E-2</v>
      </c>
    </row>
    <row r="109" spans="1:7">
      <c r="A109">
        <v>99</v>
      </c>
      <c r="B109">
        <f t="shared" si="10"/>
        <v>0</v>
      </c>
      <c r="C109" s="10"/>
      <c r="D109" s="10"/>
      <c r="E109">
        <f t="shared" si="9"/>
        <v>0.25</v>
      </c>
      <c r="F109">
        <f t="shared" si="11"/>
        <v>-0.25</v>
      </c>
      <c r="G109">
        <f t="shared" si="12"/>
        <v>6.25E-2</v>
      </c>
    </row>
    <row r="110" spans="1:7">
      <c r="A110">
        <v>100</v>
      </c>
      <c r="B110">
        <f t="shared" si="10"/>
        <v>0</v>
      </c>
      <c r="C110" s="10"/>
      <c r="D110" s="10"/>
      <c r="E110">
        <f t="shared" si="9"/>
        <v>0.25</v>
      </c>
      <c r="F110">
        <f t="shared" si="11"/>
        <v>-0.25</v>
      </c>
      <c r="G110">
        <f t="shared" si="12"/>
        <v>6.25E-2</v>
      </c>
    </row>
    <row r="111" spans="1:7">
      <c r="A111">
        <v>101</v>
      </c>
      <c r="B111">
        <f t="shared" si="10"/>
        <v>0</v>
      </c>
      <c r="C111" s="10"/>
      <c r="D111" s="10"/>
      <c r="E111">
        <f t="shared" si="9"/>
        <v>0.25</v>
      </c>
      <c r="F111">
        <f t="shared" si="11"/>
        <v>-0.25</v>
      </c>
      <c r="G111">
        <f t="shared" si="12"/>
        <v>6.25E-2</v>
      </c>
    </row>
    <row r="112" spans="1:7">
      <c r="A112">
        <v>102</v>
      </c>
      <c r="B112">
        <f t="shared" si="10"/>
        <v>0</v>
      </c>
      <c r="C112" s="10"/>
      <c r="D112" s="10"/>
      <c r="E112">
        <f t="shared" si="9"/>
        <v>0.25</v>
      </c>
      <c r="F112">
        <f t="shared" si="11"/>
        <v>-0.25</v>
      </c>
      <c r="G112">
        <f t="shared" si="12"/>
        <v>6.25E-2</v>
      </c>
    </row>
    <row r="113" spans="1:7">
      <c r="A113">
        <v>103</v>
      </c>
      <c r="B113">
        <f t="shared" si="10"/>
        <v>0</v>
      </c>
      <c r="C113" s="10"/>
      <c r="D113" s="10"/>
      <c r="E113">
        <f t="shared" si="9"/>
        <v>0.25</v>
      </c>
      <c r="F113">
        <f t="shared" si="11"/>
        <v>-0.25</v>
      </c>
      <c r="G113">
        <f t="shared" si="12"/>
        <v>6.25E-2</v>
      </c>
    </row>
    <row r="114" spans="1:7">
      <c r="A114">
        <v>104</v>
      </c>
      <c r="B114">
        <f t="shared" si="10"/>
        <v>0</v>
      </c>
      <c r="C114" s="10"/>
      <c r="D114" s="10"/>
      <c r="E114">
        <f t="shared" si="9"/>
        <v>0.25</v>
      </c>
      <c r="F114">
        <f t="shared" si="11"/>
        <v>-0.25</v>
      </c>
      <c r="G114">
        <f t="shared" si="12"/>
        <v>6.25E-2</v>
      </c>
    </row>
    <row r="115" spans="1:7">
      <c r="A115">
        <v>105</v>
      </c>
      <c r="B115">
        <f t="shared" si="10"/>
        <v>0</v>
      </c>
      <c r="C115" s="10"/>
      <c r="D115" s="10"/>
      <c r="E115">
        <f t="shared" si="9"/>
        <v>0.25</v>
      </c>
      <c r="F115">
        <f t="shared" si="11"/>
        <v>-0.25</v>
      </c>
      <c r="G115">
        <f t="shared" si="12"/>
        <v>6.25E-2</v>
      </c>
    </row>
    <row r="116" spans="1:7">
      <c r="A116">
        <v>106</v>
      </c>
      <c r="B116">
        <f t="shared" si="10"/>
        <v>0</v>
      </c>
      <c r="C116" s="10"/>
      <c r="D116" s="10"/>
      <c r="E116">
        <f t="shared" si="9"/>
        <v>0.25</v>
      </c>
      <c r="F116">
        <f t="shared" si="11"/>
        <v>-0.25</v>
      </c>
      <c r="G116">
        <f t="shared" si="12"/>
        <v>6.25E-2</v>
      </c>
    </row>
    <row r="117" spans="1:7">
      <c r="A117">
        <v>107</v>
      </c>
      <c r="B117">
        <f t="shared" si="10"/>
        <v>0</v>
      </c>
      <c r="C117" s="10"/>
      <c r="D117" s="10"/>
      <c r="E117">
        <f t="shared" si="9"/>
        <v>0.25</v>
      </c>
      <c r="F117">
        <f t="shared" si="11"/>
        <v>-0.25</v>
      </c>
      <c r="G117">
        <f t="shared" si="12"/>
        <v>6.25E-2</v>
      </c>
    </row>
    <row r="118" spans="1:7">
      <c r="A118">
        <v>108</v>
      </c>
      <c r="B118">
        <f t="shared" si="10"/>
        <v>0</v>
      </c>
      <c r="C118" s="10"/>
      <c r="D118" s="10"/>
      <c r="E118">
        <f t="shared" si="9"/>
        <v>0.25</v>
      </c>
      <c r="F118">
        <f t="shared" si="11"/>
        <v>-0.25</v>
      </c>
      <c r="G118">
        <f t="shared" si="12"/>
        <v>6.25E-2</v>
      </c>
    </row>
    <row r="119" spans="1:7">
      <c r="A119">
        <v>109</v>
      </c>
      <c r="B119">
        <f t="shared" si="10"/>
        <v>0</v>
      </c>
      <c r="C119" s="10"/>
      <c r="D119" s="10"/>
      <c r="E119">
        <f t="shared" si="9"/>
        <v>0.25</v>
      </c>
      <c r="F119">
        <f t="shared" si="11"/>
        <v>-0.25</v>
      </c>
      <c r="G119">
        <f t="shared" si="12"/>
        <v>6.25E-2</v>
      </c>
    </row>
    <row r="120" spans="1:7">
      <c r="A120">
        <v>110</v>
      </c>
      <c r="B120">
        <f t="shared" si="10"/>
        <v>0</v>
      </c>
      <c r="C120" s="10"/>
      <c r="D120" s="10"/>
      <c r="E120">
        <f t="shared" si="9"/>
        <v>0.25</v>
      </c>
      <c r="F120">
        <f t="shared" si="11"/>
        <v>-0.25</v>
      </c>
      <c r="G120">
        <f t="shared" si="12"/>
        <v>6.25E-2</v>
      </c>
    </row>
    <row r="121" spans="1:7">
      <c r="A121">
        <v>111</v>
      </c>
      <c r="B121">
        <f t="shared" si="10"/>
        <v>0</v>
      </c>
      <c r="C121" s="10"/>
      <c r="D121" s="10"/>
      <c r="E121">
        <f t="shared" si="9"/>
        <v>0.25</v>
      </c>
      <c r="F121">
        <f t="shared" si="11"/>
        <v>-0.25</v>
      </c>
      <c r="G121">
        <f t="shared" si="12"/>
        <v>6.25E-2</v>
      </c>
    </row>
    <row r="122" spans="1:7">
      <c r="A122">
        <v>112</v>
      </c>
      <c r="B122">
        <f t="shared" si="10"/>
        <v>0</v>
      </c>
      <c r="C122" s="10"/>
      <c r="D122" s="10"/>
      <c r="E122">
        <f t="shared" si="9"/>
        <v>0.25</v>
      </c>
      <c r="F122">
        <f t="shared" si="11"/>
        <v>-0.25</v>
      </c>
      <c r="G122">
        <f t="shared" si="12"/>
        <v>6.25E-2</v>
      </c>
    </row>
    <row r="123" spans="1:7">
      <c r="A123">
        <v>113</v>
      </c>
      <c r="B123">
        <f t="shared" si="10"/>
        <v>0</v>
      </c>
      <c r="C123" s="10"/>
      <c r="D123" s="10"/>
      <c r="E123">
        <f t="shared" si="9"/>
        <v>0.25</v>
      </c>
      <c r="F123">
        <f t="shared" si="11"/>
        <v>-0.25</v>
      </c>
      <c r="G123">
        <f t="shared" si="12"/>
        <v>6.25E-2</v>
      </c>
    </row>
    <row r="124" spans="1:7">
      <c r="A124">
        <v>114</v>
      </c>
      <c r="B124">
        <f t="shared" si="10"/>
        <v>0</v>
      </c>
      <c r="C124" s="10"/>
      <c r="D124" s="10"/>
      <c r="E124">
        <f t="shared" si="9"/>
        <v>0.25</v>
      </c>
      <c r="F124">
        <f t="shared" si="11"/>
        <v>-0.25</v>
      </c>
      <c r="G124">
        <f t="shared" si="12"/>
        <v>6.25E-2</v>
      </c>
    </row>
    <row r="125" spans="1:7">
      <c r="A125">
        <v>115</v>
      </c>
      <c r="B125">
        <f t="shared" si="10"/>
        <v>0</v>
      </c>
      <c r="C125" s="10"/>
      <c r="D125" s="10"/>
      <c r="E125">
        <f t="shared" si="9"/>
        <v>0.25</v>
      </c>
      <c r="F125">
        <f t="shared" si="11"/>
        <v>-0.25</v>
      </c>
      <c r="G125">
        <f t="shared" si="12"/>
        <v>6.25E-2</v>
      </c>
    </row>
    <row r="126" spans="1:7">
      <c r="A126">
        <v>116</v>
      </c>
      <c r="B126">
        <f t="shared" si="10"/>
        <v>0</v>
      </c>
      <c r="C126" s="10"/>
      <c r="D126" s="10"/>
      <c r="E126">
        <f t="shared" si="9"/>
        <v>0.25</v>
      </c>
      <c r="F126">
        <f t="shared" si="11"/>
        <v>-0.25</v>
      </c>
      <c r="G126">
        <f t="shared" si="12"/>
        <v>6.25E-2</v>
      </c>
    </row>
    <row r="127" spans="1:7">
      <c r="A127">
        <v>117</v>
      </c>
      <c r="B127">
        <f t="shared" si="10"/>
        <v>0</v>
      </c>
      <c r="C127" s="10"/>
      <c r="D127" s="10"/>
      <c r="E127">
        <f t="shared" si="9"/>
        <v>0.25</v>
      </c>
      <c r="F127">
        <f t="shared" si="11"/>
        <v>-0.25</v>
      </c>
      <c r="G127">
        <f t="shared" si="12"/>
        <v>6.25E-2</v>
      </c>
    </row>
    <row r="128" spans="1:7">
      <c r="A128">
        <v>118</v>
      </c>
      <c r="B128">
        <f t="shared" si="10"/>
        <v>0</v>
      </c>
      <c r="C128" s="10"/>
      <c r="D128" s="10"/>
      <c r="E128">
        <f t="shared" si="9"/>
        <v>0.25</v>
      </c>
      <c r="F128">
        <f t="shared" si="11"/>
        <v>-0.25</v>
      </c>
      <c r="G128">
        <f t="shared" si="12"/>
        <v>6.25E-2</v>
      </c>
    </row>
    <row r="129" spans="1:7">
      <c r="A129">
        <v>119</v>
      </c>
      <c r="B129">
        <f t="shared" si="10"/>
        <v>0</v>
      </c>
      <c r="C129" s="10"/>
      <c r="D129" s="10"/>
      <c r="E129">
        <f t="shared" si="9"/>
        <v>0.25</v>
      </c>
      <c r="F129">
        <f t="shared" si="11"/>
        <v>-0.25</v>
      </c>
      <c r="G129">
        <f t="shared" si="12"/>
        <v>6.25E-2</v>
      </c>
    </row>
    <row r="130" spans="1:7">
      <c r="A130">
        <v>120</v>
      </c>
      <c r="B130">
        <f t="shared" si="10"/>
        <v>0</v>
      </c>
      <c r="C130" s="10"/>
      <c r="D130" s="10"/>
      <c r="E130">
        <f t="shared" si="9"/>
        <v>0.25</v>
      </c>
      <c r="F130">
        <f t="shared" si="11"/>
        <v>-0.25</v>
      </c>
      <c r="G130">
        <f t="shared" si="12"/>
        <v>6.25E-2</v>
      </c>
    </row>
    <row r="131" spans="1:7">
      <c r="A131">
        <v>121</v>
      </c>
      <c r="B131">
        <f t="shared" si="10"/>
        <v>0</v>
      </c>
      <c r="C131" s="10"/>
      <c r="D131" s="10"/>
      <c r="E131">
        <f t="shared" si="9"/>
        <v>0.25</v>
      </c>
      <c r="F131">
        <f t="shared" si="11"/>
        <v>-0.25</v>
      </c>
      <c r="G131">
        <f t="shared" si="12"/>
        <v>6.25E-2</v>
      </c>
    </row>
    <row r="132" spans="1:7">
      <c r="A132">
        <v>122</v>
      </c>
      <c r="B132">
        <f t="shared" si="10"/>
        <v>0</v>
      </c>
      <c r="C132" s="10"/>
      <c r="D132" s="10"/>
      <c r="E132">
        <f t="shared" si="9"/>
        <v>0.25</v>
      </c>
      <c r="F132">
        <f t="shared" si="11"/>
        <v>-0.25</v>
      </c>
      <c r="G132">
        <f t="shared" si="12"/>
        <v>6.25E-2</v>
      </c>
    </row>
    <row r="133" spans="1:7">
      <c r="A133">
        <v>123</v>
      </c>
      <c r="B133">
        <f t="shared" si="10"/>
        <v>0</v>
      </c>
      <c r="C133" s="10"/>
      <c r="D133" s="10"/>
      <c r="E133">
        <f t="shared" si="9"/>
        <v>0.25</v>
      </c>
      <c r="F133">
        <f t="shared" si="11"/>
        <v>-0.25</v>
      </c>
      <c r="G133">
        <f t="shared" si="12"/>
        <v>6.25E-2</v>
      </c>
    </row>
    <row r="134" spans="1:7">
      <c r="A134">
        <v>124</v>
      </c>
      <c r="B134">
        <f t="shared" si="10"/>
        <v>0</v>
      </c>
      <c r="C134" s="10"/>
      <c r="D134" s="10"/>
      <c r="E134">
        <f t="shared" si="9"/>
        <v>0.25</v>
      </c>
      <c r="F134">
        <f t="shared" si="11"/>
        <v>-0.25</v>
      </c>
      <c r="G134">
        <f t="shared" si="12"/>
        <v>6.25E-2</v>
      </c>
    </row>
    <row r="135" spans="1:7">
      <c r="A135">
        <v>125</v>
      </c>
      <c r="B135">
        <f t="shared" si="10"/>
        <v>0</v>
      </c>
      <c r="C135" s="10"/>
      <c r="D135" s="10"/>
      <c r="E135">
        <f t="shared" si="9"/>
        <v>0.25</v>
      </c>
      <c r="F135">
        <f t="shared" si="11"/>
        <v>-0.25</v>
      </c>
      <c r="G135">
        <f t="shared" si="12"/>
        <v>6.25E-2</v>
      </c>
    </row>
    <row r="136" spans="1:7">
      <c r="A136">
        <v>126</v>
      </c>
      <c r="B136">
        <f t="shared" si="10"/>
        <v>0</v>
      </c>
      <c r="C136" s="10"/>
      <c r="D136" s="10"/>
      <c r="E136">
        <f t="shared" si="9"/>
        <v>0.25</v>
      </c>
      <c r="F136">
        <f t="shared" si="11"/>
        <v>-0.25</v>
      </c>
      <c r="G136">
        <f t="shared" si="12"/>
        <v>6.25E-2</v>
      </c>
    </row>
    <row r="137" spans="1:7">
      <c r="A137">
        <v>127</v>
      </c>
      <c r="B137">
        <f t="shared" si="10"/>
        <v>0</v>
      </c>
      <c r="C137" s="10"/>
      <c r="D137" s="10"/>
      <c r="E137">
        <f t="shared" si="9"/>
        <v>0.25</v>
      </c>
      <c r="F137">
        <f t="shared" si="11"/>
        <v>-0.25</v>
      </c>
      <c r="G137">
        <f t="shared" si="12"/>
        <v>6.25E-2</v>
      </c>
    </row>
    <row r="138" spans="1:7">
      <c r="A138">
        <v>128</v>
      </c>
      <c r="B138">
        <f t="shared" si="10"/>
        <v>0</v>
      </c>
      <c r="C138" s="10"/>
      <c r="D138" s="10"/>
      <c r="E138">
        <f t="shared" si="9"/>
        <v>0.25</v>
      </c>
      <c r="F138">
        <f t="shared" si="11"/>
        <v>-0.25</v>
      </c>
      <c r="G138">
        <f t="shared" si="12"/>
        <v>6.25E-2</v>
      </c>
    </row>
    <row r="139" spans="1:7">
      <c r="A139">
        <v>129</v>
      </c>
      <c r="B139">
        <f t="shared" si="10"/>
        <v>0</v>
      </c>
      <c r="C139" s="10"/>
      <c r="D139" s="10"/>
      <c r="E139">
        <f t="shared" ref="E139:E202" si="13">BaseAdjust+(ampl1*EXP(-gamma1*C139)+ampl2*EXP(-gamma2*C139)+ampl3*EXP(-gamma3*C139))^2</f>
        <v>0.25</v>
      </c>
      <c r="F139">
        <f t="shared" si="11"/>
        <v>-0.25</v>
      </c>
      <c r="G139">
        <f t="shared" si="12"/>
        <v>6.25E-2</v>
      </c>
    </row>
    <row r="140" spans="1:7">
      <c r="A140">
        <v>130</v>
      </c>
      <c r="B140">
        <f t="shared" ref="B140:B203" si="14">C140/1000</f>
        <v>0</v>
      </c>
      <c r="C140" s="10"/>
      <c r="D140" s="10"/>
      <c r="E140">
        <f t="shared" si="13"/>
        <v>0.25</v>
      </c>
      <c r="F140">
        <f t="shared" ref="F140:F203" si="15">D140-E140</f>
        <v>-0.25</v>
      </c>
      <c r="G140">
        <f t="shared" ref="G140:G203" si="16">F140^2</f>
        <v>6.25E-2</v>
      </c>
    </row>
    <row r="141" spans="1:7">
      <c r="A141">
        <v>131</v>
      </c>
      <c r="B141">
        <f t="shared" si="14"/>
        <v>0</v>
      </c>
      <c r="C141" s="10"/>
      <c r="D141" s="10"/>
      <c r="E141">
        <f t="shared" si="13"/>
        <v>0.25</v>
      </c>
      <c r="F141">
        <f t="shared" si="15"/>
        <v>-0.25</v>
      </c>
      <c r="G141">
        <f t="shared" si="16"/>
        <v>6.25E-2</v>
      </c>
    </row>
    <row r="142" spans="1:7">
      <c r="A142">
        <v>132</v>
      </c>
      <c r="B142">
        <f t="shared" si="14"/>
        <v>0</v>
      </c>
      <c r="C142" s="10"/>
      <c r="D142" s="10"/>
      <c r="E142">
        <f t="shared" si="13"/>
        <v>0.25</v>
      </c>
      <c r="F142">
        <f t="shared" si="15"/>
        <v>-0.25</v>
      </c>
      <c r="G142">
        <f t="shared" si="16"/>
        <v>6.25E-2</v>
      </c>
    </row>
    <row r="143" spans="1:7">
      <c r="A143">
        <v>133</v>
      </c>
      <c r="B143">
        <f t="shared" si="14"/>
        <v>0</v>
      </c>
      <c r="C143" s="10"/>
      <c r="D143" s="10"/>
      <c r="E143">
        <f t="shared" si="13"/>
        <v>0.25</v>
      </c>
      <c r="F143">
        <f t="shared" si="15"/>
        <v>-0.25</v>
      </c>
      <c r="G143">
        <f t="shared" si="16"/>
        <v>6.25E-2</v>
      </c>
    </row>
    <row r="144" spans="1:7">
      <c r="A144">
        <v>134</v>
      </c>
      <c r="B144">
        <f t="shared" si="14"/>
        <v>0</v>
      </c>
      <c r="C144" s="10"/>
      <c r="D144" s="10"/>
      <c r="E144">
        <f t="shared" si="13"/>
        <v>0.25</v>
      </c>
      <c r="F144">
        <f t="shared" si="15"/>
        <v>-0.25</v>
      </c>
      <c r="G144">
        <f t="shared" si="16"/>
        <v>6.25E-2</v>
      </c>
    </row>
    <row r="145" spans="1:7">
      <c r="A145">
        <v>135</v>
      </c>
      <c r="B145">
        <f t="shared" si="14"/>
        <v>0</v>
      </c>
      <c r="C145" s="10"/>
      <c r="D145" s="10"/>
      <c r="E145">
        <f t="shared" si="13"/>
        <v>0.25</v>
      </c>
      <c r="F145">
        <f t="shared" si="15"/>
        <v>-0.25</v>
      </c>
      <c r="G145">
        <f t="shared" si="16"/>
        <v>6.25E-2</v>
      </c>
    </row>
    <row r="146" spans="1:7">
      <c r="A146">
        <v>136</v>
      </c>
      <c r="B146">
        <f t="shared" si="14"/>
        <v>0</v>
      </c>
      <c r="C146" s="10"/>
      <c r="D146" s="10"/>
      <c r="E146">
        <f t="shared" si="13"/>
        <v>0.25</v>
      </c>
      <c r="F146">
        <f t="shared" si="15"/>
        <v>-0.25</v>
      </c>
      <c r="G146">
        <f t="shared" si="16"/>
        <v>6.25E-2</v>
      </c>
    </row>
    <row r="147" spans="1:7">
      <c r="A147">
        <v>137</v>
      </c>
      <c r="B147">
        <f t="shared" si="14"/>
        <v>0</v>
      </c>
      <c r="C147" s="10"/>
      <c r="D147" s="10"/>
      <c r="E147">
        <f t="shared" si="13"/>
        <v>0.25</v>
      </c>
      <c r="F147">
        <f t="shared" si="15"/>
        <v>-0.25</v>
      </c>
      <c r="G147">
        <f t="shared" si="16"/>
        <v>6.25E-2</v>
      </c>
    </row>
    <row r="148" spans="1:7">
      <c r="A148">
        <v>138</v>
      </c>
      <c r="B148">
        <f t="shared" si="14"/>
        <v>0</v>
      </c>
      <c r="C148" s="10"/>
      <c r="D148" s="10"/>
      <c r="E148">
        <f t="shared" si="13"/>
        <v>0.25</v>
      </c>
      <c r="F148">
        <f t="shared" si="15"/>
        <v>-0.25</v>
      </c>
      <c r="G148">
        <f t="shared" si="16"/>
        <v>6.25E-2</v>
      </c>
    </row>
    <row r="149" spans="1:7">
      <c r="A149">
        <v>139</v>
      </c>
      <c r="B149">
        <f t="shared" si="14"/>
        <v>0</v>
      </c>
      <c r="C149" s="10"/>
      <c r="D149" s="10"/>
      <c r="E149">
        <f t="shared" si="13"/>
        <v>0.25</v>
      </c>
      <c r="F149">
        <f t="shared" si="15"/>
        <v>-0.25</v>
      </c>
      <c r="G149">
        <f t="shared" si="16"/>
        <v>6.25E-2</v>
      </c>
    </row>
    <row r="150" spans="1:7">
      <c r="A150">
        <v>140</v>
      </c>
      <c r="B150">
        <f t="shared" si="14"/>
        <v>0</v>
      </c>
      <c r="C150" s="10"/>
      <c r="D150" s="10"/>
      <c r="E150">
        <f t="shared" si="13"/>
        <v>0.25</v>
      </c>
      <c r="F150">
        <f t="shared" si="15"/>
        <v>-0.25</v>
      </c>
      <c r="G150">
        <f t="shared" si="16"/>
        <v>6.25E-2</v>
      </c>
    </row>
    <row r="151" spans="1:7">
      <c r="A151">
        <v>141</v>
      </c>
      <c r="B151">
        <f t="shared" si="14"/>
        <v>0</v>
      </c>
      <c r="C151" s="10"/>
      <c r="D151" s="10"/>
      <c r="E151">
        <f t="shared" si="13"/>
        <v>0.25</v>
      </c>
      <c r="F151">
        <f t="shared" si="15"/>
        <v>-0.25</v>
      </c>
      <c r="G151">
        <f t="shared" si="16"/>
        <v>6.25E-2</v>
      </c>
    </row>
    <row r="152" spans="1:7">
      <c r="A152">
        <v>142</v>
      </c>
      <c r="B152">
        <f t="shared" si="14"/>
        <v>0</v>
      </c>
      <c r="C152" s="10"/>
      <c r="D152" s="10"/>
      <c r="E152">
        <f t="shared" si="13"/>
        <v>0.25</v>
      </c>
      <c r="F152">
        <f t="shared" si="15"/>
        <v>-0.25</v>
      </c>
      <c r="G152">
        <f t="shared" si="16"/>
        <v>6.25E-2</v>
      </c>
    </row>
    <row r="153" spans="1:7">
      <c r="A153">
        <v>143</v>
      </c>
      <c r="B153">
        <f t="shared" si="14"/>
        <v>0</v>
      </c>
      <c r="C153" s="10"/>
      <c r="D153" s="10"/>
      <c r="E153">
        <f t="shared" si="13"/>
        <v>0.25</v>
      </c>
      <c r="F153">
        <f t="shared" si="15"/>
        <v>-0.25</v>
      </c>
      <c r="G153">
        <f t="shared" si="16"/>
        <v>6.25E-2</v>
      </c>
    </row>
    <row r="154" spans="1:7">
      <c r="A154">
        <v>144</v>
      </c>
      <c r="B154">
        <f t="shared" si="14"/>
        <v>0</v>
      </c>
      <c r="C154" s="10"/>
      <c r="D154" s="10"/>
      <c r="E154">
        <f t="shared" si="13"/>
        <v>0.25</v>
      </c>
      <c r="F154">
        <f t="shared" si="15"/>
        <v>-0.25</v>
      </c>
      <c r="G154">
        <f t="shared" si="16"/>
        <v>6.25E-2</v>
      </c>
    </row>
    <row r="155" spans="1:7">
      <c r="A155">
        <v>145</v>
      </c>
      <c r="B155">
        <f t="shared" si="14"/>
        <v>0</v>
      </c>
      <c r="C155" s="10"/>
      <c r="D155" s="10"/>
      <c r="E155">
        <f t="shared" si="13"/>
        <v>0.25</v>
      </c>
      <c r="F155">
        <f t="shared" si="15"/>
        <v>-0.25</v>
      </c>
      <c r="G155">
        <f t="shared" si="16"/>
        <v>6.25E-2</v>
      </c>
    </row>
    <row r="156" spans="1:7">
      <c r="A156">
        <v>146</v>
      </c>
      <c r="B156">
        <f t="shared" si="14"/>
        <v>0</v>
      </c>
      <c r="C156" s="10"/>
      <c r="D156" s="10"/>
      <c r="E156">
        <f t="shared" si="13"/>
        <v>0.25</v>
      </c>
      <c r="F156">
        <f t="shared" si="15"/>
        <v>-0.25</v>
      </c>
      <c r="G156">
        <f t="shared" si="16"/>
        <v>6.25E-2</v>
      </c>
    </row>
    <row r="157" spans="1:7">
      <c r="A157">
        <v>147</v>
      </c>
      <c r="B157">
        <f t="shared" si="14"/>
        <v>0</v>
      </c>
      <c r="C157" s="10"/>
      <c r="D157" s="10"/>
      <c r="E157">
        <f t="shared" si="13"/>
        <v>0.25</v>
      </c>
      <c r="F157">
        <f t="shared" si="15"/>
        <v>-0.25</v>
      </c>
      <c r="G157">
        <f t="shared" si="16"/>
        <v>6.25E-2</v>
      </c>
    </row>
    <row r="158" spans="1:7">
      <c r="A158">
        <v>148</v>
      </c>
      <c r="B158">
        <f t="shared" si="14"/>
        <v>0</v>
      </c>
      <c r="C158" s="10"/>
      <c r="D158" s="10"/>
      <c r="E158">
        <f t="shared" si="13"/>
        <v>0.25</v>
      </c>
      <c r="F158">
        <f t="shared" si="15"/>
        <v>-0.25</v>
      </c>
      <c r="G158">
        <f t="shared" si="16"/>
        <v>6.25E-2</v>
      </c>
    </row>
    <row r="159" spans="1:7">
      <c r="A159">
        <v>149</v>
      </c>
      <c r="B159">
        <f t="shared" si="14"/>
        <v>0</v>
      </c>
      <c r="C159" s="10"/>
      <c r="D159" s="10"/>
      <c r="E159">
        <f t="shared" si="13"/>
        <v>0.25</v>
      </c>
      <c r="F159">
        <f t="shared" si="15"/>
        <v>-0.25</v>
      </c>
      <c r="G159">
        <f t="shared" si="16"/>
        <v>6.25E-2</v>
      </c>
    </row>
    <row r="160" spans="1:7">
      <c r="A160">
        <v>150</v>
      </c>
      <c r="B160">
        <f t="shared" si="14"/>
        <v>0</v>
      </c>
      <c r="C160" s="10"/>
      <c r="D160" s="10"/>
      <c r="E160">
        <f t="shared" si="13"/>
        <v>0.25</v>
      </c>
      <c r="F160">
        <f t="shared" si="15"/>
        <v>-0.25</v>
      </c>
      <c r="G160">
        <f t="shared" si="16"/>
        <v>6.25E-2</v>
      </c>
    </row>
    <row r="161" spans="1:7">
      <c r="A161">
        <v>151</v>
      </c>
      <c r="B161">
        <f t="shared" si="14"/>
        <v>0</v>
      </c>
      <c r="C161" s="10"/>
      <c r="D161" s="10"/>
      <c r="E161">
        <f t="shared" si="13"/>
        <v>0.25</v>
      </c>
      <c r="F161">
        <f t="shared" si="15"/>
        <v>-0.25</v>
      </c>
      <c r="G161">
        <f t="shared" si="16"/>
        <v>6.25E-2</v>
      </c>
    </row>
    <row r="162" spans="1:7">
      <c r="A162">
        <v>152</v>
      </c>
      <c r="B162">
        <f t="shared" si="14"/>
        <v>0</v>
      </c>
      <c r="C162" s="10"/>
      <c r="D162" s="10"/>
      <c r="E162">
        <f t="shared" si="13"/>
        <v>0.25</v>
      </c>
      <c r="F162">
        <f t="shared" si="15"/>
        <v>-0.25</v>
      </c>
      <c r="G162">
        <f t="shared" si="16"/>
        <v>6.25E-2</v>
      </c>
    </row>
    <row r="163" spans="1:7">
      <c r="A163">
        <v>153</v>
      </c>
      <c r="B163">
        <f t="shared" si="14"/>
        <v>0</v>
      </c>
      <c r="C163" s="10"/>
      <c r="D163" s="10"/>
      <c r="E163">
        <f t="shared" si="13"/>
        <v>0.25</v>
      </c>
      <c r="F163">
        <f t="shared" si="15"/>
        <v>-0.25</v>
      </c>
      <c r="G163">
        <f t="shared" si="16"/>
        <v>6.25E-2</v>
      </c>
    </row>
    <row r="164" spans="1:7">
      <c r="A164">
        <v>154</v>
      </c>
      <c r="B164">
        <f t="shared" si="14"/>
        <v>0</v>
      </c>
      <c r="C164" s="10"/>
      <c r="D164" s="10"/>
      <c r="E164">
        <f t="shared" si="13"/>
        <v>0.25</v>
      </c>
      <c r="F164">
        <f t="shared" si="15"/>
        <v>-0.25</v>
      </c>
      <c r="G164">
        <f t="shared" si="16"/>
        <v>6.25E-2</v>
      </c>
    </row>
    <row r="165" spans="1:7">
      <c r="A165">
        <v>155</v>
      </c>
      <c r="B165">
        <f t="shared" si="14"/>
        <v>0</v>
      </c>
      <c r="C165" s="10"/>
      <c r="D165" s="10"/>
      <c r="E165">
        <f t="shared" si="13"/>
        <v>0.25</v>
      </c>
      <c r="F165">
        <f t="shared" si="15"/>
        <v>-0.25</v>
      </c>
      <c r="G165">
        <f t="shared" si="16"/>
        <v>6.25E-2</v>
      </c>
    </row>
    <row r="166" spans="1:7">
      <c r="A166">
        <v>156</v>
      </c>
      <c r="B166">
        <f t="shared" si="14"/>
        <v>0</v>
      </c>
      <c r="C166" s="10"/>
      <c r="D166" s="10"/>
      <c r="E166">
        <f t="shared" si="13"/>
        <v>0.25</v>
      </c>
      <c r="F166">
        <f t="shared" si="15"/>
        <v>-0.25</v>
      </c>
      <c r="G166">
        <f t="shared" si="16"/>
        <v>6.25E-2</v>
      </c>
    </row>
    <row r="167" spans="1:7">
      <c r="A167">
        <v>157</v>
      </c>
      <c r="B167">
        <f t="shared" si="14"/>
        <v>0</v>
      </c>
      <c r="C167" s="10"/>
      <c r="D167" s="10"/>
      <c r="E167">
        <f t="shared" si="13"/>
        <v>0.25</v>
      </c>
      <c r="F167">
        <f t="shared" si="15"/>
        <v>-0.25</v>
      </c>
      <c r="G167">
        <f t="shared" si="16"/>
        <v>6.25E-2</v>
      </c>
    </row>
    <row r="168" spans="1:7">
      <c r="A168">
        <v>158</v>
      </c>
      <c r="B168">
        <f t="shared" si="14"/>
        <v>0</v>
      </c>
      <c r="C168" s="10"/>
      <c r="D168" s="10"/>
      <c r="E168">
        <f t="shared" si="13"/>
        <v>0.25</v>
      </c>
      <c r="F168">
        <f t="shared" si="15"/>
        <v>-0.25</v>
      </c>
      <c r="G168">
        <f t="shared" si="16"/>
        <v>6.25E-2</v>
      </c>
    </row>
    <row r="169" spans="1:7">
      <c r="A169">
        <v>159</v>
      </c>
      <c r="B169">
        <f t="shared" si="14"/>
        <v>0</v>
      </c>
      <c r="C169" s="10"/>
      <c r="D169" s="10"/>
      <c r="E169">
        <f t="shared" si="13"/>
        <v>0.25</v>
      </c>
      <c r="F169">
        <f t="shared" si="15"/>
        <v>-0.25</v>
      </c>
      <c r="G169">
        <f t="shared" si="16"/>
        <v>6.25E-2</v>
      </c>
    </row>
    <row r="170" spans="1:7">
      <c r="A170">
        <v>160</v>
      </c>
      <c r="B170">
        <f t="shared" si="14"/>
        <v>0</v>
      </c>
      <c r="C170" s="10"/>
      <c r="D170" s="10"/>
      <c r="E170">
        <f t="shared" si="13"/>
        <v>0.25</v>
      </c>
      <c r="F170">
        <f t="shared" si="15"/>
        <v>-0.25</v>
      </c>
      <c r="G170">
        <f t="shared" si="16"/>
        <v>6.25E-2</v>
      </c>
    </row>
    <row r="171" spans="1:7">
      <c r="A171">
        <v>161</v>
      </c>
      <c r="B171">
        <f t="shared" si="14"/>
        <v>0</v>
      </c>
      <c r="C171" s="10"/>
      <c r="D171" s="10"/>
      <c r="E171">
        <f t="shared" si="13"/>
        <v>0.25</v>
      </c>
      <c r="F171">
        <f t="shared" si="15"/>
        <v>-0.25</v>
      </c>
      <c r="G171">
        <f t="shared" si="16"/>
        <v>6.25E-2</v>
      </c>
    </row>
    <row r="172" spans="1:7">
      <c r="A172">
        <v>162</v>
      </c>
      <c r="B172">
        <f t="shared" si="14"/>
        <v>0</v>
      </c>
      <c r="C172" s="10"/>
      <c r="D172" s="10"/>
      <c r="E172">
        <f t="shared" si="13"/>
        <v>0.25</v>
      </c>
      <c r="F172">
        <f t="shared" si="15"/>
        <v>-0.25</v>
      </c>
      <c r="G172">
        <f t="shared" si="16"/>
        <v>6.25E-2</v>
      </c>
    </row>
    <row r="173" spans="1:7">
      <c r="A173">
        <v>163</v>
      </c>
      <c r="B173">
        <f t="shared" si="14"/>
        <v>0</v>
      </c>
      <c r="C173" s="10"/>
      <c r="D173" s="10"/>
      <c r="E173">
        <f t="shared" si="13"/>
        <v>0.25</v>
      </c>
      <c r="F173">
        <f t="shared" si="15"/>
        <v>-0.25</v>
      </c>
      <c r="G173">
        <f t="shared" si="16"/>
        <v>6.25E-2</v>
      </c>
    </row>
    <row r="174" spans="1:7">
      <c r="A174">
        <v>164</v>
      </c>
      <c r="B174">
        <f t="shared" si="14"/>
        <v>0</v>
      </c>
      <c r="C174" s="10"/>
      <c r="D174" s="10"/>
      <c r="E174">
        <f t="shared" si="13"/>
        <v>0.25</v>
      </c>
      <c r="F174">
        <f t="shared" si="15"/>
        <v>-0.25</v>
      </c>
      <c r="G174">
        <f t="shared" si="16"/>
        <v>6.25E-2</v>
      </c>
    </row>
    <row r="175" spans="1:7">
      <c r="A175">
        <v>165</v>
      </c>
      <c r="B175">
        <f t="shared" si="14"/>
        <v>0</v>
      </c>
      <c r="C175" s="10"/>
      <c r="D175" s="10"/>
      <c r="E175">
        <f t="shared" si="13"/>
        <v>0.25</v>
      </c>
      <c r="F175">
        <f t="shared" si="15"/>
        <v>-0.25</v>
      </c>
      <c r="G175">
        <f t="shared" si="16"/>
        <v>6.25E-2</v>
      </c>
    </row>
    <row r="176" spans="1:7">
      <c r="A176">
        <v>166</v>
      </c>
      <c r="B176">
        <f t="shared" si="14"/>
        <v>0</v>
      </c>
      <c r="C176" s="10"/>
      <c r="D176" s="10"/>
      <c r="E176">
        <f t="shared" si="13"/>
        <v>0.25</v>
      </c>
      <c r="F176">
        <f t="shared" si="15"/>
        <v>-0.25</v>
      </c>
      <c r="G176">
        <f t="shared" si="16"/>
        <v>6.25E-2</v>
      </c>
    </row>
    <row r="177" spans="1:7">
      <c r="A177">
        <v>167</v>
      </c>
      <c r="B177">
        <f t="shared" si="14"/>
        <v>0</v>
      </c>
      <c r="C177" s="10"/>
      <c r="D177" s="10"/>
      <c r="E177">
        <f t="shared" si="13"/>
        <v>0.25</v>
      </c>
      <c r="F177">
        <f t="shared" si="15"/>
        <v>-0.25</v>
      </c>
      <c r="G177">
        <f t="shared" si="16"/>
        <v>6.25E-2</v>
      </c>
    </row>
    <row r="178" spans="1:7">
      <c r="A178">
        <v>168</v>
      </c>
      <c r="B178">
        <f t="shared" si="14"/>
        <v>0</v>
      </c>
      <c r="C178" s="10"/>
      <c r="D178" s="10"/>
      <c r="E178">
        <f t="shared" si="13"/>
        <v>0.25</v>
      </c>
      <c r="F178">
        <f t="shared" si="15"/>
        <v>-0.25</v>
      </c>
      <c r="G178">
        <f t="shared" si="16"/>
        <v>6.25E-2</v>
      </c>
    </row>
    <row r="179" spans="1:7">
      <c r="A179">
        <v>169</v>
      </c>
      <c r="B179">
        <f t="shared" si="14"/>
        <v>0</v>
      </c>
      <c r="C179" s="10"/>
      <c r="D179" s="10"/>
      <c r="E179">
        <f t="shared" si="13"/>
        <v>0.25</v>
      </c>
      <c r="F179">
        <f t="shared" si="15"/>
        <v>-0.25</v>
      </c>
      <c r="G179">
        <f t="shared" si="16"/>
        <v>6.25E-2</v>
      </c>
    </row>
    <row r="180" spans="1:7">
      <c r="A180">
        <v>170</v>
      </c>
      <c r="B180">
        <f t="shared" si="14"/>
        <v>0</v>
      </c>
      <c r="C180" s="10"/>
      <c r="D180" s="10"/>
      <c r="E180">
        <f t="shared" si="13"/>
        <v>0.25</v>
      </c>
      <c r="F180">
        <f t="shared" si="15"/>
        <v>-0.25</v>
      </c>
      <c r="G180">
        <f t="shared" si="16"/>
        <v>6.25E-2</v>
      </c>
    </row>
    <row r="181" spans="1:7">
      <c r="A181">
        <v>171</v>
      </c>
      <c r="B181">
        <f t="shared" si="14"/>
        <v>0</v>
      </c>
      <c r="C181" s="10"/>
      <c r="D181" s="10"/>
      <c r="E181">
        <f t="shared" si="13"/>
        <v>0.25</v>
      </c>
      <c r="F181">
        <f t="shared" si="15"/>
        <v>-0.25</v>
      </c>
      <c r="G181">
        <f t="shared" si="16"/>
        <v>6.25E-2</v>
      </c>
    </row>
    <row r="182" spans="1:7">
      <c r="A182">
        <v>172</v>
      </c>
      <c r="B182">
        <f t="shared" si="14"/>
        <v>0</v>
      </c>
      <c r="C182" s="10"/>
      <c r="D182" s="10"/>
      <c r="E182">
        <f t="shared" si="13"/>
        <v>0.25</v>
      </c>
      <c r="F182">
        <f t="shared" si="15"/>
        <v>-0.25</v>
      </c>
      <c r="G182">
        <f t="shared" si="16"/>
        <v>6.25E-2</v>
      </c>
    </row>
    <row r="183" spans="1:7">
      <c r="A183">
        <v>173</v>
      </c>
      <c r="B183">
        <f t="shared" si="14"/>
        <v>0</v>
      </c>
      <c r="C183" s="10"/>
      <c r="D183" s="10"/>
      <c r="E183">
        <f t="shared" si="13"/>
        <v>0.25</v>
      </c>
      <c r="F183">
        <f t="shared" si="15"/>
        <v>-0.25</v>
      </c>
      <c r="G183">
        <f t="shared" si="16"/>
        <v>6.25E-2</v>
      </c>
    </row>
    <row r="184" spans="1:7">
      <c r="A184">
        <v>174</v>
      </c>
      <c r="B184">
        <f t="shared" si="14"/>
        <v>0</v>
      </c>
      <c r="C184" s="10"/>
      <c r="D184" s="10"/>
      <c r="E184">
        <f t="shared" si="13"/>
        <v>0.25</v>
      </c>
      <c r="F184">
        <f t="shared" si="15"/>
        <v>-0.25</v>
      </c>
      <c r="G184">
        <f t="shared" si="16"/>
        <v>6.25E-2</v>
      </c>
    </row>
    <row r="185" spans="1:7">
      <c r="A185">
        <v>175</v>
      </c>
      <c r="B185">
        <f t="shared" si="14"/>
        <v>0</v>
      </c>
      <c r="C185" s="10"/>
      <c r="D185" s="10"/>
      <c r="E185">
        <f t="shared" si="13"/>
        <v>0.25</v>
      </c>
      <c r="F185">
        <f t="shared" si="15"/>
        <v>-0.25</v>
      </c>
      <c r="G185">
        <f t="shared" si="16"/>
        <v>6.25E-2</v>
      </c>
    </row>
    <row r="186" spans="1:7">
      <c r="A186">
        <v>176</v>
      </c>
      <c r="B186">
        <f t="shared" si="14"/>
        <v>0</v>
      </c>
      <c r="C186" s="10"/>
      <c r="D186" s="10"/>
      <c r="E186">
        <f t="shared" si="13"/>
        <v>0.25</v>
      </c>
      <c r="F186">
        <f t="shared" si="15"/>
        <v>-0.25</v>
      </c>
      <c r="G186">
        <f t="shared" si="16"/>
        <v>6.25E-2</v>
      </c>
    </row>
    <row r="187" spans="1:7">
      <c r="A187">
        <v>177</v>
      </c>
      <c r="B187">
        <f t="shared" si="14"/>
        <v>0</v>
      </c>
      <c r="C187" s="10"/>
      <c r="D187" s="10"/>
      <c r="E187">
        <f t="shared" si="13"/>
        <v>0.25</v>
      </c>
      <c r="F187">
        <f t="shared" si="15"/>
        <v>-0.25</v>
      </c>
      <c r="G187">
        <f t="shared" si="16"/>
        <v>6.25E-2</v>
      </c>
    </row>
    <row r="188" spans="1:7">
      <c r="A188">
        <v>178</v>
      </c>
      <c r="B188">
        <f t="shared" si="14"/>
        <v>0</v>
      </c>
      <c r="C188" s="10"/>
      <c r="D188" s="10"/>
      <c r="E188">
        <f t="shared" si="13"/>
        <v>0.25</v>
      </c>
      <c r="F188">
        <f t="shared" si="15"/>
        <v>-0.25</v>
      </c>
      <c r="G188">
        <f t="shared" si="16"/>
        <v>6.25E-2</v>
      </c>
    </row>
    <row r="189" spans="1:7">
      <c r="A189">
        <v>179</v>
      </c>
      <c r="B189">
        <f t="shared" si="14"/>
        <v>0</v>
      </c>
      <c r="C189" s="10"/>
      <c r="D189" s="10"/>
      <c r="E189">
        <f t="shared" si="13"/>
        <v>0.25</v>
      </c>
      <c r="F189">
        <f t="shared" si="15"/>
        <v>-0.25</v>
      </c>
      <c r="G189">
        <f t="shared" si="16"/>
        <v>6.25E-2</v>
      </c>
    </row>
    <row r="190" spans="1:7">
      <c r="A190">
        <v>180</v>
      </c>
      <c r="B190">
        <f t="shared" si="14"/>
        <v>0</v>
      </c>
      <c r="C190" s="10"/>
      <c r="D190" s="10"/>
      <c r="E190">
        <f t="shared" si="13"/>
        <v>0.25</v>
      </c>
      <c r="F190">
        <f t="shared" si="15"/>
        <v>-0.25</v>
      </c>
      <c r="G190">
        <f t="shared" si="16"/>
        <v>6.25E-2</v>
      </c>
    </row>
    <row r="191" spans="1:7">
      <c r="A191">
        <v>181</v>
      </c>
      <c r="B191">
        <f t="shared" si="14"/>
        <v>0</v>
      </c>
      <c r="C191" s="10"/>
      <c r="D191" s="10"/>
      <c r="E191">
        <f t="shared" si="13"/>
        <v>0.25</v>
      </c>
      <c r="F191">
        <f t="shared" si="15"/>
        <v>-0.25</v>
      </c>
      <c r="G191">
        <f t="shared" si="16"/>
        <v>6.25E-2</v>
      </c>
    </row>
    <row r="192" spans="1:7">
      <c r="A192">
        <v>182</v>
      </c>
      <c r="B192">
        <f t="shared" si="14"/>
        <v>0</v>
      </c>
      <c r="C192" s="10"/>
      <c r="D192" s="10"/>
      <c r="E192">
        <f t="shared" si="13"/>
        <v>0.25</v>
      </c>
      <c r="F192">
        <f t="shared" si="15"/>
        <v>-0.25</v>
      </c>
      <c r="G192">
        <f t="shared" si="16"/>
        <v>6.25E-2</v>
      </c>
    </row>
    <row r="193" spans="1:7">
      <c r="A193">
        <v>183</v>
      </c>
      <c r="B193">
        <f t="shared" si="14"/>
        <v>0</v>
      </c>
      <c r="C193" s="10"/>
      <c r="D193" s="10"/>
      <c r="E193">
        <f t="shared" si="13"/>
        <v>0.25</v>
      </c>
      <c r="F193">
        <f t="shared" si="15"/>
        <v>-0.25</v>
      </c>
      <c r="G193">
        <f t="shared" si="16"/>
        <v>6.25E-2</v>
      </c>
    </row>
    <row r="194" spans="1:7">
      <c r="A194">
        <v>184</v>
      </c>
      <c r="B194">
        <f t="shared" si="14"/>
        <v>0</v>
      </c>
      <c r="C194" s="10"/>
      <c r="D194" s="10"/>
      <c r="E194">
        <f t="shared" si="13"/>
        <v>0.25</v>
      </c>
      <c r="F194">
        <f t="shared" si="15"/>
        <v>-0.25</v>
      </c>
      <c r="G194">
        <f t="shared" si="16"/>
        <v>6.25E-2</v>
      </c>
    </row>
    <row r="195" spans="1:7">
      <c r="A195">
        <v>185</v>
      </c>
      <c r="B195">
        <f t="shared" si="14"/>
        <v>0</v>
      </c>
      <c r="C195" s="10"/>
      <c r="D195" s="10"/>
      <c r="E195">
        <f t="shared" si="13"/>
        <v>0.25</v>
      </c>
      <c r="F195">
        <f t="shared" si="15"/>
        <v>-0.25</v>
      </c>
      <c r="G195">
        <f t="shared" si="16"/>
        <v>6.25E-2</v>
      </c>
    </row>
    <row r="196" spans="1:7">
      <c r="A196">
        <v>186</v>
      </c>
      <c r="B196">
        <f t="shared" si="14"/>
        <v>0</v>
      </c>
      <c r="C196" s="10"/>
      <c r="D196" s="10"/>
      <c r="E196">
        <f t="shared" si="13"/>
        <v>0.25</v>
      </c>
      <c r="F196">
        <f t="shared" si="15"/>
        <v>-0.25</v>
      </c>
      <c r="G196">
        <f t="shared" si="16"/>
        <v>6.25E-2</v>
      </c>
    </row>
    <row r="197" spans="1:7">
      <c r="A197">
        <v>187</v>
      </c>
      <c r="B197">
        <f t="shared" si="14"/>
        <v>0</v>
      </c>
      <c r="C197" s="10"/>
      <c r="D197" s="10"/>
      <c r="E197">
        <f t="shared" si="13"/>
        <v>0.25</v>
      </c>
      <c r="F197">
        <f t="shared" si="15"/>
        <v>-0.25</v>
      </c>
      <c r="G197">
        <f t="shared" si="16"/>
        <v>6.25E-2</v>
      </c>
    </row>
    <row r="198" spans="1:7">
      <c r="A198">
        <v>188</v>
      </c>
      <c r="B198">
        <f t="shared" si="14"/>
        <v>0</v>
      </c>
      <c r="C198" s="10"/>
      <c r="D198" s="10"/>
      <c r="E198">
        <f t="shared" si="13"/>
        <v>0.25</v>
      </c>
      <c r="F198">
        <f t="shared" si="15"/>
        <v>-0.25</v>
      </c>
      <c r="G198">
        <f t="shared" si="16"/>
        <v>6.25E-2</v>
      </c>
    </row>
    <row r="199" spans="1:7">
      <c r="A199">
        <v>189</v>
      </c>
      <c r="B199">
        <f t="shared" si="14"/>
        <v>0</v>
      </c>
      <c r="C199" s="10"/>
      <c r="D199" s="10"/>
      <c r="E199">
        <f t="shared" si="13"/>
        <v>0.25</v>
      </c>
      <c r="F199">
        <f t="shared" si="15"/>
        <v>-0.25</v>
      </c>
      <c r="G199">
        <f t="shared" si="16"/>
        <v>6.25E-2</v>
      </c>
    </row>
    <row r="200" spans="1:7">
      <c r="A200">
        <v>190</v>
      </c>
      <c r="B200">
        <f t="shared" si="14"/>
        <v>0</v>
      </c>
      <c r="C200" s="10"/>
      <c r="D200" s="10"/>
      <c r="E200">
        <f t="shared" si="13"/>
        <v>0.25</v>
      </c>
      <c r="F200">
        <f t="shared" si="15"/>
        <v>-0.25</v>
      </c>
      <c r="G200">
        <f t="shared" si="16"/>
        <v>6.25E-2</v>
      </c>
    </row>
    <row r="201" spans="1:7">
      <c r="A201">
        <v>191</v>
      </c>
      <c r="B201">
        <f t="shared" si="14"/>
        <v>0</v>
      </c>
      <c r="C201" s="10"/>
      <c r="D201" s="10"/>
      <c r="E201">
        <f t="shared" si="13"/>
        <v>0.25</v>
      </c>
      <c r="F201">
        <f t="shared" si="15"/>
        <v>-0.25</v>
      </c>
      <c r="G201">
        <f t="shared" si="16"/>
        <v>6.25E-2</v>
      </c>
    </row>
    <row r="202" spans="1:7">
      <c r="A202">
        <v>192</v>
      </c>
      <c r="B202">
        <f t="shared" si="14"/>
        <v>0</v>
      </c>
      <c r="C202" s="10"/>
      <c r="D202" s="10"/>
      <c r="E202">
        <f t="shared" si="13"/>
        <v>0.25</v>
      </c>
      <c r="F202">
        <f t="shared" si="15"/>
        <v>-0.25</v>
      </c>
      <c r="G202">
        <f t="shared" si="16"/>
        <v>6.25E-2</v>
      </c>
    </row>
    <row r="203" spans="1:7">
      <c r="A203">
        <v>193</v>
      </c>
      <c r="B203">
        <f t="shared" si="14"/>
        <v>0</v>
      </c>
      <c r="C203" s="10"/>
      <c r="D203" s="10"/>
      <c r="E203">
        <f t="shared" ref="E203:E266" si="17">BaseAdjust+(ampl1*EXP(-gamma1*C203)+ampl2*EXP(-gamma2*C203)+ampl3*EXP(-gamma3*C203))^2</f>
        <v>0.25</v>
      </c>
      <c r="F203">
        <f t="shared" si="15"/>
        <v>-0.25</v>
      </c>
      <c r="G203">
        <f t="shared" si="16"/>
        <v>6.25E-2</v>
      </c>
    </row>
    <row r="204" spans="1:7">
      <c r="A204">
        <v>194</v>
      </c>
      <c r="B204">
        <f t="shared" ref="B204:B267" si="18">C204/1000</f>
        <v>0</v>
      </c>
      <c r="C204" s="10"/>
      <c r="D204" s="10"/>
      <c r="E204">
        <f t="shared" si="17"/>
        <v>0.25</v>
      </c>
      <c r="F204">
        <f t="shared" ref="F204:F267" si="19">D204-E204</f>
        <v>-0.25</v>
      </c>
      <c r="G204">
        <f t="shared" ref="G204:G267" si="20">F204^2</f>
        <v>6.25E-2</v>
      </c>
    </row>
    <row r="205" spans="1:7">
      <c r="A205">
        <v>195</v>
      </c>
      <c r="B205">
        <f t="shared" si="18"/>
        <v>0</v>
      </c>
      <c r="C205" s="10"/>
      <c r="D205" s="10"/>
      <c r="E205">
        <f t="shared" si="17"/>
        <v>0.25</v>
      </c>
      <c r="F205">
        <f t="shared" si="19"/>
        <v>-0.25</v>
      </c>
      <c r="G205">
        <f t="shared" si="20"/>
        <v>6.25E-2</v>
      </c>
    </row>
    <row r="206" spans="1:7">
      <c r="A206">
        <v>196</v>
      </c>
      <c r="B206">
        <f t="shared" si="18"/>
        <v>0</v>
      </c>
      <c r="C206" s="10"/>
      <c r="D206" s="10"/>
      <c r="E206">
        <f t="shared" si="17"/>
        <v>0.25</v>
      </c>
      <c r="F206">
        <f t="shared" si="19"/>
        <v>-0.25</v>
      </c>
      <c r="G206">
        <f t="shared" si="20"/>
        <v>6.25E-2</v>
      </c>
    </row>
    <row r="207" spans="1:7">
      <c r="A207">
        <v>197</v>
      </c>
      <c r="B207">
        <f t="shared" si="18"/>
        <v>0</v>
      </c>
      <c r="C207" s="10"/>
      <c r="D207" s="10"/>
      <c r="E207">
        <f t="shared" si="17"/>
        <v>0.25</v>
      </c>
      <c r="F207">
        <f t="shared" si="19"/>
        <v>-0.25</v>
      </c>
      <c r="G207">
        <f t="shared" si="20"/>
        <v>6.25E-2</v>
      </c>
    </row>
    <row r="208" spans="1:7">
      <c r="A208">
        <v>198</v>
      </c>
      <c r="B208">
        <f t="shared" si="18"/>
        <v>0</v>
      </c>
      <c r="C208" s="10"/>
      <c r="D208" s="10"/>
      <c r="E208">
        <f t="shared" si="17"/>
        <v>0.25</v>
      </c>
      <c r="F208">
        <f t="shared" si="19"/>
        <v>-0.25</v>
      </c>
      <c r="G208">
        <f t="shared" si="20"/>
        <v>6.25E-2</v>
      </c>
    </row>
    <row r="209" spans="1:7">
      <c r="A209">
        <v>199</v>
      </c>
      <c r="B209">
        <f t="shared" si="18"/>
        <v>0</v>
      </c>
      <c r="C209" s="10"/>
      <c r="D209" s="10"/>
      <c r="E209">
        <f t="shared" si="17"/>
        <v>0.25</v>
      </c>
      <c r="F209">
        <f t="shared" si="19"/>
        <v>-0.25</v>
      </c>
      <c r="G209">
        <f t="shared" si="20"/>
        <v>6.25E-2</v>
      </c>
    </row>
    <row r="210" spans="1:7">
      <c r="A210">
        <v>200</v>
      </c>
      <c r="B210">
        <f t="shared" si="18"/>
        <v>0</v>
      </c>
      <c r="C210" s="10"/>
      <c r="D210" s="10"/>
      <c r="E210">
        <f t="shared" si="17"/>
        <v>0.25</v>
      </c>
      <c r="F210">
        <f t="shared" si="19"/>
        <v>-0.25</v>
      </c>
      <c r="G210">
        <f t="shared" si="20"/>
        <v>6.25E-2</v>
      </c>
    </row>
    <row r="211" spans="1:7">
      <c r="A211">
        <v>201</v>
      </c>
      <c r="B211">
        <f t="shared" si="18"/>
        <v>0</v>
      </c>
      <c r="C211" s="10"/>
      <c r="D211" s="10"/>
      <c r="E211">
        <f t="shared" si="17"/>
        <v>0.25</v>
      </c>
      <c r="F211">
        <f t="shared" si="19"/>
        <v>-0.25</v>
      </c>
      <c r="G211">
        <f t="shared" si="20"/>
        <v>6.25E-2</v>
      </c>
    </row>
    <row r="212" spans="1:7">
      <c r="A212">
        <v>202</v>
      </c>
      <c r="B212">
        <f t="shared" si="18"/>
        <v>0</v>
      </c>
      <c r="C212" s="10"/>
      <c r="D212" s="10"/>
      <c r="E212">
        <f t="shared" si="17"/>
        <v>0.25</v>
      </c>
      <c r="F212">
        <f t="shared" si="19"/>
        <v>-0.25</v>
      </c>
      <c r="G212">
        <f t="shared" si="20"/>
        <v>6.25E-2</v>
      </c>
    </row>
    <row r="213" spans="1:7">
      <c r="A213">
        <v>203</v>
      </c>
      <c r="B213">
        <f t="shared" si="18"/>
        <v>0</v>
      </c>
      <c r="C213" s="10"/>
      <c r="D213" s="10"/>
      <c r="E213">
        <f t="shared" si="17"/>
        <v>0.25</v>
      </c>
      <c r="F213">
        <f t="shared" si="19"/>
        <v>-0.25</v>
      </c>
      <c r="G213">
        <f t="shared" si="20"/>
        <v>6.25E-2</v>
      </c>
    </row>
    <row r="214" spans="1:7">
      <c r="A214">
        <v>204</v>
      </c>
      <c r="B214">
        <f t="shared" si="18"/>
        <v>0</v>
      </c>
      <c r="C214" s="10"/>
      <c r="D214" s="10"/>
      <c r="E214">
        <f t="shared" si="17"/>
        <v>0.25</v>
      </c>
      <c r="F214">
        <f t="shared" si="19"/>
        <v>-0.25</v>
      </c>
      <c r="G214">
        <f t="shared" si="20"/>
        <v>6.25E-2</v>
      </c>
    </row>
    <row r="215" spans="1:7">
      <c r="A215">
        <v>205</v>
      </c>
      <c r="B215">
        <f t="shared" si="18"/>
        <v>0</v>
      </c>
      <c r="C215" s="10"/>
      <c r="D215" s="10"/>
      <c r="E215">
        <f t="shared" si="17"/>
        <v>0.25</v>
      </c>
      <c r="F215">
        <f t="shared" si="19"/>
        <v>-0.25</v>
      </c>
      <c r="G215">
        <f t="shared" si="20"/>
        <v>6.25E-2</v>
      </c>
    </row>
    <row r="216" spans="1:7">
      <c r="A216">
        <v>206</v>
      </c>
      <c r="B216">
        <f t="shared" si="18"/>
        <v>0</v>
      </c>
      <c r="C216" s="10"/>
      <c r="D216" s="10"/>
      <c r="E216">
        <f t="shared" si="17"/>
        <v>0.25</v>
      </c>
      <c r="F216">
        <f t="shared" si="19"/>
        <v>-0.25</v>
      </c>
      <c r="G216">
        <f t="shared" si="20"/>
        <v>6.25E-2</v>
      </c>
    </row>
    <row r="217" spans="1:7">
      <c r="A217">
        <v>207</v>
      </c>
      <c r="B217">
        <f t="shared" si="18"/>
        <v>0</v>
      </c>
      <c r="C217" s="10"/>
      <c r="D217" s="10"/>
      <c r="E217">
        <f t="shared" si="17"/>
        <v>0.25</v>
      </c>
      <c r="F217">
        <f t="shared" si="19"/>
        <v>-0.25</v>
      </c>
      <c r="G217">
        <f t="shared" si="20"/>
        <v>6.25E-2</v>
      </c>
    </row>
    <row r="218" spans="1:7">
      <c r="A218">
        <v>208</v>
      </c>
      <c r="B218">
        <f t="shared" si="18"/>
        <v>0</v>
      </c>
      <c r="C218" s="10"/>
      <c r="D218" s="10"/>
      <c r="E218">
        <f t="shared" si="17"/>
        <v>0.25</v>
      </c>
      <c r="F218">
        <f t="shared" si="19"/>
        <v>-0.25</v>
      </c>
      <c r="G218">
        <f t="shared" si="20"/>
        <v>6.25E-2</v>
      </c>
    </row>
    <row r="219" spans="1:7">
      <c r="A219">
        <v>209</v>
      </c>
      <c r="B219">
        <f t="shared" si="18"/>
        <v>0</v>
      </c>
      <c r="C219" s="10"/>
      <c r="D219" s="10"/>
      <c r="E219">
        <f t="shared" si="17"/>
        <v>0.25</v>
      </c>
      <c r="F219">
        <f t="shared" si="19"/>
        <v>-0.25</v>
      </c>
      <c r="G219">
        <f t="shared" si="20"/>
        <v>6.25E-2</v>
      </c>
    </row>
    <row r="220" spans="1:7">
      <c r="A220">
        <v>210</v>
      </c>
      <c r="B220">
        <f t="shared" si="18"/>
        <v>0</v>
      </c>
      <c r="C220" s="10"/>
      <c r="D220" s="10"/>
      <c r="E220">
        <f t="shared" si="17"/>
        <v>0.25</v>
      </c>
      <c r="F220">
        <f t="shared" si="19"/>
        <v>-0.25</v>
      </c>
      <c r="G220">
        <f t="shared" si="20"/>
        <v>6.25E-2</v>
      </c>
    </row>
    <row r="221" spans="1:7">
      <c r="A221">
        <v>211</v>
      </c>
      <c r="B221">
        <f t="shared" si="18"/>
        <v>0</v>
      </c>
      <c r="C221" s="10"/>
      <c r="D221" s="10"/>
      <c r="E221">
        <f t="shared" si="17"/>
        <v>0.25</v>
      </c>
      <c r="F221">
        <f t="shared" si="19"/>
        <v>-0.25</v>
      </c>
      <c r="G221">
        <f t="shared" si="20"/>
        <v>6.25E-2</v>
      </c>
    </row>
    <row r="222" spans="1:7">
      <c r="A222">
        <v>212</v>
      </c>
      <c r="B222">
        <f t="shared" si="18"/>
        <v>0</v>
      </c>
      <c r="C222" s="10"/>
      <c r="D222" s="10"/>
      <c r="E222">
        <f t="shared" si="17"/>
        <v>0.25</v>
      </c>
      <c r="F222">
        <f t="shared" si="19"/>
        <v>-0.25</v>
      </c>
      <c r="G222">
        <f t="shared" si="20"/>
        <v>6.25E-2</v>
      </c>
    </row>
    <row r="223" spans="1:7">
      <c r="A223">
        <v>213</v>
      </c>
      <c r="B223">
        <f t="shared" si="18"/>
        <v>0</v>
      </c>
      <c r="C223" s="10"/>
      <c r="D223" s="10"/>
      <c r="E223">
        <f t="shared" si="17"/>
        <v>0.25</v>
      </c>
      <c r="F223">
        <f t="shared" si="19"/>
        <v>-0.25</v>
      </c>
      <c r="G223">
        <f t="shared" si="20"/>
        <v>6.25E-2</v>
      </c>
    </row>
    <row r="224" spans="1:7">
      <c r="A224">
        <v>214</v>
      </c>
      <c r="B224">
        <f t="shared" si="18"/>
        <v>0</v>
      </c>
      <c r="C224" s="10"/>
      <c r="D224" s="10"/>
      <c r="E224">
        <f t="shared" si="17"/>
        <v>0.25</v>
      </c>
      <c r="F224">
        <f t="shared" si="19"/>
        <v>-0.25</v>
      </c>
      <c r="G224">
        <f t="shared" si="20"/>
        <v>6.25E-2</v>
      </c>
    </row>
    <row r="225" spans="1:7">
      <c r="A225">
        <v>215</v>
      </c>
      <c r="B225">
        <f t="shared" si="18"/>
        <v>0</v>
      </c>
      <c r="C225" s="10"/>
      <c r="D225" s="10"/>
      <c r="E225">
        <f t="shared" si="17"/>
        <v>0.25</v>
      </c>
      <c r="F225">
        <f t="shared" si="19"/>
        <v>-0.25</v>
      </c>
      <c r="G225">
        <f t="shared" si="20"/>
        <v>6.25E-2</v>
      </c>
    </row>
    <row r="226" spans="1:7">
      <c r="A226">
        <v>216</v>
      </c>
      <c r="B226">
        <f t="shared" si="18"/>
        <v>0</v>
      </c>
      <c r="C226" s="10"/>
      <c r="D226" s="10"/>
      <c r="E226">
        <f t="shared" si="17"/>
        <v>0.25</v>
      </c>
      <c r="F226">
        <f t="shared" si="19"/>
        <v>-0.25</v>
      </c>
      <c r="G226">
        <f t="shared" si="20"/>
        <v>6.25E-2</v>
      </c>
    </row>
    <row r="227" spans="1:7">
      <c r="A227">
        <v>217</v>
      </c>
      <c r="B227">
        <f t="shared" si="18"/>
        <v>0</v>
      </c>
      <c r="C227" s="10"/>
      <c r="D227" s="10"/>
      <c r="E227">
        <f t="shared" si="17"/>
        <v>0.25</v>
      </c>
      <c r="F227">
        <f t="shared" si="19"/>
        <v>-0.25</v>
      </c>
      <c r="G227">
        <f t="shared" si="20"/>
        <v>6.25E-2</v>
      </c>
    </row>
    <row r="228" spans="1:7">
      <c r="A228">
        <v>218</v>
      </c>
      <c r="B228">
        <f t="shared" si="18"/>
        <v>0</v>
      </c>
      <c r="C228" s="10"/>
      <c r="D228" s="10"/>
      <c r="E228">
        <f t="shared" si="17"/>
        <v>0.25</v>
      </c>
      <c r="F228">
        <f t="shared" si="19"/>
        <v>-0.25</v>
      </c>
      <c r="G228">
        <f t="shared" si="20"/>
        <v>6.25E-2</v>
      </c>
    </row>
    <row r="229" spans="1:7">
      <c r="A229">
        <v>219</v>
      </c>
      <c r="B229">
        <f t="shared" si="18"/>
        <v>0</v>
      </c>
      <c r="C229" s="10"/>
      <c r="D229" s="10"/>
      <c r="E229">
        <f t="shared" si="17"/>
        <v>0.25</v>
      </c>
      <c r="F229">
        <f t="shared" si="19"/>
        <v>-0.25</v>
      </c>
      <c r="G229">
        <f t="shared" si="20"/>
        <v>6.25E-2</v>
      </c>
    </row>
    <row r="230" spans="1:7">
      <c r="A230">
        <v>220</v>
      </c>
      <c r="B230">
        <f t="shared" si="18"/>
        <v>0</v>
      </c>
      <c r="C230" s="10"/>
      <c r="D230" s="10"/>
      <c r="E230">
        <f t="shared" si="17"/>
        <v>0.25</v>
      </c>
      <c r="F230">
        <f t="shared" si="19"/>
        <v>-0.25</v>
      </c>
      <c r="G230">
        <f t="shared" si="20"/>
        <v>6.25E-2</v>
      </c>
    </row>
    <row r="231" spans="1:7">
      <c r="A231">
        <v>221</v>
      </c>
      <c r="B231">
        <f t="shared" si="18"/>
        <v>0</v>
      </c>
      <c r="C231" s="10"/>
      <c r="D231" s="10"/>
      <c r="E231">
        <f t="shared" si="17"/>
        <v>0.25</v>
      </c>
      <c r="F231">
        <f t="shared" si="19"/>
        <v>-0.25</v>
      </c>
      <c r="G231">
        <f t="shared" si="20"/>
        <v>6.25E-2</v>
      </c>
    </row>
    <row r="232" spans="1:7">
      <c r="A232">
        <v>222</v>
      </c>
      <c r="B232">
        <f t="shared" si="18"/>
        <v>0</v>
      </c>
      <c r="C232" s="10"/>
      <c r="D232" s="10"/>
      <c r="E232">
        <f t="shared" si="17"/>
        <v>0.25</v>
      </c>
      <c r="F232">
        <f t="shared" si="19"/>
        <v>-0.25</v>
      </c>
      <c r="G232">
        <f t="shared" si="20"/>
        <v>6.25E-2</v>
      </c>
    </row>
    <row r="233" spans="1:7">
      <c r="A233">
        <v>223</v>
      </c>
      <c r="B233">
        <f t="shared" si="18"/>
        <v>0</v>
      </c>
      <c r="C233" s="10"/>
      <c r="D233" s="10"/>
      <c r="E233">
        <f t="shared" si="17"/>
        <v>0.25</v>
      </c>
      <c r="F233">
        <f t="shared" si="19"/>
        <v>-0.25</v>
      </c>
      <c r="G233">
        <f t="shared" si="20"/>
        <v>6.25E-2</v>
      </c>
    </row>
    <row r="234" spans="1:7">
      <c r="A234">
        <v>224</v>
      </c>
      <c r="B234">
        <f t="shared" si="18"/>
        <v>0</v>
      </c>
      <c r="C234" s="10"/>
      <c r="D234" s="10"/>
      <c r="E234">
        <f t="shared" si="17"/>
        <v>0.25</v>
      </c>
      <c r="F234">
        <f t="shared" si="19"/>
        <v>-0.25</v>
      </c>
      <c r="G234">
        <f t="shared" si="20"/>
        <v>6.25E-2</v>
      </c>
    </row>
    <row r="235" spans="1:7">
      <c r="A235">
        <v>225</v>
      </c>
      <c r="B235">
        <f t="shared" si="18"/>
        <v>0</v>
      </c>
      <c r="C235" s="10"/>
      <c r="D235" s="10"/>
      <c r="E235">
        <f t="shared" si="17"/>
        <v>0.25</v>
      </c>
      <c r="F235">
        <f t="shared" si="19"/>
        <v>-0.25</v>
      </c>
      <c r="G235">
        <f t="shared" si="20"/>
        <v>6.25E-2</v>
      </c>
    </row>
    <row r="236" spans="1:7">
      <c r="A236">
        <v>226</v>
      </c>
      <c r="B236">
        <f t="shared" si="18"/>
        <v>0</v>
      </c>
      <c r="C236" s="10"/>
      <c r="D236" s="10"/>
      <c r="E236">
        <f t="shared" si="17"/>
        <v>0.25</v>
      </c>
      <c r="F236">
        <f t="shared" si="19"/>
        <v>-0.25</v>
      </c>
      <c r="G236">
        <f t="shared" si="20"/>
        <v>6.25E-2</v>
      </c>
    </row>
    <row r="237" spans="1:7">
      <c r="A237">
        <v>227</v>
      </c>
      <c r="B237">
        <f t="shared" si="18"/>
        <v>0</v>
      </c>
      <c r="C237" s="10"/>
      <c r="D237" s="10"/>
      <c r="E237">
        <f t="shared" si="17"/>
        <v>0.25</v>
      </c>
      <c r="F237">
        <f t="shared" si="19"/>
        <v>-0.25</v>
      </c>
      <c r="G237">
        <f t="shared" si="20"/>
        <v>6.25E-2</v>
      </c>
    </row>
    <row r="238" spans="1:7">
      <c r="A238">
        <v>228</v>
      </c>
      <c r="B238">
        <f t="shared" si="18"/>
        <v>0</v>
      </c>
      <c r="C238" s="10"/>
      <c r="D238" s="10"/>
      <c r="E238">
        <f t="shared" si="17"/>
        <v>0.25</v>
      </c>
      <c r="F238">
        <f t="shared" si="19"/>
        <v>-0.25</v>
      </c>
      <c r="G238">
        <f t="shared" si="20"/>
        <v>6.25E-2</v>
      </c>
    </row>
    <row r="239" spans="1:7">
      <c r="A239">
        <v>229</v>
      </c>
      <c r="B239">
        <f t="shared" si="18"/>
        <v>0</v>
      </c>
      <c r="C239" s="10"/>
      <c r="D239" s="10"/>
      <c r="E239">
        <f t="shared" si="17"/>
        <v>0.25</v>
      </c>
      <c r="F239">
        <f t="shared" si="19"/>
        <v>-0.25</v>
      </c>
      <c r="G239">
        <f t="shared" si="20"/>
        <v>6.25E-2</v>
      </c>
    </row>
    <row r="240" spans="1:7">
      <c r="A240">
        <v>230</v>
      </c>
      <c r="B240">
        <f t="shared" si="18"/>
        <v>0</v>
      </c>
      <c r="C240" s="10"/>
      <c r="D240" s="10"/>
      <c r="E240">
        <f t="shared" si="17"/>
        <v>0.25</v>
      </c>
      <c r="F240">
        <f t="shared" si="19"/>
        <v>-0.25</v>
      </c>
      <c r="G240">
        <f t="shared" si="20"/>
        <v>6.25E-2</v>
      </c>
    </row>
    <row r="241" spans="1:7">
      <c r="A241">
        <v>231</v>
      </c>
      <c r="B241">
        <f t="shared" si="18"/>
        <v>0</v>
      </c>
      <c r="C241" s="10"/>
      <c r="D241" s="10"/>
      <c r="E241">
        <f t="shared" si="17"/>
        <v>0.25</v>
      </c>
      <c r="F241">
        <f t="shared" si="19"/>
        <v>-0.25</v>
      </c>
      <c r="G241">
        <f t="shared" si="20"/>
        <v>6.25E-2</v>
      </c>
    </row>
    <row r="242" spans="1:7">
      <c r="A242">
        <v>232</v>
      </c>
      <c r="B242">
        <f t="shared" si="18"/>
        <v>0</v>
      </c>
      <c r="C242" s="10"/>
      <c r="D242" s="10"/>
      <c r="E242">
        <f t="shared" si="17"/>
        <v>0.25</v>
      </c>
      <c r="F242">
        <f t="shared" si="19"/>
        <v>-0.25</v>
      </c>
      <c r="G242">
        <f t="shared" si="20"/>
        <v>6.25E-2</v>
      </c>
    </row>
    <row r="243" spans="1:7">
      <c r="A243">
        <v>233</v>
      </c>
      <c r="B243">
        <f t="shared" si="18"/>
        <v>0</v>
      </c>
      <c r="C243" s="10"/>
      <c r="D243" s="10"/>
      <c r="E243">
        <f t="shared" si="17"/>
        <v>0.25</v>
      </c>
      <c r="F243">
        <f t="shared" si="19"/>
        <v>-0.25</v>
      </c>
      <c r="G243">
        <f t="shared" si="20"/>
        <v>6.25E-2</v>
      </c>
    </row>
    <row r="244" spans="1:7">
      <c r="A244">
        <v>234</v>
      </c>
      <c r="B244">
        <f t="shared" si="18"/>
        <v>0</v>
      </c>
      <c r="C244" s="10"/>
      <c r="D244" s="10"/>
      <c r="E244">
        <f t="shared" si="17"/>
        <v>0.25</v>
      </c>
      <c r="F244">
        <f t="shared" si="19"/>
        <v>-0.25</v>
      </c>
      <c r="G244">
        <f t="shared" si="20"/>
        <v>6.25E-2</v>
      </c>
    </row>
    <row r="245" spans="1:7">
      <c r="A245">
        <v>235</v>
      </c>
      <c r="B245">
        <f t="shared" si="18"/>
        <v>0</v>
      </c>
      <c r="C245" s="10"/>
      <c r="D245" s="10"/>
      <c r="E245">
        <f t="shared" si="17"/>
        <v>0.25</v>
      </c>
      <c r="F245">
        <f t="shared" si="19"/>
        <v>-0.25</v>
      </c>
      <c r="G245">
        <f t="shared" si="20"/>
        <v>6.25E-2</v>
      </c>
    </row>
    <row r="246" spans="1:7">
      <c r="A246">
        <v>236</v>
      </c>
      <c r="B246">
        <f t="shared" si="18"/>
        <v>0</v>
      </c>
      <c r="C246" s="10"/>
      <c r="D246" s="10"/>
      <c r="E246">
        <f t="shared" si="17"/>
        <v>0.25</v>
      </c>
      <c r="F246">
        <f t="shared" si="19"/>
        <v>-0.25</v>
      </c>
      <c r="G246">
        <f t="shared" si="20"/>
        <v>6.25E-2</v>
      </c>
    </row>
    <row r="247" spans="1:7">
      <c r="A247">
        <v>237</v>
      </c>
      <c r="B247">
        <f t="shared" si="18"/>
        <v>0</v>
      </c>
      <c r="C247" s="10"/>
      <c r="D247" s="10"/>
      <c r="E247">
        <f t="shared" si="17"/>
        <v>0.25</v>
      </c>
      <c r="F247">
        <f t="shared" si="19"/>
        <v>-0.25</v>
      </c>
      <c r="G247">
        <f t="shared" si="20"/>
        <v>6.25E-2</v>
      </c>
    </row>
    <row r="248" spans="1:7">
      <c r="A248">
        <v>238</v>
      </c>
      <c r="B248">
        <f t="shared" si="18"/>
        <v>0</v>
      </c>
      <c r="C248" s="10"/>
      <c r="D248" s="10"/>
      <c r="E248">
        <f t="shared" si="17"/>
        <v>0.25</v>
      </c>
      <c r="F248">
        <f t="shared" si="19"/>
        <v>-0.25</v>
      </c>
      <c r="G248">
        <f t="shared" si="20"/>
        <v>6.25E-2</v>
      </c>
    </row>
    <row r="249" spans="1:7">
      <c r="A249">
        <v>239</v>
      </c>
      <c r="B249">
        <f t="shared" si="18"/>
        <v>0</v>
      </c>
      <c r="C249" s="10"/>
      <c r="D249" s="10"/>
      <c r="E249">
        <f t="shared" si="17"/>
        <v>0.25</v>
      </c>
      <c r="F249">
        <f t="shared" si="19"/>
        <v>-0.25</v>
      </c>
      <c r="G249">
        <f t="shared" si="20"/>
        <v>6.25E-2</v>
      </c>
    </row>
    <row r="250" spans="1:7">
      <c r="A250">
        <v>240</v>
      </c>
      <c r="B250">
        <f t="shared" si="18"/>
        <v>0</v>
      </c>
      <c r="C250" s="10"/>
      <c r="D250" s="10"/>
      <c r="E250">
        <f t="shared" si="17"/>
        <v>0.25</v>
      </c>
      <c r="F250">
        <f t="shared" si="19"/>
        <v>-0.25</v>
      </c>
      <c r="G250">
        <f t="shared" si="20"/>
        <v>6.25E-2</v>
      </c>
    </row>
    <row r="251" spans="1:7">
      <c r="A251">
        <v>241</v>
      </c>
      <c r="B251">
        <f t="shared" si="18"/>
        <v>0</v>
      </c>
      <c r="C251" s="10"/>
      <c r="D251" s="10"/>
      <c r="E251">
        <f t="shared" si="17"/>
        <v>0.25</v>
      </c>
      <c r="F251">
        <f t="shared" si="19"/>
        <v>-0.25</v>
      </c>
      <c r="G251">
        <f t="shared" si="20"/>
        <v>6.25E-2</v>
      </c>
    </row>
    <row r="252" spans="1:7">
      <c r="A252">
        <v>242</v>
      </c>
      <c r="B252">
        <f t="shared" si="18"/>
        <v>0</v>
      </c>
      <c r="C252" s="10"/>
      <c r="D252" s="10"/>
      <c r="E252">
        <f t="shared" si="17"/>
        <v>0.25</v>
      </c>
      <c r="F252">
        <f t="shared" si="19"/>
        <v>-0.25</v>
      </c>
      <c r="G252">
        <f t="shared" si="20"/>
        <v>6.25E-2</v>
      </c>
    </row>
    <row r="253" spans="1:7">
      <c r="A253">
        <v>243</v>
      </c>
      <c r="B253">
        <f t="shared" si="18"/>
        <v>0</v>
      </c>
      <c r="C253" s="10"/>
      <c r="D253" s="10"/>
      <c r="E253">
        <f t="shared" si="17"/>
        <v>0.25</v>
      </c>
      <c r="F253">
        <f t="shared" si="19"/>
        <v>-0.25</v>
      </c>
      <c r="G253">
        <f t="shared" si="20"/>
        <v>6.25E-2</v>
      </c>
    </row>
    <row r="254" spans="1:7">
      <c r="A254">
        <v>244</v>
      </c>
      <c r="B254">
        <f t="shared" si="18"/>
        <v>0</v>
      </c>
      <c r="C254" s="10"/>
      <c r="D254" s="10"/>
      <c r="E254">
        <f t="shared" si="17"/>
        <v>0.25</v>
      </c>
      <c r="F254">
        <f t="shared" si="19"/>
        <v>-0.25</v>
      </c>
      <c r="G254">
        <f t="shared" si="20"/>
        <v>6.25E-2</v>
      </c>
    </row>
    <row r="255" spans="1:7">
      <c r="A255">
        <v>245</v>
      </c>
      <c r="B255">
        <f t="shared" si="18"/>
        <v>0</v>
      </c>
      <c r="C255" s="10"/>
      <c r="D255" s="10"/>
      <c r="E255">
        <f t="shared" si="17"/>
        <v>0.25</v>
      </c>
      <c r="F255">
        <f t="shared" si="19"/>
        <v>-0.25</v>
      </c>
      <c r="G255">
        <f t="shared" si="20"/>
        <v>6.25E-2</v>
      </c>
    </row>
    <row r="256" spans="1:7">
      <c r="A256">
        <v>246</v>
      </c>
      <c r="B256">
        <f t="shared" si="18"/>
        <v>0</v>
      </c>
      <c r="C256" s="10"/>
      <c r="D256" s="10"/>
      <c r="E256">
        <f t="shared" si="17"/>
        <v>0.25</v>
      </c>
      <c r="F256">
        <f t="shared" si="19"/>
        <v>-0.25</v>
      </c>
      <c r="G256">
        <f t="shared" si="20"/>
        <v>6.25E-2</v>
      </c>
    </row>
    <row r="257" spans="1:7">
      <c r="A257">
        <v>247</v>
      </c>
      <c r="B257">
        <f t="shared" si="18"/>
        <v>0</v>
      </c>
      <c r="C257" s="10"/>
      <c r="D257" s="10"/>
      <c r="E257">
        <f t="shared" si="17"/>
        <v>0.25</v>
      </c>
      <c r="F257">
        <f t="shared" si="19"/>
        <v>-0.25</v>
      </c>
      <c r="G257">
        <f t="shared" si="20"/>
        <v>6.25E-2</v>
      </c>
    </row>
    <row r="258" spans="1:7">
      <c r="A258">
        <v>248</v>
      </c>
      <c r="B258">
        <f t="shared" si="18"/>
        <v>0</v>
      </c>
      <c r="C258" s="10"/>
      <c r="D258" s="10"/>
      <c r="E258">
        <f t="shared" si="17"/>
        <v>0.25</v>
      </c>
      <c r="F258">
        <f t="shared" si="19"/>
        <v>-0.25</v>
      </c>
      <c r="G258">
        <f t="shared" si="20"/>
        <v>6.25E-2</v>
      </c>
    </row>
    <row r="259" spans="1:7">
      <c r="A259">
        <v>249</v>
      </c>
      <c r="B259">
        <f t="shared" si="18"/>
        <v>0</v>
      </c>
      <c r="C259" s="10"/>
      <c r="D259" s="10"/>
      <c r="E259">
        <f t="shared" si="17"/>
        <v>0.25</v>
      </c>
      <c r="F259">
        <f t="shared" si="19"/>
        <v>-0.25</v>
      </c>
      <c r="G259">
        <f t="shared" si="20"/>
        <v>6.25E-2</v>
      </c>
    </row>
    <row r="260" spans="1:7">
      <c r="A260">
        <v>250</v>
      </c>
      <c r="B260">
        <f t="shared" si="18"/>
        <v>0</v>
      </c>
      <c r="C260" s="10"/>
      <c r="D260" s="10"/>
      <c r="E260">
        <f t="shared" si="17"/>
        <v>0.25</v>
      </c>
      <c r="F260">
        <f t="shared" si="19"/>
        <v>-0.25</v>
      </c>
      <c r="G260">
        <f t="shared" si="20"/>
        <v>6.25E-2</v>
      </c>
    </row>
    <row r="261" spans="1:7">
      <c r="A261">
        <v>251</v>
      </c>
      <c r="B261">
        <f t="shared" si="18"/>
        <v>0</v>
      </c>
      <c r="C261" s="10"/>
      <c r="D261" s="10"/>
      <c r="E261">
        <f t="shared" si="17"/>
        <v>0.25</v>
      </c>
      <c r="F261">
        <f t="shared" si="19"/>
        <v>-0.25</v>
      </c>
      <c r="G261">
        <f t="shared" si="20"/>
        <v>6.25E-2</v>
      </c>
    </row>
    <row r="262" spans="1:7">
      <c r="A262">
        <v>252</v>
      </c>
      <c r="B262">
        <f t="shared" si="18"/>
        <v>0</v>
      </c>
      <c r="C262" s="10"/>
      <c r="D262" s="10"/>
      <c r="E262">
        <f t="shared" si="17"/>
        <v>0.25</v>
      </c>
      <c r="F262">
        <f t="shared" si="19"/>
        <v>-0.25</v>
      </c>
      <c r="G262">
        <f t="shared" si="20"/>
        <v>6.25E-2</v>
      </c>
    </row>
    <row r="263" spans="1:7">
      <c r="A263">
        <v>253</v>
      </c>
      <c r="B263">
        <f t="shared" si="18"/>
        <v>0</v>
      </c>
      <c r="C263" s="10"/>
      <c r="D263" s="10"/>
      <c r="E263">
        <f t="shared" si="17"/>
        <v>0.25</v>
      </c>
      <c r="F263">
        <f t="shared" si="19"/>
        <v>-0.25</v>
      </c>
      <c r="G263">
        <f t="shared" si="20"/>
        <v>6.25E-2</v>
      </c>
    </row>
    <row r="264" spans="1:7">
      <c r="A264">
        <v>254</v>
      </c>
      <c r="B264">
        <f t="shared" si="18"/>
        <v>0</v>
      </c>
      <c r="C264" s="10"/>
      <c r="D264" s="10"/>
      <c r="E264">
        <f t="shared" si="17"/>
        <v>0.25</v>
      </c>
      <c r="F264">
        <f t="shared" si="19"/>
        <v>-0.25</v>
      </c>
      <c r="G264">
        <f t="shared" si="20"/>
        <v>6.25E-2</v>
      </c>
    </row>
    <row r="265" spans="1:7">
      <c r="A265">
        <v>255</v>
      </c>
      <c r="B265">
        <f t="shared" si="18"/>
        <v>0</v>
      </c>
      <c r="C265" s="10"/>
      <c r="D265" s="10"/>
      <c r="E265">
        <f t="shared" si="17"/>
        <v>0.25</v>
      </c>
      <c r="F265">
        <f t="shared" si="19"/>
        <v>-0.25</v>
      </c>
      <c r="G265">
        <f t="shared" si="20"/>
        <v>6.25E-2</v>
      </c>
    </row>
    <row r="266" spans="1:7">
      <c r="A266">
        <v>256</v>
      </c>
      <c r="B266">
        <f t="shared" si="18"/>
        <v>0</v>
      </c>
      <c r="C266" s="10"/>
      <c r="D266" s="10"/>
      <c r="E266">
        <f t="shared" si="17"/>
        <v>0.25</v>
      </c>
      <c r="F266">
        <f t="shared" si="19"/>
        <v>-0.25</v>
      </c>
      <c r="G266">
        <f t="shared" si="20"/>
        <v>6.25E-2</v>
      </c>
    </row>
    <row r="267" spans="1:7">
      <c r="A267">
        <v>257</v>
      </c>
      <c r="B267">
        <f t="shared" si="18"/>
        <v>0</v>
      </c>
      <c r="C267" s="10"/>
      <c r="D267" s="10"/>
      <c r="E267">
        <f t="shared" ref="E267:E330" si="21">BaseAdjust+(ampl1*EXP(-gamma1*C267)+ampl2*EXP(-gamma2*C267)+ampl3*EXP(-gamma3*C267))^2</f>
        <v>0.25</v>
      </c>
      <c r="F267">
        <f t="shared" si="19"/>
        <v>-0.25</v>
      </c>
      <c r="G267">
        <f t="shared" si="20"/>
        <v>6.25E-2</v>
      </c>
    </row>
    <row r="268" spans="1:7">
      <c r="A268">
        <v>258</v>
      </c>
      <c r="B268">
        <f t="shared" ref="B268:B331" si="22">C268/1000</f>
        <v>0</v>
      </c>
      <c r="C268" s="10"/>
      <c r="D268" s="10"/>
      <c r="E268">
        <f t="shared" si="21"/>
        <v>0.25</v>
      </c>
      <c r="F268">
        <f t="shared" ref="F268:F331" si="23">D268-E268</f>
        <v>-0.25</v>
      </c>
      <c r="G268">
        <f t="shared" ref="G268:G331" si="24">F268^2</f>
        <v>6.25E-2</v>
      </c>
    </row>
    <row r="269" spans="1:7">
      <c r="A269">
        <v>259</v>
      </c>
      <c r="B269">
        <f t="shared" si="22"/>
        <v>0</v>
      </c>
      <c r="C269" s="10"/>
      <c r="D269" s="10"/>
      <c r="E269">
        <f t="shared" si="21"/>
        <v>0.25</v>
      </c>
      <c r="F269">
        <f t="shared" si="23"/>
        <v>-0.25</v>
      </c>
      <c r="G269">
        <f t="shared" si="24"/>
        <v>6.25E-2</v>
      </c>
    </row>
    <row r="270" spans="1:7">
      <c r="A270">
        <v>260</v>
      </c>
      <c r="B270">
        <f t="shared" si="22"/>
        <v>0</v>
      </c>
      <c r="C270" s="10"/>
      <c r="D270" s="10"/>
      <c r="E270">
        <f t="shared" si="21"/>
        <v>0.25</v>
      </c>
      <c r="F270">
        <f t="shared" si="23"/>
        <v>-0.25</v>
      </c>
      <c r="G270">
        <f t="shared" si="24"/>
        <v>6.25E-2</v>
      </c>
    </row>
    <row r="271" spans="1:7">
      <c r="A271">
        <v>261</v>
      </c>
      <c r="B271">
        <f t="shared" si="22"/>
        <v>0</v>
      </c>
      <c r="C271" s="10"/>
      <c r="D271" s="10"/>
      <c r="E271">
        <f t="shared" si="21"/>
        <v>0.25</v>
      </c>
      <c r="F271">
        <f t="shared" si="23"/>
        <v>-0.25</v>
      </c>
      <c r="G271">
        <f t="shared" si="24"/>
        <v>6.25E-2</v>
      </c>
    </row>
    <row r="272" spans="1:7">
      <c r="A272">
        <v>262</v>
      </c>
      <c r="B272">
        <f t="shared" si="22"/>
        <v>0</v>
      </c>
      <c r="C272" s="10"/>
      <c r="D272" s="10"/>
      <c r="E272">
        <f t="shared" si="21"/>
        <v>0.25</v>
      </c>
      <c r="F272">
        <f t="shared" si="23"/>
        <v>-0.25</v>
      </c>
      <c r="G272">
        <f t="shared" si="24"/>
        <v>6.25E-2</v>
      </c>
    </row>
    <row r="273" spans="1:7">
      <c r="A273">
        <v>263</v>
      </c>
      <c r="B273">
        <f t="shared" si="22"/>
        <v>0</v>
      </c>
      <c r="C273" s="10"/>
      <c r="D273" s="10"/>
      <c r="E273">
        <f t="shared" si="21"/>
        <v>0.25</v>
      </c>
      <c r="F273">
        <f t="shared" si="23"/>
        <v>-0.25</v>
      </c>
      <c r="G273">
        <f t="shared" si="24"/>
        <v>6.25E-2</v>
      </c>
    </row>
    <row r="274" spans="1:7">
      <c r="A274">
        <v>264</v>
      </c>
      <c r="B274">
        <f t="shared" si="22"/>
        <v>0</v>
      </c>
      <c r="C274" s="10"/>
      <c r="D274" s="10"/>
      <c r="E274">
        <f t="shared" si="21"/>
        <v>0.25</v>
      </c>
      <c r="F274">
        <f t="shared" si="23"/>
        <v>-0.25</v>
      </c>
      <c r="G274">
        <f t="shared" si="24"/>
        <v>6.25E-2</v>
      </c>
    </row>
    <row r="275" spans="1:7">
      <c r="A275">
        <v>265</v>
      </c>
      <c r="B275">
        <f t="shared" si="22"/>
        <v>0</v>
      </c>
      <c r="C275" s="10"/>
      <c r="D275" s="10"/>
      <c r="E275">
        <f t="shared" si="21"/>
        <v>0.25</v>
      </c>
      <c r="F275">
        <f t="shared" si="23"/>
        <v>-0.25</v>
      </c>
      <c r="G275">
        <f t="shared" si="24"/>
        <v>6.25E-2</v>
      </c>
    </row>
    <row r="276" spans="1:7">
      <c r="A276">
        <v>266</v>
      </c>
      <c r="B276">
        <f t="shared" si="22"/>
        <v>0</v>
      </c>
      <c r="C276" s="10"/>
      <c r="D276" s="10"/>
      <c r="E276">
        <f t="shared" si="21"/>
        <v>0.25</v>
      </c>
      <c r="F276">
        <f t="shared" si="23"/>
        <v>-0.25</v>
      </c>
      <c r="G276">
        <f t="shared" si="24"/>
        <v>6.25E-2</v>
      </c>
    </row>
    <row r="277" spans="1:7">
      <c r="A277">
        <v>267</v>
      </c>
      <c r="B277">
        <f t="shared" si="22"/>
        <v>0</v>
      </c>
      <c r="C277" s="10"/>
      <c r="D277" s="10"/>
      <c r="E277">
        <f t="shared" si="21"/>
        <v>0.25</v>
      </c>
      <c r="F277">
        <f t="shared" si="23"/>
        <v>-0.25</v>
      </c>
      <c r="G277">
        <f t="shared" si="24"/>
        <v>6.25E-2</v>
      </c>
    </row>
    <row r="278" spans="1:7">
      <c r="A278">
        <v>268</v>
      </c>
      <c r="B278">
        <f t="shared" si="22"/>
        <v>0</v>
      </c>
      <c r="C278" s="10"/>
      <c r="D278" s="10"/>
      <c r="E278">
        <f t="shared" si="21"/>
        <v>0.25</v>
      </c>
      <c r="F278">
        <f t="shared" si="23"/>
        <v>-0.25</v>
      </c>
      <c r="G278">
        <f t="shared" si="24"/>
        <v>6.25E-2</v>
      </c>
    </row>
    <row r="279" spans="1:7">
      <c r="A279">
        <v>269</v>
      </c>
      <c r="B279">
        <f t="shared" si="22"/>
        <v>0</v>
      </c>
      <c r="C279" s="10"/>
      <c r="D279" s="10"/>
      <c r="E279">
        <f t="shared" si="21"/>
        <v>0.25</v>
      </c>
      <c r="F279">
        <f t="shared" si="23"/>
        <v>-0.25</v>
      </c>
      <c r="G279">
        <f t="shared" si="24"/>
        <v>6.25E-2</v>
      </c>
    </row>
    <row r="280" spans="1:7">
      <c r="A280">
        <v>270</v>
      </c>
      <c r="B280">
        <f t="shared" si="22"/>
        <v>0</v>
      </c>
      <c r="C280" s="10"/>
      <c r="D280" s="10"/>
      <c r="E280">
        <f t="shared" si="21"/>
        <v>0.25</v>
      </c>
      <c r="F280">
        <f t="shared" si="23"/>
        <v>-0.25</v>
      </c>
      <c r="G280">
        <f t="shared" si="24"/>
        <v>6.25E-2</v>
      </c>
    </row>
    <row r="281" spans="1:7">
      <c r="A281">
        <v>271</v>
      </c>
      <c r="B281">
        <f t="shared" si="22"/>
        <v>0</v>
      </c>
      <c r="C281" s="10"/>
      <c r="D281" s="10"/>
      <c r="E281">
        <f t="shared" si="21"/>
        <v>0.25</v>
      </c>
      <c r="F281">
        <f t="shared" si="23"/>
        <v>-0.25</v>
      </c>
      <c r="G281">
        <f t="shared" si="24"/>
        <v>6.25E-2</v>
      </c>
    </row>
    <row r="282" spans="1:7">
      <c r="A282">
        <v>272</v>
      </c>
      <c r="B282">
        <f t="shared" si="22"/>
        <v>0</v>
      </c>
      <c r="C282" s="10"/>
      <c r="D282" s="10"/>
      <c r="E282">
        <f t="shared" si="21"/>
        <v>0.25</v>
      </c>
      <c r="F282">
        <f t="shared" si="23"/>
        <v>-0.25</v>
      </c>
      <c r="G282">
        <f t="shared" si="24"/>
        <v>6.25E-2</v>
      </c>
    </row>
    <row r="283" spans="1:7">
      <c r="A283">
        <v>273</v>
      </c>
      <c r="B283">
        <f t="shared" si="22"/>
        <v>0</v>
      </c>
      <c r="C283" s="10"/>
      <c r="D283" s="10"/>
      <c r="E283">
        <f t="shared" si="21"/>
        <v>0.25</v>
      </c>
      <c r="F283">
        <f t="shared" si="23"/>
        <v>-0.25</v>
      </c>
      <c r="G283">
        <f t="shared" si="24"/>
        <v>6.25E-2</v>
      </c>
    </row>
    <row r="284" spans="1:7">
      <c r="A284">
        <v>274</v>
      </c>
      <c r="B284">
        <f t="shared" si="22"/>
        <v>0</v>
      </c>
      <c r="C284" s="10"/>
      <c r="D284" s="10"/>
      <c r="E284">
        <f t="shared" si="21"/>
        <v>0.25</v>
      </c>
      <c r="F284">
        <f t="shared" si="23"/>
        <v>-0.25</v>
      </c>
      <c r="G284">
        <f t="shared" si="24"/>
        <v>6.25E-2</v>
      </c>
    </row>
    <row r="285" spans="1:7">
      <c r="A285">
        <v>275</v>
      </c>
      <c r="B285">
        <f t="shared" si="22"/>
        <v>0</v>
      </c>
      <c r="C285" s="10"/>
      <c r="D285" s="10"/>
      <c r="E285">
        <f t="shared" si="21"/>
        <v>0.25</v>
      </c>
      <c r="F285">
        <f t="shared" si="23"/>
        <v>-0.25</v>
      </c>
      <c r="G285">
        <f t="shared" si="24"/>
        <v>6.25E-2</v>
      </c>
    </row>
    <row r="286" spans="1:7">
      <c r="A286">
        <v>276</v>
      </c>
      <c r="B286">
        <f t="shared" si="22"/>
        <v>0</v>
      </c>
      <c r="C286" s="10"/>
      <c r="D286" s="10"/>
      <c r="E286">
        <f t="shared" si="21"/>
        <v>0.25</v>
      </c>
      <c r="F286">
        <f t="shared" si="23"/>
        <v>-0.25</v>
      </c>
      <c r="G286">
        <f t="shared" si="24"/>
        <v>6.25E-2</v>
      </c>
    </row>
    <row r="287" spans="1:7">
      <c r="A287">
        <v>277</v>
      </c>
      <c r="B287">
        <f t="shared" si="22"/>
        <v>0</v>
      </c>
      <c r="C287" s="10"/>
      <c r="D287" s="10"/>
      <c r="E287">
        <f t="shared" si="21"/>
        <v>0.25</v>
      </c>
      <c r="F287">
        <f t="shared" si="23"/>
        <v>-0.25</v>
      </c>
      <c r="G287">
        <f t="shared" si="24"/>
        <v>6.25E-2</v>
      </c>
    </row>
    <row r="288" spans="1:7">
      <c r="A288">
        <v>278</v>
      </c>
      <c r="B288">
        <f t="shared" si="22"/>
        <v>0</v>
      </c>
      <c r="C288" s="10"/>
      <c r="D288" s="10"/>
      <c r="E288">
        <f t="shared" si="21"/>
        <v>0.25</v>
      </c>
      <c r="F288">
        <f t="shared" si="23"/>
        <v>-0.25</v>
      </c>
      <c r="G288">
        <f t="shared" si="24"/>
        <v>6.25E-2</v>
      </c>
    </row>
    <row r="289" spans="1:7">
      <c r="A289">
        <v>279</v>
      </c>
      <c r="B289">
        <f t="shared" si="22"/>
        <v>0</v>
      </c>
      <c r="C289" s="10"/>
      <c r="D289" s="10"/>
      <c r="E289">
        <f t="shared" si="21"/>
        <v>0.25</v>
      </c>
      <c r="F289">
        <f t="shared" si="23"/>
        <v>-0.25</v>
      </c>
      <c r="G289">
        <f t="shared" si="24"/>
        <v>6.25E-2</v>
      </c>
    </row>
    <row r="290" spans="1:7">
      <c r="A290">
        <v>280</v>
      </c>
      <c r="B290">
        <f t="shared" si="22"/>
        <v>0</v>
      </c>
      <c r="C290" s="10"/>
      <c r="D290" s="10"/>
      <c r="E290">
        <f t="shared" si="21"/>
        <v>0.25</v>
      </c>
      <c r="F290">
        <f t="shared" si="23"/>
        <v>-0.25</v>
      </c>
      <c r="G290">
        <f t="shared" si="24"/>
        <v>6.25E-2</v>
      </c>
    </row>
    <row r="291" spans="1:7">
      <c r="A291">
        <v>281</v>
      </c>
      <c r="B291">
        <f t="shared" si="22"/>
        <v>0</v>
      </c>
      <c r="C291" s="10"/>
      <c r="D291" s="10"/>
      <c r="E291">
        <f t="shared" si="21"/>
        <v>0.25</v>
      </c>
      <c r="F291">
        <f t="shared" si="23"/>
        <v>-0.25</v>
      </c>
      <c r="G291">
        <f t="shared" si="24"/>
        <v>6.25E-2</v>
      </c>
    </row>
    <row r="292" spans="1:7">
      <c r="A292">
        <v>282</v>
      </c>
      <c r="B292">
        <f t="shared" si="22"/>
        <v>0</v>
      </c>
      <c r="C292" s="10"/>
      <c r="D292" s="10"/>
      <c r="E292">
        <f t="shared" si="21"/>
        <v>0.25</v>
      </c>
      <c r="F292">
        <f t="shared" si="23"/>
        <v>-0.25</v>
      </c>
      <c r="G292">
        <f t="shared" si="24"/>
        <v>6.25E-2</v>
      </c>
    </row>
    <row r="293" spans="1:7">
      <c r="A293">
        <v>283</v>
      </c>
      <c r="B293">
        <f t="shared" si="22"/>
        <v>0</v>
      </c>
      <c r="C293" s="10"/>
      <c r="D293" s="10"/>
      <c r="E293">
        <f t="shared" si="21"/>
        <v>0.25</v>
      </c>
      <c r="F293">
        <f t="shared" si="23"/>
        <v>-0.25</v>
      </c>
      <c r="G293">
        <f t="shared" si="24"/>
        <v>6.25E-2</v>
      </c>
    </row>
    <row r="294" spans="1:7">
      <c r="A294">
        <v>284</v>
      </c>
      <c r="B294">
        <f t="shared" si="22"/>
        <v>0</v>
      </c>
      <c r="C294" s="10"/>
      <c r="D294" s="10"/>
      <c r="E294">
        <f t="shared" si="21"/>
        <v>0.25</v>
      </c>
      <c r="F294">
        <f t="shared" si="23"/>
        <v>-0.25</v>
      </c>
      <c r="G294">
        <f t="shared" si="24"/>
        <v>6.25E-2</v>
      </c>
    </row>
    <row r="295" spans="1:7">
      <c r="A295">
        <v>285</v>
      </c>
      <c r="B295">
        <f t="shared" si="22"/>
        <v>0</v>
      </c>
      <c r="C295" s="10"/>
      <c r="D295" s="10"/>
      <c r="E295">
        <f t="shared" si="21"/>
        <v>0.25</v>
      </c>
      <c r="F295">
        <f t="shared" si="23"/>
        <v>-0.25</v>
      </c>
      <c r="G295">
        <f t="shared" si="24"/>
        <v>6.25E-2</v>
      </c>
    </row>
    <row r="296" spans="1:7">
      <c r="A296">
        <v>286</v>
      </c>
      <c r="B296">
        <f t="shared" si="22"/>
        <v>0</v>
      </c>
      <c r="C296" s="10"/>
      <c r="D296" s="10"/>
      <c r="E296">
        <f t="shared" si="21"/>
        <v>0.25</v>
      </c>
      <c r="F296">
        <f t="shared" si="23"/>
        <v>-0.25</v>
      </c>
      <c r="G296">
        <f t="shared" si="24"/>
        <v>6.25E-2</v>
      </c>
    </row>
    <row r="297" spans="1:7">
      <c r="A297">
        <v>287</v>
      </c>
      <c r="B297">
        <f t="shared" si="22"/>
        <v>0</v>
      </c>
      <c r="C297" s="10"/>
      <c r="D297" s="10"/>
      <c r="E297">
        <f t="shared" si="21"/>
        <v>0.25</v>
      </c>
      <c r="F297">
        <f t="shared" si="23"/>
        <v>-0.25</v>
      </c>
      <c r="G297">
        <f t="shared" si="24"/>
        <v>6.25E-2</v>
      </c>
    </row>
    <row r="298" spans="1:7">
      <c r="A298">
        <v>288</v>
      </c>
      <c r="B298">
        <f t="shared" si="22"/>
        <v>0</v>
      </c>
      <c r="C298" s="10"/>
      <c r="D298" s="10"/>
      <c r="E298">
        <f t="shared" si="21"/>
        <v>0.25</v>
      </c>
      <c r="F298">
        <f t="shared" si="23"/>
        <v>-0.25</v>
      </c>
      <c r="G298">
        <f t="shared" si="24"/>
        <v>6.25E-2</v>
      </c>
    </row>
    <row r="299" spans="1:7">
      <c r="A299">
        <v>289</v>
      </c>
      <c r="B299">
        <f t="shared" si="22"/>
        <v>0</v>
      </c>
      <c r="C299" s="10"/>
      <c r="D299" s="10"/>
      <c r="E299">
        <f t="shared" si="21"/>
        <v>0.25</v>
      </c>
      <c r="F299">
        <f t="shared" si="23"/>
        <v>-0.25</v>
      </c>
      <c r="G299">
        <f t="shared" si="24"/>
        <v>6.25E-2</v>
      </c>
    </row>
    <row r="300" spans="1:7">
      <c r="A300">
        <v>290</v>
      </c>
      <c r="B300">
        <f t="shared" si="22"/>
        <v>0</v>
      </c>
      <c r="C300" s="10"/>
      <c r="D300" s="10"/>
      <c r="E300">
        <f t="shared" si="21"/>
        <v>0.25</v>
      </c>
      <c r="F300">
        <f t="shared" si="23"/>
        <v>-0.25</v>
      </c>
      <c r="G300">
        <f t="shared" si="24"/>
        <v>6.25E-2</v>
      </c>
    </row>
    <row r="301" spans="1:7">
      <c r="A301">
        <v>291</v>
      </c>
      <c r="B301">
        <f t="shared" si="22"/>
        <v>0</v>
      </c>
      <c r="C301" s="10"/>
      <c r="D301" s="10"/>
      <c r="E301">
        <f t="shared" si="21"/>
        <v>0.25</v>
      </c>
      <c r="F301">
        <f t="shared" si="23"/>
        <v>-0.25</v>
      </c>
      <c r="G301">
        <f t="shared" si="24"/>
        <v>6.25E-2</v>
      </c>
    </row>
    <row r="302" spans="1:7">
      <c r="A302">
        <v>292</v>
      </c>
      <c r="B302">
        <f t="shared" si="22"/>
        <v>0</v>
      </c>
      <c r="C302" s="10"/>
      <c r="D302" s="10"/>
      <c r="E302">
        <f t="shared" si="21"/>
        <v>0.25</v>
      </c>
      <c r="F302">
        <f t="shared" si="23"/>
        <v>-0.25</v>
      </c>
      <c r="G302">
        <f t="shared" si="24"/>
        <v>6.25E-2</v>
      </c>
    </row>
    <row r="303" spans="1:7">
      <c r="A303">
        <v>293</v>
      </c>
      <c r="B303">
        <f t="shared" si="22"/>
        <v>0</v>
      </c>
      <c r="C303" s="10"/>
      <c r="D303" s="10"/>
      <c r="E303">
        <f t="shared" si="21"/>
        <v>0.25</v>
      </c>
      <c r="F303">
        <f t="shared" si="23"/>
        <v>-0.25</v>
      </c>
      <c r="G303">
        <f t="shared" si="24"/>
        <v>6.25E-2</v>
      </c>
    </row>
    <row r="304" spans="1:7">
      <c r="A304">
        <v>294</v>
      </c>
      <c r="B304">
        <f t="shared" si="22"/>
        <v>0</v>
      </c>
      <c r="C304" s="10"/>
      <c r="D304" s="10"/>
      <c r="E304">
        <f t="shared" si="21"/>
        <v>0.25</v>
      </c>
      <c r="F304">
        <f t="shared" si="23"/>
        <v>-0.25</v>
      </c>
      <c r="G304">
        <f t="shared" si="24"/>
        <v>6.25E-2</v>
      </c>
    </row>
    <row r="305" spans="1:7">
      <c r="A305">
        <v>295</v>
      </c>
      <c r="B305">
        <f t="shared" si="22"/>
        <v>0</v>
      </c>
      <c r="C305" s="10"/>
      <c r="D305" s="10"/>
      <c r="E305">
        <f t="shared" si="21"/>
        <v>0.25</v>
      </c>
      <c r="F305">
        <f t="shared" si="23"/>
        <v>-0.25</v>
      </c>
      <c r="G305">
        <f t="shared" si="24"/>
        <v>6.25E-2</v>
      </c>
    </row>
    <row r="306" spans="1:7">
      <c r="A306">
        <v>296</v>
      </c>
      <c r="B306">
        <f t="shared" si="22"/>
        <v>0</v>
      </c>
      <c r="C306" s="10"/>
      <c r="D306" s="10"/>
      <c r="E306">
        <f t="shared" si="21"/>
        <v>0.25</v>
      </c>
      <c r="F306">
        <f t="shared" si="23"/>
        <v>-0.25</v>
      </c>
      <c r="G306">
        <f t="shared" si="24"/>
        <v>6.25E-2</v>
      </c>
    </row>
    <row r="307" spans="1:7">
      <c r="A307">
        <v>297</v>
      </c>
      <c r="B307">
        <f t="shared" si="22"/>
        <v>0</v>
      </c>
      <c r="C307" s="10"/>
      <c r="D307" s="10"/>
      <c r="E307">
        <f t="shared" si="21"/>
        <v>0.25</v>
      </c>
      <c r="F307">
        <f t="shared" si="23"/>
        <v>-0.25</v>
      </c>
      <c r="G307">
        <f t="shared" si="24"/>
        <v>6.25E-2</v>
      </c>
    </row>
    <row r="308" spans="1:7">
      <c r="A308">
        <v>298</v>
      </c>
      <c r="B308">
        <f t="shared" si="22"/>
        <v>0</v>
      </c>
      <c r="C308" s="10"/>
      <c r="D308" s="10"/>
      <c r="E308">
        <f t="shared" si="21"/>
        <v>0.25</v>
      </c>
      <c r="F308">
        <f t="shared" si="23"/>
        <v>-0.25</v>
      </c>
      <c r="G308">
        <f t="shared" si="24"/>
        <v>6.25E-2</v>
      </c>
    </row>
    <row r="309" spans="1:7">
      <c r="A309">
        <v>299</v>
      </c>
      <c r="B309">
        <f t="shared" si="22"/>
        <v>0</v>
      </c>
      <c r="C309" s="10"/>
      <c r="D309" s="10"/>
      <c r="E309">
        <f t="shared" si="21"/>
        <v>0.25</v>
      </c>
      <c r="F309">
        <f t="shared" si="23"/>
        <v>-0.25</v>
      </c>
      <c r="G309">
        <f t="shared" si="24"/>
        <v>6.25E-2</v>
      </c>
    </row>
    <row r="310" spans="1:7">
      <c r="A310">
        <v>300</v>
      </c>
      <c r="B310">
        <f t="shared" si="22"/>
        <v>0</v>
      </c>
      <c r="C310" s="10"/>
      <c r="D310" s="10"/>
      <c r="E310">
        <f t="shared" si="21"/>
        <v>0.25</v>
      </c>
      <c r="F310">
        <f t="shared" si="23"/>
        <v>-0.25</v>
      </c>
      <c r="G310">
        <f t="shared" si="24"/>
        <v>6.25E-2</v>
      </c>
    </row>
    <row r="311" spans="1:7">
      <c r="A311">
        <v>301</v>
      </c>
      <c r="B311">
        <f t="shared" si="22"/>
        <v>0</v>
      </c>
      <c r="C311" s="10"/>
      <c r="D311" s="10"/>
      <c r="E311">
        <f t="shared" si="21"/>
        <v>0.25</v>
      </c>
      <c r="F311">
        <f t="shared" si="23"/>
        <v>-0.25</v>
      </c>
      <c r="G311">
        <f t="shared" si="24"/>
        <v>6.25E-2</v>
      </c>
    </row>
    <row r="312" spans="1:7">
      <c r="A312">
        <v>302</v>
      </c>
      <c r="B312">
        <f t="shared" si="22"/>
        <v>0</v>
      </c>
      <c r="C312" s="10"/>
      <c r="D312" s="10"/>
      <c r="E312">
        <f t="shared" si="21"/>
        <v>0.25</v>
      </c>
      <c r="F312">
        <f t="shared" si="23"/>
        <v>-0.25</v>
      </c>
      <c r="G312">
        <f t="shared" si="24"/>
        <v>6.25E-2</v>
      </c>
    </row>
    <row r="313" spans="1:7">
      <c r="A313">
        <v>303</v>
      </c>
      <c r="B313">
        <f t="shared" si="22"/>
        <v>0</v>
      </c>
      <c r="C313" s="10"/>
      <c r="D313" s="10"/>
      <c r="E313">
        <f t="shared" si="21"/>
        <v>0.25</v>
      </c>
      <c r="F313">
        <f t="shared" si="23"/>
        <v>-0.25</v>
      </c>
      <c r="G313">
        <f t="shared" si="24"/>
        <v>6.25E-2</v>
      </c>
    </row>
    <row r="314" spans="1:7">
      <c r="A314">
        <v>304</v>
      </c>
      <c r="B314">
        <f t="shared" si="22"/>
        <v>0</v>
      </c>
      <c r="C314" s="10"/>
      <c r="D314" s="10"/>
      <c r="E314">
        <f t="shared" si="21"/>
        <v>0.25</v>
      </c>
      <c r="F314">
        <f t="shared" si="23"/>
        <v>-0.25</v>
      </c>
      <c r="G314">
        <f t="shared" si="24"/>
        <v>6.25E-2</v>
      </c>
    </row>
    <row r="315" spans="1:7">
      <c r="A315">
        <v>305</v>
      </c>
      <c r="B315">
        <f t="shared" si="22"/>
        <v>0</v>
      </c>
      <c r="C315" s="10"/>
      <c r="D315" s="10"/>
      <c r="E315">
        <f t="shared" si="21"/>
        <v>0.25</v>
      </c>
      <c r="F315">
        <f t="shared" si="23"/>
        <v>-0.25</v>
      </c>
      <c r="G315">
        <f t="shared" si="24"/>
        <v>6.25E-2</v>
      </c>
    </row>
    <row r="316" spans="1:7">
      <c r="A316">
        <v>306</v>
      </c>
      <c r="B316">
        <f t="shared" si="22"/>
        <v>0</v>
      </c>
      <c r="C316" s="10"/>
      <c r="D316" s="10"/>
      <c r="E316">
        <f t="shared" si="21"/>
        <v>0.25</v>
      </c>
      <c r="F316">
        <f t="shared" si="23"/>
        <v>-0.25</v>
      </c>
      <c r="G316">
        <f t="shared" si="24"/>
        <v>6.25E-2</v>
      </c>
    </row>
    <row r="317" spans="1:7">
      <c r="A317">
        <v>307</v>
      </c>
      <c r="B317">
        <f t="shared" si="22"/>
        <v>0</v>
      </c>
      <c r="C317" s="10"/>
      <c r="D317" s="10"/>
      <c r="E317">
        <f t="shared" si="21"/>
        <v>0.25</v>
      </c>
      <c r="F317">
        <f t="shared" si="23"/>
        <v>-0.25</v>
      </c>
      <c r="G317">
        <f t="shared" si="24"/>
        <v>6.25E-2</v>
      </c>
    </row>
    <row r="318" spans="1:7">
      <c r="A318">
        <v>308</v>
      </c>
      <c r="B318">
        <f t="shared" si="22"/>
        <v>0</v>
      </c>
      <c r="C318" s="10"/>
      <c r="D318" s="10"/>
      <c r="E318">
        <f t="shared" si="21"/>
        <v>0.25</v>
      </c>
      <c r="F318">
        <f t="shared" si="23"/>
        <v>-0.25</v>
      </c>
      <c r="G318">
        <f t="shared" si="24"/>
        <v>6.25E-2</v>
      </c>
    </row>
    <row r="319" spans="1:7">
      <c r="A319">
        <v>309</v>
      </c>
      <c r="B319">
        <f t="shared" si="22"/>
        <v>0</v>
      </c>
      <c r="C319" s="10"/>
      <c r="D319" s="10"/>
      <c r="E319">
        <f t="shared" si="21"/>
        <v>0.25</v>
      </c>
      <c r="F319">
        <f t="shared" si="23"/>
        <v>-0.25</v>
      </c>
      <c r="G319">
        <f t="shared" si="24"/>
        <v>6.25E-2</v>
      </c>
    </row>
    <row r="320" spans="1:7">
      <c r="A320">
        <v>310</v>
      </c>
      <c r="B320">
        <f t="shared" si="22"/>
        <v>0</v>
      </c>
      <c r="C320" s="10"/>
      <c r="D320" s="10"/>
      <c r="E320">
        <f t="shared" si="21"/>
        <v>0.25</v>
      </c>
      <c r="F320">
        <f t="shared" si="23"/>
        <v>-0.25</v>
      </c>
      <c r="G320">
        <f t="shared" si="24"/>
        <v>6.25E-2</v>
      </c>
    </row>
    <row r="321" spans="1:7">
      <c r="A321">
        <v>311</v>
      </c>
      <c r="B321">
        <f t="shared" si="22"/>
        <v>0</v>
      </c>
      <c r="C321" s="10"/>
      <c r="D321" s="10"/>
      <c r="E321">
        <f t="shared" si="21"/>
        <v>0.25</v>
      </c>
      <c r="F321">
        <f t="shared" si="23"/>
        <v>-0.25</v>
      </c>
      <c r="G321">
        <f t="shared" si="24"/>
        <v>6.25E-2</v>
      </c>
    </row>
    <row r="322" spans="1:7">
      <c r="A322">
        <v>312</v>
      </c>
      <c r="B322">
        <f t="shared" si="22"/>
        <v>0</v>
      </c>
      <c r="C322" s="10"/>
      <c r="D322" s="10"/>
      <c r="E322">
        <f t="shared" si="21"/>
        <v>0.25</v>
      </c>
      <c r="F322">
        <f t="shared" si="23"/>
        <v>-0.25</v>
      </c>
      <c r="G322">
        <f t="shared" si="24"/>
        <v>6.25E-2</v>
      </c>
    </row>
    <row r="323" spans="1:7">
      <c r="A323">
        <v>313</v>
      </c>
      <c r="B323">
        <f t="shared" si="22"/>
        <v>0</v>
      </c>
      <c r="C323" s="10"/>
      <c r="D323" s="10"/>
      <c r="E323">
        <f t="shared" si="21"/>
        <v>0.25</v>
      </c>
      <c r="F323">
        <f t="shared" si="23"/>
        <v>-0.25</v>
      </c>
      <c r="G323">
        <f t="shared" si="24"/>
        <v>6.25E-2</v>
      </c>
    </row>
    <row r="324" spans="1:7">
      <c r="A324">
        <v>314</v>
      </c>
      <c r="B324">
        <f t="shared" si="22"/>
        <v>0</v>
      </c>
      <c r="C324" s="10"/>
      <c r="D324" s="10"/>
      <c r="E324">
        <f t="shared" si="21"/>
        <v>0.25</v>
      </c>
      <c r="F324">
        <f t="shared" si="23"/>
        <v>-0.25</v>
      </c>
      <c r="G324">
        <f t="shared" si="24"/>
        <v>6.25E-2</v>
      </c>
    </row>
    <row r="325" spans="1:7">
      <c r="A325">
        <v>315</v>
      </c>
      <c r="B325">
        <f t="shared" si="22"/>
        <v>0</v>
      </c>
      <c r="C325" s="10"/>
      <c r="D325" s="10"/>
      <c r="E325">
        <f t="shared" si="21"/>
        <v>0.25</v>
      </c>
      <c r="F325">
        <f t="shared" si="23"/>
        <v>-0.25</v>
      </c>
      <c r="G325">
        <f t="shared" si="24"/>
        <v>6.25E-2</v>
      </c>
    </row>
    <row r="326" spans="1:7">
      <c r="A326">
        <v>316</v>
      </c>
      <c r="B326">
        <f t="shared" si="22"/>
        <v>0</v>
      </c>
      <c r="C326" s="10"/>
      <c r="D326" s="10"/>
      <c r="E326">
        <f t="shared" si="21"/>
        <v>0.25</v>
      </c>
      <c r="F326">
        <f t="shared" si="23"/>
        <v>-0.25</v>
      </c>
      <c r="G326">
        <f t="shared" si="24"/>
        <v>6.25E-2</v>
      </c>
    </row>
    <row r="327" spans="1:7">
      <c r="A327">
        <v>317</v>
      </c>
      <c r="B327">
        <f t="shared" si="22"/>
        <v>0</v>
      </c>
      <c r="C327" s="10"/>
      <c r="D327" s="10"/>
      <c r="E327">
        <f t="shared" si="21"/>
        <v>0.25</v>
      </c>
      <c r="F327">
        <f t="shared" si="23"/>
        <v>-0.25</v>
      </c>
      <c r="G327">
        <f t="shared" si="24"/>
        <v>6.25E-2</v>
      </c>
    </row>
    <row r="328" spans="1:7">
      <c r="A328">
        <v>318</v>
      </c>
      <c r="B328">
        <f t="shared" si="22"/>
        <v>0</v>
      </c>
      <c r="C328" s="10"/>
      <c r="D328" s="10"/>
      <c r="E328">
        <f t="shared" si="21"/>
        <v>0.25</v>
      </c>
      <c r="F328">
        <f t="shared" si="23"/>
        <v>-0.25</v>
      </c>
      <c r="G328">
        <f t="shared" si="24"/>
        <v>6.25E-2</v>
      </c>
    </row>
    <row r="329" spans="1:7">
      <c r="A329">
        <v>319</v>
      </c>
      <c r="B329">
        <f t="shared" si="22"/>
        <v>0</v>
      </c>
      <c r="C329" s="10"/>
      <c r="D329" s="10"/>
      <c r="E329">
        <f t="shared" si="21"/>
        <v>0.25</v>
      </c>
      <c r="F329">
        <f t="shared" si="23"/>
        <v>-0.25</v>
      </c>
      <c r="G329">
        <f t="shared" si="24"/>
        <v>6.25E-2</v>
      </c>
    </row>
    <row r="330" spans="1:7">
      <c r="A330">
        <v>320</v>
      </c>
      <c r="B330">
        <f t="shared" si="22"/>
        <v>0</v>
      </c>
      <c r="C330" s="10"/>
      <c r="D330" s="10"/>
      <c r="E330">
        <f t="shared" si="21"/>
        <v>0.25</v>
      </c>
      <c r="F330">
        <f t="shared" si="23"/>
        <v>-0.25</v>
      </c>
      <c r="G330">
        <f t="shared" si="24"/>
        <v>6.25E-2</v>
      </c>
    </row>
    <row r="331" spans="1:7">
      <c r="A331">
        <v>321</v>
      </c>
      <c r="B331">
        <f t="shared" si="22"/>
        <v>0</v>
      </c>
      <c r="C331" s="10"/>
      <c r="D331" s="10"/>
      <c r="E331">
        <f t="shared" ref="E331:E394" si="25">BaseAdjust+(ampl1*EXP(-gamma1*C331)+ampl2*EXP(-gamma2*C331)+ampl3*EXP(-gamma3*C331))^2</f>
        <v>0.25</v>
      </c>
      <c r="F331">
        <f t="shared" si="23"/>
        <v>-0.25</v>
      </c>
      <c r="G331">
        <f t="shared" si="24"/>
        <v>6.25E-2</v>
      </c>
    </row>
    <row r="332" spans="1:7">
      <c r="A332">
        <v>322</v>
      </c>
      <c r="B332">
        <f t="shared" ref="B332:B395" si="26">C332/1000</f>
        <v>0</v>
      </c>
      <c r="C332" s="10"/>
      <c r="D332" s="10"/>
      <c r="E332">
        <f t="shared" si="25"/>
        <v>0.25</v>
      </c>
      <c r="F332">
        <f t="shared" ref="F332:F395" si="27">D332-E332</f>
        <v>-0.25</v>
      </c>
      <c r="G332">
        <f t="shared" ref="G332:G395" si="28">F332^2</f>
        <v>6.25E-2</v>
      </c>
    </row>
    <row r="333" spans="1:7">
      <c r="A333">
        <v>323</v>
      </c>
      <c r="B333">
        <f t="shared" si="26"/>
        <v>0</v>
      </c>
      <c r="C333" s="10"/>
      <c r="D333" s="10"/>
      <c r="E333">
        <f t="shared" si="25"/>
        <v>0.25</v>
      </c>
      <c r="F333">
        <f t="shared" si="27"/>
        <v>-0.25</v>
      </c>
      <c r="G333">
        <f t="shared" si="28"/>
        <v>6.25E-2</v>
      </c>
    </row>
    <row r="334" spans="1:7">
      <c r="A334">
        <v>324</v>
      </c>
      <c r="B334">
        <f t="shared" si="26"/>
        <v>0</v>
      </c>
      <c r="C334" s="10"/>
      <c r="D334" s="10"/>
      <c r="E334">
        <f t="shared" si="25"/>
        <v>0.25</v>
      </c>
      <c r="F334">
        <f t="shared" si="27"/>
        <v>-0.25</v>
      </c>
      <c r="G334">
        <f t="shared" si="28"/>
        <v>6.25E-2</v>
      </c>
    </row>
    <row r="335" spans="1:7">
      <c r="A335">
        <v>325</v>
      </c>
      <c r="B335">
        <f t="shared" si="26"/>
        <v>0</v>
      </c>
      <c r="C335" s="10"/>
      <c r="D335" s="10"/>
      <c r="E335">
        <f t="shared" si="25"/>
        <v>0.25</v>
      </c>
      <c r="F335">
        <f t="shared" si="27"/>
        <v>-0.25</v>
      </c>
      <c r="G335">
        <f t="shared" si="28"/>
        <v>6.25E-2</v>
      </c>
    </row>
    <row r="336" spans="1:7">
      <c r="A336">
        <v>326</v>
      </c>
      <c r="B336">
        <f t="shared" si="26"/>
        <v>0</v>
      </c>
      <c r="C336" s="10"/>
      <c r="D336" s="10"/>
      <c r="E336">
        <f t="shared" si="25"/>
        <v>0.25</v>
      </c>
      <c r="F336">
        <f t="shared" si="27"/>
        <v>-0.25</v>
      </c>
      <c r="G336">
        <f t="shared" si="28"/>
        <v>6.25E-2</v>
      </c>
    </row>
    <row r="337" spans="1:7">
      <c r="A337">
        <v>327</v>
      </c>
      <c r="B337">
        <f t="shared" si="26"/>
        <v>0</v>
      </c>
      <c r="C337" s="10"/>
      <c r="D337" s="10"/>
      <c r="E337">
        <f t="shared" si="25"/>
        <v>0.25</v>
      </c>
      <c r="F337">
        <f t="shared" si="27"/>
        <v>-0.25</v>
      </c>
      <c r="G337">
        <f t="shared" si="28"/>
        <v>6.25E-2</v>
      </c>
    </row>
    <row r="338" spans="1:7">
      <c r="A338">
        <v>328</v>
      </c>
      <c r="B338">
        <f t="shared" si="26"/>
        <v>0</v>
      </c>
      <c r="C338" s="10"/>
      <c r="D338" s="10"/>
      <c r="E338">
        <f t="shared" si="25"/>
        <v>0.25</v>
      </c>
      <c r="F338">
        <f t="shared" si="27"/>
        <v>-0.25</v>
      </c>
      <c r="G338">
        <f t="shared" si="28"/>
        <v>6.25E-2</v>
      </c>
    </row>
    <row r="339" spans="1:7">
      <c r="A339">
        <v>329</v>
      </c>
      <c r="B339">
        <f t="shared" si="26"/>
        <v>0</v>
      </c>
      <c r="C339" s="10"/>
      <c r="D339" s="10"/>
      <c r="E339">
        <f t="shared" si="25"/>
        <v>0.25</v>
      </c>
      <c r="F339">
        <f t="shared" si="27"/>
        <v>-0.25</v>
      </c>
      <c r="G339">
        <f t="shared" si="28"/>
        <v>6.25E-2</v>
      </c>
    </row>
    <row r="340" spans="1:7">
      <c r="A340">
        <v>330</v>
      </c>
      <c r="B340">
        <f t="shared" si="26"/>
        <v>0</v>
      </c>
      <c r="C340" s="10"/>
      <c r="D340" s="10"/>
      <c r="E340">
        <f t="shared" si="25"/>
        <v>0.25</v>
      </c>
      <c r="F340">
        <f t="shared" si="27"/>
        <v>-0.25</v>
      </c>
      <c r="G340">
        <f t="shared" si="28"/>
        <v>6.25E-2</v>
      </c>
    </row>
    <row r="341" spans="1:7">
      <c r="A341">
        <v>331</v>
      </c>
      <c r="B341">
        <f t="shared" si="26"/>
        <v>0</v>
      </c>
      <c r="C341" s="10"/>
      <c r="D341" s="10"/>
      <c r="E341">
        <f t="shared" si="25"/>
        <v>0.25</v>
      </c>
      <c r="F341">
        <f t="shared" si="27"/>
        <v>-0.25</v>
      </c>
      <c r="G341">
        <f t="shared" si="28"/>
        <v>6.25E-2</v>
      </c>
    </row>
    <row r="342" spans="1:7">
      <c r="A342">
        <v>332</v>
      </c>
      <c r="B342">
        <f t="shared" si="26"/>
        <v>0</v>
      </c>
      <c r="C342" s="10"/>
      <c r="D342" s="10"/>
      <c r="E342">
        <f t="shared" si="25"/>
        <v>0.25</v>
      </c>
      <c r="F342">
        <f t="shared" si="27"/>
        <v>-0.25</v>
      </c>
      <c r="G342">
        <f t="shared" si="28"/>
        <v>6.25E-2</v>
      </c>
    </row>
    <row r="343" spans="1:7">
      <c r="A343">
        <v>333</v>
      </c>
      <c r="B343">
        <f t="shared" si="26"/>
        <v>0</v>
      </c>
      <c r="C343" s="10"/>
      <c r="D343" s="10"/>
      <c r="E343">
        <f t="shared" si="25"/>
        <v>0.25</v>
      </c>
      <c r="F343">
        <f t="shared" si="27"/>
        <v>-0.25</v>
      </c>
      <c r="G343">
        <f t="shared" si="28"/>
        <v>6.25E-2</v>
      </c>
    </row>
    <row r="344" spans="1:7">
      <c r="A344">
        <v>334</v>
      </c>
      <c r="B344">
        <f t="shared" si="26"/>
        <v>0</v>
      </c>
      <c r="C344" s="10"/>
      <c r="D344" s="10"/>
      <c r="E344">
        <f t="shared" si="25"/>
        <v>0.25</v>
      </c>
      <c r="F344">
        <f t="shared" si="27"/>
        <v>-0.25</v>
      </c>
      <c r="G344">
        <f t="shared" si="28"/>
        <v>6.25E-2</v>
      </c>
    </row>
    <row r="345" spans="1:7">
      <c r="A345">
        <v>335</v>
      </c>
      <c r="B345">
        <f t="shared" si="26"/>
        <v>0</v>
      </c>
      <c r="C345" s="10"/>
      <c r="D345" s="10"/>
      <c r="E345">
        <f t="shared" si="25"/>
        <v>0.25</v>
      </c>
      <c r="F345">
        <f t="shared" si="27"/>
        <v>-0.25</v>
      </c>
      <c r="G345">
        <f t="shared" si="28"/>
        <v>6.25E-2</v>
      </c>
    </row>
    <row r="346" spans="1:7">
      <c r="A346">
        <v>336</v>
      </c>
      <c r="B346">
        <f t="shared" si="26"/>
        <v>0</v>
      </c>
      <c r="C346" s="10"/>
      <c r="D346" s="10"/>
      <c r="E346">
        <f t="shared" si="25"/>
        <v>0.25</v>
      </c>
      <c r="F346">
        <f t="shared" si="27"/>
        <v>-0.25</v>
      </c>
      <c r="G346">
        <f t="shared" si="28"/>
        <v>6.25E-2</v>
      </c>
    </row>
    <row r="347" spans="1:7">
      <c r="A347">
        <v>337</v>
      </c>
      <c r="B347">
        <f t="shared" si="26"/>
        <v>0</v>
      </c>
      <c r="C347" s="10"/>
      <c r="D347" s="10"/>
      <c r="E347">
        <f t="shared" si="25"/>
        <v>0.25</v>
      </c>
      <c r="F347">
        <f t="shared" si="27"/>
        <v>-0.25</v>
      </c>
      <c r="G347">
        <f t="shared" si="28"/>
        <v>6.25E-2</v>
      </c>
    </row>
    <row r="348" spans="1:7">
      <c r="A348">
        <v>338</v>
      </c>
      <c r="B348">
        <f t="shared" si="26"/>
        <v>0</v>
      </c>
      <c r="C348" s="10"/>
      <c r="D348" s="10"/>
      <c r="E348">
        <f t="shared" si="25"/>
        <v>0.25</v>
      </c>
      <c r="F348">
        <f t="shared" si="27"/>
        <v>-0.25</v>
      </c>
      <c r="G348">
        <f t="shared" si="28"/>
        <v>6.25E-2</v>
      </c>
    </row>
    <row r="349" spans="1:7">
      <c r="A349">
        <v>339</v>
      </c>
      <c r="B349">
        <f t="shared" si="26"/>
        <v>0</v>
      </c>
      <c r="C349" s="10"/>
      <c r="D349" s="10"/>
      <c r="E349">
        <f t="shared" si="25"/>
        <v>0.25</v>
      </c>
      <c r="F349">
        <f t="shared" si="27"/>
        <v>-0.25</v>
      </c>
      <c r="G349">
        <f t="shared" si="28"/>
        <v>6.25E-2</v>
      </c>
    </row>
    <row r="350" spans="1:7">
      <c r="A350">
        <v>340</v>
      </c>
      <c r="B350">
        <f t="shared" si="26"/>
        <v>0</v>
      </c>
      <c r="C350" s="10"/>
      <c r="D350" s="10"/>
      <c r="E350">
        <f t="shared" si="25"/>
        <v>0.25</v>
      </c>
      <c r="F350">
        <f t="shared" si="27"/>
        <v>-0.25</v>
      </c>
      <c r="G350">
        <f t="shared" si="28"/>
        <v>6.25E-2</v>
      </c>
    </row>
    <row r="351" spans="1:7">
      <c r="A351">
        <v>341</v>
      </c>
      <c r="B351">
        <f t="shared" si="26"/>
        <v>0</v>
      </c>
      <c r="C351" s="10"/>
      <c r="D351" s="10"/>
      <c r="E351">
        <f t="shared" si="25"/>
        <v>0.25</v>
      </c>
      <c r="F351">
        <f t="shared" si="27"/>
        <v>-0.25</v>
      </c>
      <c r="G351">
        <f t="shared" si="28"/>
        <v>6.25E-2</v>
      </c>
    </row>
    <row r="352" spans="1:7">
      <c r="A352">
        <v>342</v>
      </c>
      <c r="B352">
        <f t="shared" si="26"/>
        <v>0</v>
      </c>
      <c r="C352" s="10"/>
      <c r="D352" s="10"/>
      <c r="E352">
        <f t="shared" si="25"/>
        <v>0.25</v>
      </c>
      <c r="F352">
        <f t="shared" si="27"/>
        <v>-0.25</v>
      </c>
      <c r="G352">
        <f t="shared" si="28"/>
        <v>6.25E-2</v>
      </c>
    </row>
    <row r="353" spans="1:7">
      <c r="A353">
        <v>343</v>
      </c>
      <c r="B353">
        <f t="shared" si="26"/>
        <v>0</v>
      </c>
      <c r="C353" s="10"/>
      <c r="D353" s="10"/>
      <c r="E353">
        <f t="shared" si="25"/>
        <v>0.25</v>
      </c>
      <c r="F353">
        <f t="shared" si="27"/>
        <v>-0.25</v>
      </c>
      <c r="G353">
        <f t="shared" si="28"/>
        <v>6.25E-2</v>
      </c>
    </row>
    <row r="354" spans="1:7">
      <c r="A354">
        <v>344</v>
      </c>
      <c r="B354">
        <f t="shared" si="26"/>
        <v>0</v>
      </c>
      <c r="C354" s="10"/>
      <c r="D354" s="10"/>
      <c r="E354">
        <f t="shared" si="25"/>
        <v>0.25</v>
      </c>
      <c r="F354">
        <f t="shared" si="27"/>
        <v>-0.25</v>
      </c>
      <c r="G354">
        <f t="shared" si="28"/>
        <v>6.25E-2</v>
      </c>
    </row>
    <row r="355" spans="1:7">
      <c r="A355">
        <v>345</v>
      </c>
      <c r="B355">
        <f t="shared" si="26"/>
        <v>0</v>
      </c>
      <c r="C355" s="10"/>
      <c r="D355" s="10"/>
      <c r="E355">
        <f t="shared" si="25"/>
        <v>0.25</v>
      </c>
      <c r="F355">
        <f t="shared" si="27"/>
        <v>-0.25</v>
      </c>
      <c r="G355">
        <f t="shared" si="28"/>
        <v>6.25E-2</v>
      </c>
    </row>
    <row r="356" spans="1:7">
      <c r="A356">
        <v>346</v>
      </c>
      <c r="B356">
        <f t="shared" si="26"/>
        <v>0</v>
      </c>
      <c r="C356" s="10"/>
      <c r="D356" s="10"/>
      <c r="E356">
        <f t="shared" si="25"/>
        <v>0.25</v>
      </c>
      <c r="F356">
        <f t="shared" si="27"/>
        <v>-0.25</v>
      </c>
      <c r="G356">
        <f t="shared" si="28"/>
        <v>6.25E-2</v>
      </c>
    </row>
    <row r="357" spans="1:7">
      <c r="A357">
        <v>347</v>
      </c>
      <c r="B357">
        <f t="shared" si="26"/>
        <v>0</v>
      </c>
      <c r="C357" s="10"/>
      <c r="D357" s="10"/>
      <c r="E357">
        <f t="shared" si="25"/>
        <v>0.25</v>
      </c>
      <c r="F357">
        <f t="shared" si="27"/>
        <v>-0.25</v>
      </c>
      <c r="G357">
        <f t="shared" si="28"/>
        <v>6.25E-2</v>
      </c>
    </row>
    <row r="358" spans="1:7">
      <c r="A358">
        <v>348</v>
      </c>
      <c r="B358">
        <f t="shared" si="26"/>
        <v>0</v>
      </c>
      <c r="C358" s="10"/>
      <c r="D358" s="10"/>
      <c r="E358">
        <f t="shared" si="25"/>
        <v>0.25</v>
      </c>
      <c r="F358">
        <f t="shared" si="27"/>
        <v>-0.25</v>
      </c>
      <c r="G358">
        <f t="shared" si="28"/>
        <v>6.25E-2</v>
      </c>
    </row>
    <row r="359" spans="1:7">
      <c r="A359">
        <v>349</v>
      </c>
      <c r="B359">
        <f t="shared" si="26"/>
        <v>0</v>
      </c>
      <c r="C359" s="10"/>
      <c r="D359" s="10"/>
      <c r="E359">
        <f t="shared" si="25"/>
        <v>0.25</v>
      </c>
      <c r="F359">
        <f t="shared" si="27"/>
        <v>-0.25</v>
      </c>
      <c r="G359">
        <f t="shared" si="28"/>
        <v>6.25E-2</v>
      </c>
    </row>
    <row r="360" spans="1:7">
      <c r="A360">
        <v>350</v>
      </c>
      <c r="B360">
        <f t="shared" si="26"/>
        <v>0</v>
      </c>
      <c r="C360" s="10"/>
      <c r="D360" s="10"/>
      <c r="E360">
        <f t="shared" si="25"/>
        <v>0.25</v>
      </c>
      <c r="F360">
        <f t="shared" si="27"/>
        <v>-0.25</v>
      </c>
      <c r="G360">
        <f t="shared" si="28"/>
        <v>6.25E-2</v>
      </c>
    </row>
    <row r="361" spans="1:7">
      <c r="A361">
        <v>351</v>
      </c>
      <c r="B361">
        <f t="shared" si="26"/>
        <v>0</v>
      </c>
      <c r="C361" s="10"/>
      <c r="D361" s="10"/>
      <c r="E361">
        <f t="shared" si="25"/>
        <v>0.25</v>
      </c>
      <c r="F361">
        <f t="shared" si="27"/>
        <v>-0.25</v>
      </c>
      <c r="G361">
        <f t="shared" si="28"/>
        <v>6.25E-2</v>
      </c>
    </row>
    <row r="362" spans="1:7">
      <c r="A362">
        <v>352</v>
      </c>
      <c r="B362">
        <f t="shared" si="26"/>
        <v>0</v>
      </c>
      <c r="C362" s="10"/>
      <c r="D362" s="10"/>
      <c r="E362">
        <f t="shared" si="25"/>
        <v>0.25</v>
      </c>
      <c r="F362">
        <f t="shared" si="27"/>
        <v>-0.25</v>
      </c>
      <c r="G362">
        <f t="shared" si="28"/>
        <v>6.25E-2</v>
      </c>
    </row>
    <row r="363" spans="1:7">
      <c r="A363">
        <v>353</v>
      </c>
      <c r="B363">
        <f t="shared" si="26"/>
        <v>0</v>
      </c>
      <c r="C363" s="10"/>
      <c r="D363" s="10"/>
      <c r="E363">
        <f t="shared" si="25"/>
        <v>0.25</v>
      </c>
      <c r="F363">
        <f t="shared" si="27"/>
        <v>-0.25</v>
      </c>
      <c r="G363">
        <f t="shared" si="28"/>
        <v>6.25E-2</v>
      </c>
    </row>
    <row r="364" spans="1:7">
      <c r="A364">
        <v>354</v>
      </c>
      <c r="B364">
        <f t="shared" si="26"/>
        <v>0</v>
      </c>
      <c r="C364" s="10"/>
      <c r="D364" s="10"/>
      <c r="E364">
        <f t="shared" si="25"/>
        <v>0.25</v>
      </c>
      <c r="F364">
        <f t="shared" si="27"/>
        <v>-0.25</v>
      </c>
      <c r="G364">
        <f t="shared" si="28"/>
        <v>6.25E-2</v>
      </c>
    </row>
    <row r="365" spans="1:7">
      <c r="A365">
        <v>355</v>
      </c>
      <c r="B365">
        <f t="shared" si="26"/>
        <v>0</v>
      </c>
      <c r="C365" s="10"/>
      <c r="D365" s="10"/>
      <c r="E365">
        <f t="shared" si="25"/>
        <v>0.25</v>
      </c>
      <c r="F365">
        <f t="shared" si="27"/>
        <v>-0.25</v>
      </c>
      <c r="G365">
        <f t="shared" si="28"/>
        <v>6.25E-2</v>
      </c>
    </row>
    <row r="366" spans="1:7">
      <c r="A366">
        <v>356</v>
      </c>
      <c r="B366">
        <f t="shared" si="26"/>
        <v>0</v>
      </c>
      <c r="C366" s="10"/>
      <c r="D366" s="10"/>
      <c r="E366">
        <f t="shared" si="25"/>
        <v>0.25</v>
      </c>
      <c r="F366">
        <f t="shared" si="27"/>
        <v>-0.25</v>
      </c>
      <c r="G366">
        <f t="shared" si="28"/>
        <v>6.25E-2</v>
      </c>
    </row>
    <row r="367" spans="1:7">
      <c r="A367">
        <v>357</v>
      </c>
      <c r="B367">
        <f t="shared" si="26"/>
        <v>0</v>
      </c>
      <c r="C367" s="10"/>
      <c r="D367" s="10"/>
      <c r="E367">
        <f t="shared" si="25"/>
        <v>0.25</v>
      </c>
      <c r="F367">
        <f t="shared" si="27"/>
        <v>-0.25</v>
      </c>
      <c r="G367">
        <f t="shared" si="28"/>
        <v>6.25E-2</v>
      </c>
    </row>
    <row r="368" spans="1:7">
      <c r="A368">
        <v>358</v>
      </c>
      <c r="B368">
        <f t="shared" si="26"/>
        <v>0</v>
      </c>
      <c r="C368" s="10"/>
      <c r="D368" s="10"/>
      <c r="E368">
        <f t="shared" si="25"/>
        <v>0.25</v>
      </c>
      <c r="F368">
        <f t="shared" si="27"/>
        <v>-0.25</v>
      </c>
      <c r="G368">
        <f t="shared" si="28"/>
        <v>6.25E-2</v>
      </c>
    </row>
    <row r="369" spans="1:7">
      <c r="A369">
        <v>359</v>
      </c>
      <c r="B369">
        <f t="shared" si="26"/>
        <v>0</v>
      </c>
      <c r="C369" s="10"/>
      <c r="D369" s="10"/>
      <c r="E369">
        <f t="shared" si="25"/>
        <v>0.25</v>
      </c>
      <c r="F369">
        <f t="shared" si="27"/>
        <v>-0.25</v>
      </c>
      <c r="G369">
        <f t="shared" si="28"/>
        <v>6.25E-2</v>
      </c>
    </row>
    <row r="370" spans="1:7">
      <c r="A370">
        <v>360</v>
      </c>
      <c r="B370">
        <f t="shared" si="26"/>
        <v>0</v>
      </c>
      <c r="C370" s="10"/>
      <c r="D370" s="10"/>
      <c r="E370">
        <f t="shared" si="25"/>
        <v>0.25</v>
      </c>
      <c r="F370">
        <f t="shared" si="27"/>
        <v>-0.25</v>
      </c>
      <c r="G370">
        <f t="shared" si="28"/>
        <v>6.25E-2</v>
      </c>
    </row>
    <row r="371" spans="1:7">
      <c r="A371">
        <v>361</v>
      </c>
      <c r="B371">
        <f t="shared" si="26"/>
        <v>0</v>
      </c>
      <c r="C371" s="10"/>
      <c r="D371" s="10"/>
      <c r="E371">
        <f t="shared" si="25"/>
        <v>0.25</v>
      </c>
      <c r="F371">
        <f t="shared" si="27"/>
        <v>-0.25</v>
      </c>
      <c r="G371">
        <f t="shared" si="28"/>
        <v>6.25E-2</v>
      </c>
    </row>
    <row r="372" spans="1:7">
      <c r="A372">
        <v>362</v>
      </c>
      <c r="B372">
        <f t="shared" si="26"/>
        <v>0</v>
      </c>
      <c r="C372" s="10"/>
      <c r="D372" s="10"/>
      <c r="E372">
        <f t="shared" si="25"/>
        <v>0.25</v>
      </c>
      <c r="F372">
        <f t="shared" si="27"/>
        <v>-0.25</v>
      </c>
      <c r="G372">
        <f t="shared" si="28"/>
        <v>6.25E-2</v>
      </c>
    </row>
    <row r="373" spans="1:7">
      <c r="A373">
        <v>363</v>
      </c>
      <c r="B373">
        <f t="shared" si="26"/>
        <v>0</v>
      </c>
      <c r="C373" s="10"/>
      <c r="D373" s="10"/>
      <c r="E373">
        <f t="shared" si="25"/>
        <v>0.25</v>
      </c>
      <c r="F373">
        <f t="shared" si="27"/>
        <v>-0.25</v>
      </c>
      <c r="G373">
        <f t="shared" si="28"/>
        <v>6.25E-2</v>
      </c>
    </row>
    <row r="374" spans="1:7">
      <c r="A374">
        <v>364</v>
      </c>
      <c r="B374">
        <f t="shared" si="26"/>
        <v>0</v>
      </c>
      <c r="C374" s="10"/>
      <c r="D374" s="10"/>
      <c r="E374">
        <f t="shared" si="25"/>
        <v>0.25</v>
      </c>
      <c r="F374">
        <f t="shared" si="27"/>
        <v>-0.25</v>
      </c>
      <c r="G374">
        <f t="shared" si="28"/>
        <v>6.25E-2</v>
      </c>
    </row>
    <row r="375" spans="1:7">
      <c r="A375">
        <v>365</v>
      </c>
      <c r="B375">
        <f t="shared" si="26"/>
        <v>0</v>
      </c>
      <c r="C375" s="10"/>
      <c r="D375" s="10"/>
      <c r="E375">
        <f t="shared" si="25"/>
        <v>0.25</v>
      </c>
      <c r="F375">
        <f t="shared" si="27"/>
        <v>-0.25</v>
      </c>
      <c r="G375">
        <f t="shared" si="28"/>
        <v>6.25E-2</v>
      </c>
    </row>
    <row r="376" spans="1:7">
      <c r="A376">
        <v>366</v>
      </c>
      <c r="B376">
        <f t="shared" si="26"/>
        <v>0</v>
      </c>
      <c r="C376" s="10"/>
      <c r="D376" s="10"/>
      <c r="E376">
        <f t="shared" si="25"/>
        <v>0.25</v>
      </c>
      <c r="F376">
        <f t="shared" si="27"/>
        <v>-0.25</v>
      </c>
      <c r="G376">
        <f t="shared" si="28"/>
        <v>6.25E-2</v>
      </c>
    </row>
    <row r="377" spans="1:7">
      <c r="A377">
        <v>367</v>
      </c>
      <c r="B377">
        <f t="shared" si="26"/>
        <v>0</v>
      </c>
      <c r="C377" s="10"/>
      <c r="D377" s="10"/>
      <c r="E377">
        <f t="shared" si="25"/>
        <v>0.25</v>
      </c>
      <c r="F377">
        <f t="shared" si="27"/>
        <v>-0.25</v>
      </c>
      <c r="G377">
        <f t="shared" si="28"/>
        <v>6.25E-2</v>
      </c>
    </row>
    <row r="378" spans="1:7">
      <c r="A378">
        <v>368</v>
      </c>
      <c r="B378">
        <f t="shared" si="26"/>
        <v>0</v>
      </c>
      <c r="C378" s="10"/>
      <c r="D378" s="10"/>
      <c r="E378">
        <f t="shared" si="25"/>
        <v>0.25</v>
      </c>
      <c r="F378">
        <f t="shared" si="27"/>
        <v>-0.25</v>
      </c>
      <c r="G378">
        <f t="shared" si="28"/>
        <v>6.25E-2</v>
      </c>
    </row>
    <row r="379" spans="1:7">
      <c r="A379">
        <v>369</v>
      </c>
      <c r="B379">
        <f t="shared" si="26"/>
        <v>0</v>
      </c>
      <c r="C379" s="10"/>
      <c r="D379" s="10"/>
      <c r="E379">
        <f t="shared" si="25"/>
        <v>0.25</v>
      </c>
      <c r="F379">
        <f t="shared" si="27"/>
        <v>-0.25</v>
      </c>
      <c r="G379">
        <f t="shared" si="28"/>
        <v>6.25E-2</v>
      </c>
    </row>
    <row r="380" spans="1:7">
      <c r="A380">
        <v>370</v>
      </c>
      <c r="B380">
        <f t="shared" si="26"/>
        <v>0</v>
      </c>
      <c r="C380" s="10"/>
      <c r="D380" s="10"/>
      <c r="E380">
        <f t="shared" si="25"/>
        <v>0.25</v>
      </c>
      <c r="F380">
        <f t="shared" si="27"/>
        <v>-0.25</v>
      </c>
      <c r="G380">
        <f t="shared" si="28"/>
        <v>6.25E-2</v>
      </c>
    </row>
    <row r="381" spans="1:7">
      <c r="A381">
        <v>371</v>
      </c>
      <c r="B381">
        <f t="shared" si="26"/>
        <v>0</v>
      </c>
      <c r="C381" s="10"/>
      <c r="D381" s="10"/>
      <c r="E381">
        <f t="shared" si="25"/>
        <v>0.25</v>
      </c>
      <c r="F381">
        <f t="shared" si="27"/>
        <v>-0.25</v>
      </c>
      <c r="G381">
        <f t="shared" si="28"/>
        <v>6.25E-2</v>
      </c>
    </row>
    <row r="382" spans="1:7">
      <c r="A382">
        <v>372</v>
      </c>
      <c r="B382">
        <f t="shared" si="26"/>
        <v>0</v>
      </c>
      <c r="C382" s="10"/>
      <c r="D382" s="10"/>
      <c r="E382">
        <f t="shared" si="25"/>
        <v>0.25</v>
      </c>
      <c r="F382">
        <f t="shared" si="27"/>
        <v>-0.25</v>
      </c>
      <c r="G382">
        <f t="shared" si="28"/>
        <v>6.25E-2</v>
      </c>
    </row>
    <row r="383" spans="1:7">
      <c r="A383">
        <v>373</v>
      </c>
      <c r="B383">
        <f t="shared" si="26"/>
        <v>0</v>
      </c>
      <c r="C383" s="10"/>
      <c r="D383" s="10"/>
      <c r="E383">
        <f t="shared" si="25"/>
        <v>0.25</v>
      </c>
      <c r="F383">
        <f t="shared" si="27"/>
        <v>-0.25</v>
      </c>
      <c r="G383">
        <f t="shared" si="28"/>
        <v>6.25E-2</v>
      </c>
    </row>
    <row r="384" spans="1:7">
      <c r="A384">
        <v>374</v>
      </c>
      <c r="B384">
        <f t="shared" si="26"/>
        <v>0</v>
      </c>
      <c r="C384" s="10"/>
      <c r="D384" s="10"/>
      <c r="E384">
        <f t="shared" si="25"/>
        <v>0.25</v>
      </c>
      <c r="F384">
        <f t="shared" si="27"/>
        <v>-0.25</v>
      </c>
      <c r="G384">
        <f t="shared" si="28"/>
        <v>6.25E-2</v>
      </c>
    </row>
    <row r="385" spans="1:7">
      <c r="A385">
        <v>375</v>
      </c>
      <c r="B385">
        <f t="shared" si="26"/>
        <v>0</v>
      </c>
      <c r="C385" s="10"/>
      <c r="D385" s="10"/>
      <c r="E385">
        <f t="shared" si="25"/>
        <v>0.25</v>
      </c>
      <c r="F385">
        <f t="shared" si="27"/>
        <v>-0.25</v>
      </c>
      <c r="G385">
        <f t="shared" si="28"/>
        <v>6.25E-2</v>
      </c>
    </row>
    <row r="386" spans="1:7">
      <c r="A386">
        <v>376</v>
      </c>
      <c r="B386">
        <f t="shared" si="26"/>
        <v>0</v>
      </c>
      <c r="C386" s="10"/>
      <c r="D386" s="10"/>
      <c r="E386">
        <f t="shared" si="25"/>
        <v>0.25</v>
      </c>
      <c r="F386">
        <f t="shared" si="27"/>
        <v>-0.25</v>
      </c>
      <c r="G386">
        <f t="shared" si="28"/>
        <v>6.25E-2</v>
      </c>
    </row>
    <row r="387" spans="1:7">
      <c r="A387">
        <v>377</v>
      </c>
      <c r="B387">
        <f t="shared" si="26"/>
        <v>0</v>
      </c>
      <c r="C387" s="10"/>
      <c r="D387" s="10"/>
      <c r="E387">
        <f t="shared" si="25"/>
        <v>0.25</v>
      </c>
      <c r="F387">
        <f t="shared" si="27"/>
        <v>-0.25</v>
      </c>
      <c r="G387">
        <f t="shared" si="28"/>
        <v>6.25E-2</v>
      </c>
    </row>
    <row r="388" spans="1:7">
      <c r="A388">
        <v>378</v>
      </c>
      <c r="B388">
        <f t="shared" si="26"/>
        <v>0</v>
      </c>
      <c r="C388" s="10"/>
      <c r="D388" s="10"/>
      <c r="E388">
        <f t="shared" si="25"/>
        <v>0.25</v>
      </c>
      <c r="F388">
        <f t="shared" si="27"/>
        <v>-0.25</v>
      </c>
      <c r="G388">
        <f t="shared" si="28"/>
        <v>6.25E-2</v>
      </c>
    </row>
    <row r="389" spans="1:7">
      <c r="A389">
        <v>379</v>
      </c>
      <c r="B389">
        <f t="shared" si="26"/>
        <v>0</v>
      </c>
      <c r="C389" s="10"/>
      <c r="D389" s="10"/>
      <c r="E389">
        <f t="shared" si="25"/>
        <v>0.25</v>
      </c>
      <c r="F389">
        <f t="shared" si="27"/>
        <v>-0.25</v>
      </c>
      <c r="G389">
        <f t="shared" si="28"/>
        <v>6.25E-2</v>
      </c>
    </row>
    <row r="390" spans="1:7">
      <c r="A390">
        <v>380</v>
      </c>
      <c r="B390">
        <f t="shared" si="26"/>
        <v>0</v>
      </c>
      <c r="C390" s="10"/>
      <c r="D390" s="10"/>
      <c r="E390">
        <f t="shared" si="25"/>
        <v>0.25</v>
      </c>
      <c r="F390">
        <f t="shared" si="27"/>
        <v>-0.25</v>
      </c>
      <c r="G390">
        <f t="shared" si="28"/>
        <v>6.25E-2</v>
      </c>
    </row>
    <row r="391" spans="1:7">
      <c r="A391">
        <v>381</v>
      </c>
      <c r="B391">
        <f t="shared" si="26"/>
        <v>0</v>
      </c>
      <c r="C391" s="10"/>
      <c r="D391" s="10"/>
      <c r="E391">
        <f t="shared" si="25"/>
        <v>0.25</v>
      </c>
      <c r="F391">
        <f t="shared" si="27"/>
        <v>-0.25</v>
      </c>
      <c r="G391">
        <f t="shared" si="28"/>
        <v>6.25E-2</v>
      </c>
    </row>
    <row r="392" spans="1:7">
      <c r="A392">
        <v>382</v>
      </c>
      <c r="B392">
        <f t="shared" si="26"/>
        <v>0</v>
      </c>
      <c r="C392" s="10"/>
      <c r="D392" s="10"/>
      <c r="E392">
        <f t="shared" si="25"/>
        <v>0.25</v>
      </c>
      <c r="F392">
        <f t="shared" si="27"/>
        <v>-0.25</v>
      </c>
      <c r="G392">
        <f t="shared" si="28"/>
        <v>6.25E-2</v>
      </c>
    </row>
    <row r="393" spans="1:7">
      <c r="A393">
        <v>383</v>
      </c>
      <c r="B393">
        <f t="shared" si="26"/>
        <v>0</v>
      </c>
      <c r="C393" s="10"/>
      <c r="D393" s="10"/>
      <c r="E393">
        <f t="shared" si="25"/>
        <v>0.25</v>
      </c>
      <c r="F393">
        <f t="shared" si="27"/>
        <v>-0.25</v>
      </c>
      <c r="G393">
        <f t="shared" si="28"/>
        <v>6.25E-2</v>
      </c>
    </row>
    <row r="394" spans="1:7">
      <c r="A394">
        <v>384</v>
      </c>
      <c r="B394">
        <f t="shared" si="26"/>
        <v>0</v>
      </c>
      <c r="C394" s="10"/>
      <c r="D394" s="10"/>
      <c r="E394">
        <f t="shared" si="25"/>
        <v>0.25</v>
      </c>
      <c r="F394">
        <f t="shared" si="27"/>
        <v>-0.25</v>
      </c>
      <c r="G394">
        <f t="shared" si="28"/>
        <v>6.25E-2</v>
      </c>
    </row>
    <row r="395" spans="1:7">
      <c r="A395">
        <v>385</v>
      </c>
      <c r="B395">
        <f t="shared" si="26"/>
        <v>0</v>
      </c>
      <c r="C395" s="10"/>
      <c r="D395" s="10"/>
      <c r="E395">
        <f t="shared" ref="E395:E458" si="29">BaseAdjust+(ampl1*EXP(-gamma1*C395)+ampl2*EXP(-gamma2*C395)+ampl3*EXP(-gamma3*C395))^2</f>
        <v>0.25</v>
      </c>
      <c r="F395">
        <f t="shared" si="27"/>
        <v>-0.25</v>
      </c>
      <c r="G395">
        <f t="shared" si="28"/>
        <v>6.25E-2</v>
      </c>
    </row>
    <row r="396" spans="1:7">
      <c r="A396">
        <v>386</v>
      </c>
      <c r="B396">
        <f t="shared" ref="B396:B459" si="30">C396/1000</f>
        <v>0</v>
      </c>
      <c r="C396" s="10"/>
      <c r="D396" s="10"/>
      <c r="E396">
        <f t="shared" si="29"/>
        <v>0.25</v>
      </c>
      <c r="F396">
        <f t="shared" ref="F396:F459" si="31">D396-E396</f>
        <v>-0.25</v>
      </c>
      <c r="G396">
        <f t="shared" ref="G396:G459" si="32">F396^2</f>
        <v>6.25E-2</v>
      </c>
    </row>
    <row r="397" spans="1:7">
      <c r="A397">
        <v>387</v>
      </c>
      <c r="B397">
        <f t="shared" si="30"/>
        <v>0</v>
      </c>
      <c r="C397" s="10"/>
      <c r="D397" s="10"/>
      <c r="E397">
        <f t="shared" si="29"/>
        <v>0.25</v>
      </c>
      <c r="F397">
        <f t="shared" si="31"/>
        <v>-0.25</v>
      </c>
      <c r="G397">
        <f t="shared" si="32"/>
        <v>6.25E-2</v>
      </c>
    </row>
    <row r="398" spans="1:7">
      <c r="A398">
        <v>388</v>
      </c>
      <c r="B398">
        <f t="shared" si="30"/>
        <v>0</v>
      </c>
      <c r="C398" s="10"/>
      <c r="D398" s="10"/>
      <c r="E398">
        <f t="shared" si="29"/>
        <v>0.25</v>
      </c>
      <c r="F398">
        <f t="shared" si="31"/>
        <v>-0.25</v>
      </c>
      <c r="G398">
        <f t="shared" si="32"/>
        <v>6.25E-2</v>
      </c>
    </row>
    <row r="399" spans="1:7">
      <c r="A399">
        <v>389</v>
      </c>
      <c r="B399">
        <f t="shared" si="30"/>
        <v>0</v>
      </c>
      <c r="C399" s="10"/>
      <c r="D399" s="10"/>
      <c r="E399">
        <f t="shared" si="29"/>
        <v>0.25</v>
      </c>
      <c r="F399">
        <f t="shared" si="31"/>
        <v>-0.25</v>
      </c>
      <c r="G399">
        <f t="shared" si="32"/>
        <v>6.25E-2</v>
      </c>
    </row>
    <row r="400" spans="1:7">
      <c r="A400">
        <v>390</v>
      </c>
      <c r="B400">
        <f t="shared" si="30"/>
        <v>0</v>
      </c>
      <c r="C400" s="10"/>
      <c r="D400" s="10"/>
      <c r="E400">
        <f t="shared" si="29"/>
        <v>0.25</v>
      </c>
      <c r="F400">
        <f t="shared" si="31"/>
        <v>-0.25</v>
      </c>
      <c r="G400">
        <f t="shared" si="32"/>
        <v>6.25E-2</v>
      </c>
    </row>
    <row r="401" spans="1:7">
      <c r="A401">
        <v>391</v>
      </c>
      <c r="B401">
        <f t="shared" si="30"/>
        <v>0</v>
      </c>
      <c r="C401" s="10"/>
      <c r="D401" s="10"/>
      <c r="E401">
        <f t="shared" si="29"/>
        <v>0.25</v>
      </c>
      <c r="F401">
        <f t="shared" si="31"/>
        <v>-0.25</v>
      </c>
      <c r="G401">
        <f t="shared" si="32"/>
        <v>6.25E-2</v>
      </c>
    </row>
    <row r="402" spans="1:7">
      <c r="A402">
        <v>392</v>
      </c>
      <c r="B402">
        <f t="shared" si="30"/>
        <v>0</v>
      </c>
      <c r="C402" s="10"/>
      <c r="D402" s="10"/>
      <c r="E402">
        <f t="shared" si="29"/>
        <v>0.25</v>
      </c>
      <c r="F402">
        <f t="shared" si="31"/>
        <v>-0.25</v>
      </c>
      <c r="G402">
        <f t="shared" si="32"/>
        <v>6.25E-2</v>
      </c>
    </row>
    <row r="403" spans="1:7">
      <c r="A403">
        <v>393</v>
      </c>
      <c r="B403">
        <f t="shared" si="30"/>
        <v>0</v>
      </c>
      <c r="C403" s="10"/>
      <c r="D403" s="10"/>
      <c r="E403">
        <f t="shared" si="29"/>
        <v>0.25</v>
      </c>
      <c r="F403">
        <f t="shared" si="31"/>
        <v>-0.25</v>
      </c>
      <c r="G403">
        <f t="shared" si="32"/>
        <v>6.25E-2</v>
      </c>
    </row>
    <row r="404" spans="1:7">
      <c r="A404">
        <v>394</v>
      </c>
      <c r="B404">
        <f t="shared" si="30"/>
        <v>0</v>
      </c>
      <c r="C404" s="10"/>
      <c r="D404" s="10"/>
      <c r="E404">
        <f t="shared" si="29"/>
        <v>0.25</v>
      </c>
      <c r="F404">
        <f t="shared" si="31"/>
        <v>-0.25</v>
      </c>
      <c r="G404">
        <f t="shared" si="32"/>
        <v>6.25E-2</v>
      </c>
    </row>
    <row r="405" spans="1:7">
      <c r="A405">
        <v>395</v>
      </c>
      <c r="B405">
        <f t="shared" si="30"/>
        <v>0</v>
      </c>
      <c r="C405" s="10"/>
      <c r="D405" s="10"/>
      <c r="E405">
        <f t="shared" si="29"/>
        <v>0.25</v>
      </c>
      <c r="F405">
        <f t="shared" si="31"/>
        <v>-0.25</v>
      </c>
      <c r="G405">
        <f t="shared" si="32"/>
        <v>6.25E-2</v>
      </c>
    </row>
    <row r="406" spans="1:7">
      <c r="A406">
        <v>396</v>
      </c>
      <c r="B406">
        <f t="shared" si="30"/>
        <v>0</v>
      </c>
      <c r="C406" s="10"/>
      <c r="D406" s="10"/>
      <c r="E406">
        <f t="shared" si="29"/>
        <v>0.25</v>
      </c>
      <c r="F406">
        <f t="shared" si="31"/>
        <v>-0.25</v>
      </c>
      <c r="G406">
        <f t="shared" si="32"/>
        <v>6.25E-2</v>
      </c>
    </row>
    <row r="407" spans="1:7">
      <c r="A407">
        <v>397</v>
      </c>
      <c r="B407">
        <f t="shared" si="30"/>
        <v>0</v>
      </c>
      <c r="C407" s="10"/>
      <c r="D407" s="10"/>
      <c r="E407">
        <f t="shared" si="29"/>
        <v>0.25</v>
      </c>
      <c r="F407">
        <f t="shared" si="31"/>
        <v>-0.25</v>
      </c>
      <c r="G407">
        <f t="shared" si="32"/>
        <v>6.25E-2</v>
      </c>
    </row>
    <row r="408" spans="1:7">
      <c r="A408">
        <v>398</v>
      </c>
      <c r="B408">
        <f t="shared" si="30"/>
        <v>0</v>
      </c>
      <c r="C408" s="10"/>
      <c r="D408" s="10"/>
      <c r="E408">
        <f t="shared" si="29"/>
        <v>0.25</v>
      </c>
      <c r="F408">
        <f t="shared" si="31"/>
        <v>-0.25</v>
      </c>
      <c r="G408">
        <f t="shared" si="32"/>
        <v>6.25E-2</v>
      </c>
    </row>
    <row r="409" spans="1:7">
      <c r="A409">
        <v>399</v>
      </c>
      <c r="B409">
        <f t="shared" si="30"/>
        <v>0</v>
      </c>
      <c r="C409" s="10"/>
      <c r="D409" s="10"/>
      <c r="E409">
        <f t="shared" si="29"/>
        <v>0.25</v>
      </c>
      <c r="F409">
        <f t="shared" si="31"/>
        <v>-0.25</v>
      </c>
      <c r="G409">
        <f t="shared" si="32"/>
        <v>6.25E-2</v>
      </c>
    </row>
    <row r="410" spans="1:7">
      <c r="A410">
        <v>400</v>
      </c>
      <c r="B410">
        <f t="shared" si="30"/>
        <v>0</v>
      </c>
      <c r="C410" s="10"/>
      <c r="D410" s="10"/>
      <c r="E410">
        <f t="shared" si="29"/>
        <v>0.25</v>
      </c>
      <c r="F410">
        <f t="shared" si="31"/>
        <v>-0.25</v>
      </c>
      <c r="G410">
        <f t="shared" si="32"/>
        <v>6.25E-2</v>
      </c>
    </row>
    <row r="411" spans="1:7">
      <c r="A411">
        <v>401</v>
      </c>
      <c r="B411">
        <f t="shared" si="30"/>
        <v>0</v>
      </c>
      <c r="C411" s="10"/>
      <c r="D411" s="10"/>
      <c r="E411">
        <f t="shared" si="29"/>
        <v>0.25</v>
      </c>
      <c r="F411">
        <f t="shared" si="31"/>
        <v>-0.25</v>
      </c>
      <c r="G411">
        <f t="shared" si="32"/>
        <v>6.25E-2</v>
      </c>
    </row>
    <row r="412" spans="1:7">
      <c r="A412">
        <v>402</v>
      </c>
      <c r="B412">
        <f t="shared" si="30"/>
        <v>0</v>
      </c>
      <c r="C412" s="10"/>
      <c r="D412" s="10"/>
      <c r="E412">
        <f t="shared" si="29"/>
        <v>0.25</v>
      </c>
      <c r="F412">
        <f t="shared" si="31"/>
        <v>-0.25</v>
      </c>
      <c r="G412">
        <f t="shared" si="32"/>
        <v>6.25E-2</v>
      </c>
    </row>
    <row r="413" spans="1:7">
      <c r="A413">
        <v>403</v>
      </c>
      <c r="B413">
        <f t="shared" si="30"/>
        <v>0</v>
      </c>
      <c r="C413" s="10"/>
      <c r="D413" s="10"/>
      <c r="E413">
        <f t="shared" si="29"/>
        <v>0.25</v>
      </c>
      <c r="F413">
        <f t="shared" si="31"/>
        <v>-0.25</v>
      </c>
      <c r="G413">
        <f t="shared" si="32"/>
        <v>6.25E-2</v>
      </c>
    </row>
    <row r="414" spans="1:7">
      <c r="A414">
        <v>404</v>
      </c>
      <c r="B414">
        <f t="shared" si="30"/>
        <v>0</v>
      </c>
      <c r="C414" s="10"/>
      <c r="D414" s="10"/>
      <c r="E414">
        <f t="shared" si="29"/>
        <v>0.25</v>
      </c>
      <c r="F414">
        <f t="shared" si="31"/>
        <v>-0.25</v>
      </c>
      <c r="G414">
        <f t="shared" si="32"/>
        <v>6.25E-2</v>
      </c>
    </row>
    <row r="415" spans="1:7">
      <c r="A415">
        <v>405</v>
      </c>
      <c r="B415">
        <f t="shared" si="30"/>
        <v>0</v>
      </c>
      <c r="C415" s="10"/>
      <c r="D415" s="10"/>
      <c r="E415">
        <f t="shared" si="29"/>
        <v>0.25</v>
      </c>
      <c r="F415">
        <f t="shared" si="31"/>
        <v>-0.25</v>
      </c>
      <c r="G415">
        <f t="shared" si="32"/>
        <v>6.25E-2</v>
      </c>
    </row>
    <row r="416" spans="1:7">
      <c r="A416">
        <v>406</v>
      </c>
      <c r="B416">
        <f t="shared" si="30"/>
        <v>0</v>
      </c>
      <c r="C416" s="10"/>
      <c r="D416" s="10"/>
      <c r="E416">
        <f t="shared" si="29"/>
        <v>0.25</v>
      </c>
      <c r="F416">
        <f t="shared" si="31"/>
        <v>-0.25</v>
      </c>
      <c r="G416">
        <f t="shared" si="32"/>
        <v>6.25E-2</v>
      </c>
    </row>
    <row r="417" spans="1:7">
      <c r="A417">
        <v>407</v>
      </c>
      <c r="B417">
        <f t="shared" si="30"/>
        <v>0</v>
      </c>
      <c r="C417" s="10"/>
      <c r="D417" s="10"/>
      <c r="E417">
        <f t="shared" si="29"/>
        <v>0.25</v>
      </c>
      <c r="F417">
        <f t="shared" si="31"/>
        <v>-0.25</v>
      </c>
      <c r="G417">
        <f t="shared" si="32"/>
        <v>6.25E-2</v>
      </c>
    </row>
    <row r="418" spans="1:7">
      <c r="A418">
        <v>408</v>
      </c>
      <c r="B418">
        <f t="shared" si="30"/>
        <v>0</v>
      </c>
      <c r="C418" s="10"/>
      <c r="D418" s="10"/>
      <c r="E418">
        <f t="shared" si="29"/>
        <v>0.25</v>
      </c>
      <c r="F418">
        <f t="shared" si="31"/>
        <v>-0.25</v>
      </c>
      <c r="G418">
        <f t="shared" si="32"/>
        <v>6.25E-2</v>
      </c>
    </row>
    <row r="419" spans="1:7">
      <c r="A419">
        <v>409</v>
      </c>
      <c r="B419">
        <f t="shared" si="30"/>
        <v>0</v>
      </c>
      <c r="C419" s="10"/>
      <c r="D419" s="10"/>
      <c r="E419">
        <f t="shared" si="29"/>
        <v>0.25</v>
      </c>
      <c r="F419">
        <f t="shared" si="31"/>
        <v>-0.25</v>
      </c>
      <c r="G419">
        <f t="shared" si="32"/>
        <v>6.25E-2</v>
      </c>
    </row>
    <row r="420" spans="1:7">
      <c r="A420">
        <v>410</v>
      </c>
      <c r="B420">
        <f t="shared" si="30"/>
        <v>0</v>
      </c>
      <c r="C420" s="10"/>
      <c r="D420" s="10"/>
      <c r="E420">
        <f t="shared" si="29"/>
        <v>0.25</v>
      </c>
      <c r="F420">
        <f t="shared" si="31"/>
        <v>-0.25</v>
      </c>
      <c r="G420">
        <f t="shared" si="32"/>
        <v>6.25E-2</v>
      </c>
    </row>
    <row r="421" spans="1:7">
      <c r="A421">
        <v>411</v>
      </c>
      <c r="B421">
        <f t="shared" si="30"/>
        <v>0</v>
      </c>
      <c r="C421" s="10"/>
      <c r="D421" s="10"/>
      <c r="E421">
        <f t="shared" si="29"/>
        <v>0.25</v>
      </c>
      <c r="F421">
        <f t="shared" si="31"/>
        <v>-0.25</v>
      </c>
      <c r="G421">
        <f t="shared" si="32"/>
        <v>6.25E-2</v>
      </c>
    </row>
    <row r="422" spans="1:7">
      <c r="A422">
        <v>412</v>
      </c>
      <c r="B422">
        <f t="shared" si="30"/>
        <v>0</v>
      </c>
      <c r="C422" s="10"/>
      <c r="D422" s="10"/>
      <c r="E422">
        <f t="shared" si="29"/>
        <v>0.25</v>
      </c>
      <c r="F422">
        <f t="shared" si="31"/>
        <v>-0.25</v>
      </c>
      <c r="G422">
        <f t="shared" si="32"/>
        <v>6.25E-2</v>
      </c>
    </row>
    <row r="423" spans="1:7">
      <c r="A423">
        <v>413</v>
      </c>
      <c r="B423">
        <f t="shared" si="30"/>
        <v>0</v>
      </c>
      <c r="C423" s="10"/>
      <c r="D423" s="10"/>
      <c r="E423">
        <f t="shared" si="29"/>
        <v>0.25</v>
      </c>
      <c r="F423">
        <f t="shared" si="31"/>
        <v>-0.25</v>
      </c>
      <c r="G423">
        <f t="shared" si="32"/>
        <v>6.25E-2</v>
      </c>
    </row>
    <row r="424" spans="1:7">
      <c r="A424">
        <v>414</v>
      </c>
      <c r="B424">
        <f t="shared" si="30"/>
        <v>0</v>
      </c>
      <c r="C424" s="10"/>
      <c r="D424" s="10"/>
      <c r="E424">
        <f t="shared" si="29"/>
        <v>0.25</v>
      </c>
      <c r="F424">
        <f t="shared" si="31"/>
        <v>-0.25</v>
      </c>
      <c r="G424">
        <f t="shared" si="32"/>
        <v>6.25E-2</v>
      </c>
    </row>
    <row r="425" spans="1:7">
      <c r="A425">
        <v>415</v>
      </c>
      <c r="B425">
        <f t="shared" si="30"/>
        <v>0</v>
      </c>
      <c r="C425" s="10"/>
      <c r="D425" s="10"/>
      <c r="E425">
        <f t="shared" si="29"/>
        <v>0.25</v>
      </c>
      <c r="F425">
        <f t="shared" si="31"/>
        <v>-0.25</v>
      </c>
      <c r="G425">
        <f t="shared" si="32"/>
        <v>6.25E-2</v>
      </c>
    </row>
    <row r="426" spans="1:7">
      <c r="A426">
        <v>416</v>
      </c>
      <c r="B426">
        <f t="shared" si="30"/>
        <v>0</v>
      </c>
      <c r="C426" s="10"/>
      <c r="D426" s="10"/>
      <c r="E426">
        <f t="shared" si="29"/>
        <v>0.25</v>
      </c>
      <c r="F426">
        <f t="shared" si="31"/>
        <v>-0.25</v>
      </c>
      <c r="G426">
        <f t="shared" si="32"/>
        <v>6.25E-2</v>
      </c>
    </row>
    <row r="427" spans="1:7">
      <c r="A427">
        <v>417</v>
      </c>
      <c r="B427">
        <f t="shared" si="30"/>
        <v>0</v>
      </c>
      <c r="C427" s="10"/>
      <c r="D427" s="10"/>
      <c r="E427">
        <f t="shared" si="29"/>
        <v>0.25</v>
      </c>
      <c r="F427">
        <f t="shared" si="31"/>
        <v>-0.25</v>
      </c>
      <c r="G427">
        <f t="shared" si="32"/>
        <v>6.25E-2</v>
      </c>
    </row>
    <row r="428" spans="1:7">
      <c r="A428">
        <v>418</v>
      </c>
      <c r="B428">
        <f t="shared" si="30"/>
        <v>0</v>
      </c>
      <c r="C428" s="10"/>
      <c r="D428" s="10"/>
      <c r="E428">
        <f t="shared" si="29"/>
        <v>0.25</v>
      </c>
      <c r="F428">
        <f t="shared" si="31"/>
        <v>-0.25</v>
      </c>
      <c r="G428">
        <f t="shared" si="32"/>
        <v>6.25E-2</v>
      </c>
    </row>
    <row r="429" spans="1:7">
      <c r="A429">
        <v>419</v>
      </c>
      <c r="B429">
        <f t="shared" si="30"/>
        <v>0</v>
      </c>
      <c r="C429" s="10"/>
      <c r="D429" s="10"/>
      <c r="E429">
        <f t="shared" si="29"/>
        <v>0.25</v>
      </c>
      <c r="F429">
        <f t="shared" si="31"/>
        <v>-0.25</v>
      </c>
      <c r="G429">
        <f t="shared" si="32"/>
        <v>6.25E-2</v>
      </c>
    </row>
    <row r="430" spans="1:7">
      <c r="A430">
        <v>420</v>
      </c>
      <c r="B430">
        <f t="shared" si="30"/>
        <v>0</v>
      </c>
      <c r="C430" s="10"/>
      <c r="D430" s="10"/>
      <c r="E430">
        <f t="shared" si="29"/>
        <v>0.25</v>
      </c>
      <c r="F430">
        <f t="shared" si="31"/>
        <v>-0.25</v>
      </c>
      <c r="G430">
        <f t="shared" si="32"/>
        <v>6.25E-2</v>
      </c>
    </row>
    <row r="431" spans="1:7">
      <c r="A431">
        <v>421</v>
      </c>
      <c r="B431">
        <f t="shared" si="30"/>
        <v>0</v>
      </c>
      <c r="C431" s="10"/>
      <c r="D431" s="10"/>
      <c r="E431">
        <f t="shared" si="29"/>
        <v>0.25</v>
      </c>
      <c r="F431">
        <f t="shared" si="31"/>
        <v>-0.25</v>
      </c>
      <c r="G431">
        <f t="shared" si="32"/>
        <v>6.25E-2</v>
      </c>
    </row>
    <row r="432" spans="1:7">
      <c r="A432">
        <v>422</v>
      </c>
      <c r="B432">
        <f t="shared" si="30"/>
        <v>0</v>
      </c>
      <c r="C432" s="10"/>
      <c r="D432" s="10"/>
      <c r="E432">
        <f t="shared" si="29"/>
        <v>0.25</v>
      </c>
      <c r="F432">
        <f t="shared" si="31"/>
        <v>-0.25</v>
      </c>
      <c r="G432">
        <f t="shared" si="32"/>
        <v>6.25E-2</v>
      </c>
    </row>
    <row r="433" spans="1:7">
      <c r="A433">
        <v>423</v>
      </c>
      <c r="B433">
        <f t="shared" si="30"/>
        <v>0</v>
      </c>
      <c r="C433" s="10"/>
      <c r="D433" s="10"/>
      <c r="E433">
        <f t="shared" si="29"/>
        <v>0.25</v>
      </c>
      <c r="F433">
        <f t="shared" si="31"/>
        <v>-0.25</v>
      </c>
      <c r="G433">
        <f t="shared" si="32"/>
        <v>6.25E-2</v>
      </c>
    </row>
    <row r="434" spans="1:7">
      <c r="A434">
        <v>424</v>
      </c>
      <c r="B434">
        <f t="shared" si="30"/>
        <v>0</v>
      </c>
      <c r="C434" s="10"/>
      <c r="D434" s="10"/>
      <c r="E434">
        <f t="shared" si="29"/>
        <v>0.25</v>
      </c>
      <c r="F434">
        <f t="shared" si="31"/>
        <v>-0.25</v>
      </c>
      <c r="G434">
        <f t="shared" si="32"/>
        <v>6.25E-2</v>
      </c>
    </row>
    <row r="435" spans="1:7">
      <c r="A435">
        <v>425</v>
      </c>
      <c r="B435">
        <f t="shared" si="30"/>
        <v>0</v>
      </c>
      <c r="C435" s="10"/>
      <c r="D435" s="10"/>
      <c r="E435">
        <f t="shared" si="29"/>
        <v>0.25</v>
      </c>
      <c r="F435">
        <f t="shared" si="31"/>
        <v>-0.25</v>
      </c>
      <c r="G435">
        <f t="shared" si="32"/>
        <v>6.25E-2</v>
      </c>
    </row>
    <row r="436" spans="1:7">
      <c r="A436">
        <v>426</v>
      </c>
      <c r="B436">
        <f t="shared" si="30"/>
        <v>0</v>
      </c>
      <c r="C436" s="10"/>
      <c r="D436" s="10"/>
      <c r="E436">
        <f t="shared" si="29"/>
        <v>0.25</v>
      </c>
      <c r="F436">
        <f t="shared" si="31"/>
        <v>-0.25</v>
      </c>
      <c r="G436">
        <f t="shared" si="32"/>
        <v>6.25E-2</v>
      </c>
    </row>
    <row r="437" spans="1:7">
      <c r="A437">
        <v>427</v>
      </c>
      <c r="B437">
        <f t="shared" si="30"/>
        <v>0</v>
      </c>
      <c r="C437" s="10"/>
      <c r="D437" s="10"/>
      <c r="E437">
        <f t="shared" si="29"/>
        <v>0.25</v>
      </c>
      <c r="F437">
        <f t="shared" si="31"/>
        <v>-0.25</v>
      </c>
      <c r="G437">
        <f t="shared" si="32"/>
        <v>6.25E-2</v>
      </c>
    </row>
    <row r="438" spans="1:7">
      <c r="A438">
        <v>428</v>
      </c>
      <c r="B438">
        <f t="shared" si="30"/>
        <v>0</v>
      </c>
      <c r="C438" s="10"/>
      <c r="D438" s="10"/>
      <c r="E438">
        <f t="shared" si="29"/>
        <v>0.25</v>
      </c>
      <c r="F438">
        <f t="shared" si="31"/>
        <v>-0.25</v>
      </c>
      <c r="G438">
        <f t="shared" si="32"/>
        <v>6.25E-2</v>
      </c>
    </row>
    <row r="439" spans="1:7">
      <c r="A439">
        <v>429</v>
      </c>
      <c r="B439">
        <f t="shared" si="30"/>
        <v>0</v>
      </c>
      <c r="C439" s="10"/>
      <c r="D439" s="10"/>
      <c r="E439">
        <f t="shared" si="29"/>
        <v>0.25</v>
      </c>
      <c r="F439">
        <f t="shared" si="31"/>
        <v>-0.25</v>
      </c>
      <c r="G439">
        <f t="shared" si="32"/>
        <v>6.25E-2</v>
      </c>
    </row>
    <row r="440" spans="1:7">
      <c r="A440">
        <v>430</v>
      </c>
      <c r="B440">
        <f t="shared" si="30"/>
        <v>0</v>
      </c>
      <c r="C440" s="10"/>
      <c r="D440" s="10"/>
      <c r="E440">
        <f t="shared" si="29"/>
        <v>0.25</v>
      </c>
      <c r="F440">
        <f t="shared" si="31"/>
        <v>-0.25</v>
      </c>
      <c r="G440">
        <f t="shared" si="32"/>
        <v>6.25E-2</v>
      </c>
    </row>
    <row r="441" spans="1:7">
      <c r="A441">
        <v>431</v>
      </c>
      <c r="B441">
        <f t="shared" si="30"/>
        <v>0</v>
      </c>
      <c r="C441" s="10"/>
      <c r="D441" s="10"/>
      <c r="E441">
        <f t="shared" si="29"/>
        <v>0.25</v>
      </c>
      <c r="F441">
        <f t="shared" si="31"/>
        <v>-0.25</v>
      </c>
      <c r="G441">
        <f t="shared" si="32"/>
        <v>6.25E-2</v>
      </c>
    </row>
    <row r="442" spans="1:7">
      <c r="A442">
        <v>432</v>
      </c>
      <c r="B442">
        <f t="shared" si="30"/>
        <v>0</v>
      </c>
      <c r="C442" s="10"/>
      <c r="D442" s="10"/>
      <c r="E442">
        <f t="shared" si="29"/>
        <v>0.25</v>
      </c>
      <c r="F442">
        <f t="shared" si="31"/>
        <v>-0.25</v>
      </c>
      <c r="G442">
        <f t="shared" si="32"/>
        <v>6.25E-2</v>
      </c>
    </row>
    <row r="443" spans="1:7">
      <c r="A443">
        <v>433</v>
      </c>
      <c r="B443">
        <f t="shared" si="30"/>
        <v>0</v>
      </c>
      <c r="C443" s="10"/>
      <c r="D443" s="10"/>
      <c r="E443">
        <f t="shared" si="29"/>
        <v>0.25</v>
      </c>
      <c r="F443">
        <f t="shared" si="31"/>
        <v>-0.25</v>
      </c>
      <c r="G443">
        <f t="shared" si="32"/>
        <v>6.25E-2</v>
      </c>
    </row>
    <row r="444" spans="1:7">
      <c r="A444">
        <v>434</v>
      </c>
      <c r="B444">
        <f t="shared" si="30"/>
        <v>0</v>
      </c>
      <c r="C444" s="10"/>
      <c r="D444" s="10"/>
      <c r="E444">
        <f t="shared" si="29"/>
        <v>0.25</v>
      </c>
      <c r="F444">
        <f t="shared" si="31"/>
        <v>-0.25</v>
      </c>
      <c r="G444">
        <f t="shared" si="32"/>
        <v>6.25E-2</v>
      </c>
    </row>
    <row r="445" spans="1:7">
      <c r="A445">
        <v>435</v>
      </c>
      <c r="B445">
        <f t="shared" si="30"/>
        <v>0</v>
      </c>
      <c r="C445" s="10"/>
      <c r="D445" s="10"/>
      <c r="E445">
        <f t="shared" si="29"/>
        <v>0.25</v>
      </c>
      <c r="F445">
        <f t="shared" si="31"/>
        <v>-0.25</v>
      </c>
      <c r="G445">
        <f t="shared" si="32"/>
        <v>6.25E-2</v>
      </c>
    </row>
    <row r="446" spans="1:7">
      <c r="A446">
        <v>436</v>
      </c>
      <c r="B446">
        <f t="shared" si="30"/>
        <v>0</v>
      </c>
      <c r="C446" s="10"/>
      <c r="D446" s="10"/>
      <c r="E446">
        <f t="shared" si="29"/>
        <v>0.25</v>
      </c>
      <c r="F446">
        <f t="shared" si="31"/>
        <v>-0.25</v>
      </c>
      <c r="G446">
        <f t="shared" si="32"/>
        <v>6.25E-2</v>
      </c>
    </row>
    <row r="447" spans="1:7">
      <c r="A447">
        <v>437</v>
      </c>
      <c r="B447">
        <f t="shared" si="30"/>
        <v>0</v>
      </c>
      <c r="C447" s="10"/>
      <c r="D447" s="10"/>
      <c r="E447">
        <f t="shared" si="29"/>
        <v>0.25</v>
      </c>
      <c r="F447">
        <f t="shared" si="31"/>
        <v>-0.25</v>
      </c>
      <c r="G447">
        <f t="shared" si="32"/>
        <v>6.25E-2</v>
      </c>
    </row>
    <row r="448" spans="1:7">
      <c r="A448">
        <v>438</v>
      </c>
      <c r="B448">
        <f t="shared" si="30"/>
        <v>0</v>
      </c>
      <c r="C448" s="10"/>
      <c r="D448" s="10"/>
      <c r="E448">
        <f t="shared" si="29"/>
        <v>0.25</v>
      </c>
      <c r="F448">
        <f t="shared" si="31"/>
        <v>-0.25</v>
      </c>
      <c r="G448">
        <f t="shared" si="32"/>
        <v>6.25E-2</v>
      </c>
    </row>
    <row r="449" spans="1:7">
      <c r="A449">
        <v>439</v>
      </c>
      <c r="B449">
        <f t="shared" si="30"/>
        <v>0</v>
      </c>
      <c r="C449" s="10"/>
      <c r="D449" s="10"/>
      <c r="E449">
        <f t="shared" si="29"/>
        <v>0.25</v>
      </c>
      <c r="F449">
        <f t="shared" si="31"/>
        <v>-0.25</v>
      </c>
      <c r="G449">
        <f t="shared" si="32"/>
        <v>6.25E-2</v>
      </c>
    </row>
    <row r="450" spans="1:7">
      <c r="A450">
        <v>440</v>
      </c>
      <c r="B450">
        <f t="shared" si="30"/>
        <v>0</v>
      </c>
      <c r="C450" s="10"/>
      <c r="D450" s="10"/>
      <c r="E450">
        <f t="shared" si="29"/>
        <v>0.25</v>
      </c>
      <c r="F450">
        <f t="shared" si="31"/>
        <v>-0.25</v>
      </c>
      <c r="G450">
        <f t="shared" si="32"/>
        <v>6.25E-2</v>
      </c>
    </row>
    <row r="451" spans="1:7">
      <c r="A451">
        <v>441</v>
      </c>
      <c r="B451">
        <f t="shared" si="30"/>
        <v>0</v>
      </c>
      <c r="C451" s="10"/>
      <c r="D451" s="10"/>
      <c r="E451">
        <f t="shared" si="29"/>
        <v>0.25</v>
      </c>
      <c r="F451">
        <f t="shared" si="31"/>
        <v>-0.25</v>
      </c>
      <c r="G451">
        <f t="shared" si="32"/>
        <v>6.25E-2</v>
      </c>
    </row>
    <row r="452" spans="1:7">
      <c r="A452">
        <v>442</v>
      </c>
      <c r="B452">
        <f t="shared" si="30"/>
        <v>0</v>
      </c>
      <c r="C452" s="10"/>
      <c r="D452" s="10"/>
      <c r="E452">
        <f t="shared" si="29"/>
        <v>0.25</v>
      </c>
      <c r="F452">
        <f t="shared" si="31"/>
        <v>-0.25</v>
      </c>
      <c r="G452">
        <f t="shared" si="32"/>
        <v>6.25E-2</v>
      </c>
    </row>
    <row r="453" spans="1:7">
      <c r="A453">
        <v>443</v>
      </c>
      <c r="B453">
        <f t="shared" si="30"/>
        <v>0</v>
      </c>
      <c r="C453" s="10"/>
      <c r="D453" s="10"/>
      <c r="E453">
        <f t="shared" si="29"/>
        <v>0.25</v>
      </c>
      <c r="F453">
        <f t="shared" si="31"/>
        <v>-0.25</v>
      </c>
      <c r="G453">
        <f t="shared" si="32"/>
        <v>6.25E-2</v>
      </c>
    </row>
    <row r="454" spans="1:7">
      <c r="A454">
        <v>444</v>
      </c>
      <c r="B454">
        <f t="shared" si="30"/>
        <v>0</v>
      </c>
      <c r="C454" s="10"/>
      <c r="D454" s="10"/>
      <c r="E454">
        <f t="shared" si="29"/>
        <v>0.25</v>
      </c>
      <c r="F454">
        <f t="shared" si="31"/>
        <v>-0.25</v>
      </c>
      <c r="G454">
        <f t="shared" si="32"/>
        <v>6.25E-2</v>
      </c>
    </row>
    <row r="455" spans="1:7">
      <c r="A455">
        <v>445</v>
      </c>
      <c r="B455">
        <f t="shared" si="30"/>
        <v>0</v>
      </c>
      <c r="C455" s="10"/>
      <c r="D455" s="10"/>
      <c r="E455">
        <f t="shared" si="29"/>
        <v>0.25</v>
      </c>
      <c r="F455">
        <f t="shared" si="31"/>
        <v>-0.25</v>
      </c>
      <c r="G455">
        <f t="shared" si="32"/>
        <v>6.25E-2</v>
      </c>
    </row>
    <row r="456" spans="1:7">
      <c r="A456">
        <v>446</v>
      </c>
      <c r="B456">
        <f t="shared" si="30"/>
        <v>0</v>
      </c>
      <c r="C456" s="10"/>
      <c r="D456" s="10"/>
      <c r="E456">
        <f t="shared" si="29"/>
        <v>0.25</v>
      </c>
      <c r="F456">
        <f t="shared" si="31"/>
        <v>-0.25</v>
      </c>
      <c r="G456">
        <f t="shared" si="32"/>
        <v>6.25E-2</v>
      </c>
    </row>
    <row r="457" spans="1:7">
      <c r="A457">
        <v>447</v>
      </c>
      <c r="B457">
        <f t="shared" si="30"/>
        <v>0</v>
      </c>
      <c r="C457" s="10"/>
      <c r="D457" s="10"/>
      <c r="E457">
        <f t="shared" si="29"/>
        <v>0.25</v>
      </c>
      <c r="F457">
        <f t="shared" si="31"/>
        <v>-0.25</v>
      </c>
      <c r="G457">
        <f t="shared" si="32"/>
        <v>6.25E-2</v>
      </c>
    </row>
    <row r="458" spans="1:7">
      <c r="A458">
        <v>448</v>
      </c>
      <c r="B458">
        <f t="shared" si="30"/>
        <v>0</v>
      </c>
      <c r="C458" s="10"/>
      <c r="D458" s="10"/>
      <c r="E458">
        <f t="shared" si="29"/>
        <v>0.25</v>
      </c>
      <c r="F458">
        <f t="shared" si="31"/>
        <v>-0.25</v>
      </c>
      <c r="G458">
        <f t="shared" si="32"/>
        <v>6.25E-2</v>
      </c>
    </row>
    <row r="459" spans="1:7">
      <c r="A459">
        <v>449</v>
      </c>
      <c r="B459">
        <f t="shared" si="30"/>
        <v>0</v>
      </c>
      <c r="C459" s="10"/>
      <c r="D459" s="10"/>
      <c r="E459">
        <f t="shared" ref="E459:E522" si="33">BaseAdjust+(ampl1*EXP(-gamma1*C459)+ampl2*EXP(-gamma2*C459)+ampl3*EXP(-gamma3*C459))^2</f>
        <v>0.25</v>
      </c>
      <c r="F459">
        <f t="shared" si="31"/>
        <v>-0.25</v>
      </c>
      <c r="G459">
        <f t="shared" si="32"/>
        <v>6.25E-2</v>
      </c>
    </row>
    <row r="460" spans="1:7">
      <c r="A460">
        <v>450</v>
      </c>
      <c r="B460">
        <f t="shared" ref="B460:B523" si="34">C460/1000</f>
        <v>0</v>
      </c>
      <c r="C460" s="10"/>
      <c r="D460" s="10"/>
      <c r="E460">
        <f t="shared" si="33"/>
        <v>0.25</v>
      </c>
      <c r="F460">
        <f t="shared" ref="F460:F523" si="35">D460-E460</f>
        <v>-0.25</v>
      </c>
      <c r="G460">
        <f t="shared" ref="G460:G523" si="36">F460^2</f>
        <v>6.25E-2</v>
      </c>
    </row>
    <row r="461" spans="1:7">
      <c r="A461">
        <v>451</v>
      </c>
      <c r="B461">
        <f t="shared" si="34"/>
        <v>0</v>
      </c>
      <c r="C461" s="10"/>
      <c r="D461" s="10"/>
      <c r="E461">
        <f t="shared" si="33"/>
        <v>0.25</v>
      </c>
      <c r="F461">
        <f t="shared" si="35"/>
        <v>-0.25</v>
      </c>
      <c r="G461">
        <f t="shared" si="36"/>
        <v>6.25E-2</v>
      </c>
    </row>
    <row r="462" spans="1:7">
      <c r="A462">
        <v>452</v>
      </c>
      <c r="B462">
        <f t="shared" si="34"/>
        <v>0</v>
      </c>
      <c r="C462" s="10"/>
      <c r="D462" s="10"/>
      <c r="E462">
        <f t="shared" si="33"/>
        <v>0.25</v>
      </c>
      <c r="F462">
        <f t="shared" si="35"/>
        <v>-0.25</v>
      </c>
      <c r="G462">
        <f t="shared" si="36"/>
        <v>6.25E-2</v>
      </c>
    </row>
    <row r="463" spans="1:7">
      <c r="A463">
        <v>453</v>
      </c>
      <c r="B463">
        <f t="shared" si="34"/>
        <v>0</v>
      </c>
      <c r="C463" s="10"/>
      <c r="D463" s="10"/>
      <c r="E463">
        <f t="shared" si="33"/>
        <v>0.25</v>
      </c>
      <c r="F463">
        <f t="shared" si="35"/>
        <v>-0.25</v>
      </c>
      <c r="G463">
        <f t="shared" si="36"/>
        <v>6.25E-2</v>
      </c>
    </row>
    <row r="464" spans="1:7">
      <c r="A464">
        <v>454</v>
      </c>
      <c r="B464">
        <f t="shared" si="34"/>
        <v>0</v>
      </c>
      <c r="C464" s="10"/>
      <c r="D464" s="10"/>
      <c r="E464">
        <f t="shared" si="33"/>
        <v>0.25</v>
      </c>
      <c r="F464">
        <f t="shared" si="35"/>
        <v>-0.25</v>
      </c>
      <c r="G464">
        <f t="shared" si="36"/>
        <v>6.25E-2</v>
      </c>
    </row>
    <row r="465" spans="1:7">
      <c r="A465">
        <v>455</v>
      </c>
      <c r="B465">
        <f t="shared" si="34"/>
        <v>0</v>
      </c>
      <c r="C465" s="10"/>
      <c r="D465" s="10"/>
      <c r="E465">
        <f t="shared" si="33"/>
        <v>0.25</v>
      </c>
      <c r="F465">
        <f t="shared" si="35"/>
        <v>-0.25</v>
      </c>
      <c r="G465">
        <f t="shared" si="36"/>
        <v>6.25E-2</v>
      </c>
    </row>
    <row r="466" spans="1:7">
      <c r="A466">
        <v>456</v>
      </c>
      <c r="B466">
        <f t="shared" si="34"/>
        <v>0</v>
      </c>
      <c r="C466" s="10"/>
      <c r="D466" s="10"/>
      <c r="E466">
        <f t="shared" si="33"/>
        <v>0.25</v>
      </c>
      <c r="F466">
        <f t="shared" si="35"/>
        <v>-0.25</v>
      </c>
      <c r="G466">
        <f t="shared" si="36"/>
        <v>6.25E-2</v>
      </c>
    </row>
    <row r="467" spans="1:7">
      <c r="A467">
        <v>457</v>
      </c>
      <c r="B467">
        <f t="shared" si="34"/>
        <v>0</v>
      </c>
      <c r="C467" s="10"/>
      <c r="D467" s="10"/>
      <c r="E467">
        <f t="shared" si="33"/>
        <v>0.25</v>
      </c>
      <c r="F467">
        <f t="shared" si="35"/>
        <v>-0.25</v>
      </c>
      <c r="G467">
        <f t="shared" si="36"/>
        <v>6.25E-2</v>
      </c>
    </row>
    <row r="468" spans="1:7">
      <c r="A468">
        <v>458</v>
      </c>
      <c r="B468">
        <f t="shared" si="34"/>
        <v>0</v>
      </c>
      <c r="C468" s="10"/>
      <c r="D468" s="10"/>
      <c r="E468">
        <f t="shared" si="33"/>
        <v>0.25</v>
      </c>
      <c r="F468">
        <f t="shared" si="35"/>
        <v>-0.25</v>
      </c>
      <c r="G468">
        <f t="shared" si="36"/>
        <v>6.25E-2</v>
      </c>
    </row>
    <row r="469" spans="1:7">
      <c r="A469">
        <v>459</v>
      </c>
      <c r="B469">
        <f t="shared" si="34"/>
        <v>0</v>
      </c>
      <c r="C469" s="10"/>
      <c r="D469" s="10"/>
      <c r="E469">
        <f t="shared" si="33"/>
        <v>0.25</v>
      </c>
      <c r="F469">
        <f t="shared" si="35"/>
        <v>-0.25</v>
      </c>
      <c r="G469">
        <f t="shared" si="36"/>
        <v>6.25E-2</v>
      </c>
    </row>
    <row r="470" spans="1:7">
      <c r="A470">
        <v>460</v>
      </c>
      <c r="B470">
        <f t="shared" si="34"/>
        <v>0</v>
      </c>
      <c r="C470" s="10"/>
      <c r="D470" s="10"/>
      <c r="E470">
        <f t="shared" si="33"/>
        <v>0.25</v>
      </c>
      <c r="F470">
        <f t="shared" si="35"/>
        <v>-0.25</v>
      </c>
      <c r="G470">
        <f t="shared" si="36"/>
        <v>6.25E-2</v>
      </c>
    </row>
    <row r="471" spans="1:7">
      <c r="A471">
        <v>461</v>
      </c>
      <c r="B471">
        <f t="shared" si="34"/>
        <v>0</v>
      </c>
      <c r="C471" s="10"/>
      <c r="D471" s="10"/>
      <c r="E471">
        <f t="shared" si="33"/>
        <v>0.25</v>
      </c>
      <c r="F471">
        <f t="shared" si="35"/>
        <v>-0.25</v>
      </c>
      <c r="G471">
        <f t="shared" si="36"/>
        <v>6.25E-2</v>
      </c>
    </row>
    <row r="472" spans="1:7">
      <c r="A472">
        <v>462</v>
      </c>
      <c r="B472">
        <f t="shared" si="34"/>
        <v>0</v>
      </c>
      <c r="C472" s="10"/>
      <c r="D472" s="10"/>
      <c r="E472">
        <f t="shared" si="33"/>
        <v>0.25</v>
      </c>
      <c r="F472">
        <f t="shared" si="35"/>
        <v>-0.25</v>
      </c>
      <c r="G472">
        <f t="shared" si="36"/>
        <v>6.25E-2</v>
      </c>
    </row>
    <row r="473" spans="1:7">
      <c r="A473">
        <v>463</v>
      </c>
      <c r="B473">
        <f t="shared" si="34"/>
        <v>0</v>
      </c>
      <c r="C473" s="10"/>
      <c r="D473" s="10"/>
      <c r="E473">
        <f t="shared" si="33"/>
        <v>0.25</v>
      </c>
      <c r="F473">
        <f t="shared" si="35"/>
        <v>-0.25</v>
      </c>
      <c r="G473">
        <f t="shared" si="36"/>
        <v>6.25E-2</v>
      </c>
    </row>
    <row r="474" spans="1:7">
      <c r="A474">
        <v>464</v>
      </c>
      <c r="B474">
        <f t="shared" si="34"/>
        <v>0</v>
      </c>
      <c r="C474" s="10"/>
      <c r="D474" s="10"/>
      <c r="E474">
        <f t="shared" si="33"/>
        <v>0.25</v>
      </c>
      <c r="F474">
        <f t="shared" si="35"/>
        <v>-0.25</v>
      </c>
      <c r="G474">
        <f t="shared" si="36"/>
        <v>6.25E-2</v>
      </c>
    </row>
    <row r="475" spans="1:7">
      <c r="A475">
        <v>465</v>
      </c>
      <c r="B475">
        <f t="shared" si="34"/>
        <v>0</v>
      </c>
      <c r="C475" s="10"/>
      <c r="D475" s="10"/>
      <c r="E475">
        <f t="shared" si="33"/>
        <v>0.25</v>
      </c>
      <c r="F475">
        <f t="shared" si="35"/>
        <v>-0.25</v>
      </c>
      <c r="G475">
        <f t="shared" si="36"/>
        <v>6.25E-2</v>
      </c>
    </row>
    <row r="476" spans="1:7">
      <c r="A476">
        <v>466</v>
      </c>
      <c r="B476">
        <f t="shared" si="34"/>
        <v>0</v>
      </c>
      <c r="C476" s="10"/>
      <c r="D476" s="10"/>
      <c r="E476">
        <f t="shared" si="33"/>
        <v>0.25</v>
      </c>
      <c r="F476">
        <f t="shared" si="35"/>
        <v>-0.25</v>
      </c>
      <c r="G476">
        <f t="shared" si="36"/>
        <v>6.25E-2</v>
      </c>
    </row>
    <row r="477" spans="1:7">
      <c r="A477">
        <v>467</v>
      </c>
      <c r="B477">
        <f t="shared" si="34"/>
        <v>0</v>
      </c>
      <c r="C477" s="10"/>
      <c r="D477" s="10"/>
      <c r="E477">
        <f t="shared" si="33"/>
        <v>0.25</v>
      </c>
      <c r="F477">
        <f t="shared" si="35"/>
        <v>-0.25</v>
      </c>
      <c r="G477">
        <f t="shared" si="36"/>
        <v>6.25E-2</v>
      </c>
    </row>
    <row r="478" spans="1:7">
      <c r="A478">
        <v>468</v>
      </c>
      <c r="B478">
        <f t="shared" si="34"/>
        <v>0</v>
      </c>
      <c r="C478" s="10"/>
      <c r="D478" s="10"/>
      <c r="E478">
        <f t="shared" si="33"/>
        <v>0.25</v>
      </c>
      <c r="F478">
        <f t="shared" si="35"/>
        <v>-0.25</v>
      </c>
      <c r="G478">
        <f t="shared" si="36"/>
        <v>6.25E-2</v>
      </c>
    </row>
    <row r="479" spans="1:7">
      <c r="A479">
        <v>469</v>
      </c>
      <c r="B479">
        <f t="shared" si="34"/>
        <v>0</v>
      </c>
      <c r="C479" s="10"/>
      <c r="D479" s="10"/>
      <c r="E479">
        <f t="shared" si="33"/>
        <v>0.25</v>
      </c>
      <c r="F479">
        <f t="shared" si="35"/>
        <v>-0.25</v>
      </c>
      <c r="G479">
        <f t="shared" si="36"/>
        <v>6.25E-2</v>
      </c>
    </row>
    <row r="480" spans="1:7">
      <c r="A480">
        <v>470</v>
      </c>
      <c r="B480">
        <f t="shared" si="34"/>
        <v>0</v>
      </c>
      <c r="C480" s="10"/>
      <c r="D480" s="10"/>
      <c r="E480">
        <f t="shared" si="33"/>
        <v>0.25</v>
      </c>
      <c r="F480">
        <f t="shared" si="35"/>
        <v>-0.25</v>
      </c>
      <c r="G480">
        <f t="shared" si="36"/>
        <v>6.25E-2</v>
      </c>
    </row>
    <row r="481" spans="1:7">
      <c r="A481">
        <v>471</v>
      </c>
      <c r="B481">
        <f t="shared" si="34"/>
        <v>0</v>
      </c>
      <c r="C481" s="10"/>
      <c r="D481" s="10"/>
      <c r="E481">
        <f t="shared" si="33"/>
        <v>0.25</v>
      </c>
      <c r="F481">
        <f t="shared" si="35"/>
        <v>-0.25</v>
      </c>
      <c r="G481">
        <f t="shared" si="36"/>
        <v>6.25E-2</v>
      </c>
    </row>
    <row r="482" spans="1:7">
      <c r="A482">
        <v>472</v>
      </c>
      <c r="B482">
        <f t="shared" si="34"/>
        <v>0</v>
      </c>
      <c r="C482" s="10"/>
      <c r="D482" s="10"/>
      <c r="E482">
        <f t="shared" si="33"/>
        <v>0.25</v>
      </c>
      <c r="F482">
        <f t="shared" si="35"/>
        <v>-0.25</v>
      </c>
      <c r="G482">
        <f t="shared" si="36"/>
        <v>6.25E-2</v>
      </c>
    </row>
    <row r="483" spans="1:7">
      <c r="A483">
        <v>473</v>
      </c>
      <c r="B483">
        <f t="shared" si="34"/>
        <v>0</v>
      </c>
      <c r="C483" s="10"/>
      <c r="D483" s="10"/>
      <c r="E483">
        <f t="shared" si="33"/>
        <v>0.25</v>
      </c>
      <c r="F483">
        <f t="shared" si="35"/>
        <v>-0.25</v>
      </c>
      <c r="G483">
        <f t="shared" si="36"/>
        <v>6.25E-2</v>
      </c>
    </row>
    <row r="484" spans="1:7">
      <c r="A484">
        <v>474</v>
      </c>
      <c r="B484">
        <f t="shared" si="34"/>
        <v>0</v>
      </c>
      <c r="C484" s="10"/>
      <c r="D484" s="10"/>
      <c r="E484">
        <f t="shared" si="33"/>
        <v>0.25</v>
      </c>
      <c r="F484">
        <f t="shared" si="35"/>
        <v>-0.25</v>
      </c>
      <c r="G484">
        <f t="shared" si="36"/>
        <v>6.25E-2</v>
      </c>
    </row>
    <row r="485" spans="1:7">
      <c r="A485">
        <v>475</v>
      </c>
      <c r="B485">
        <f t="shared" si="34"/>
        <v>0</v>
      </c>
      <c r="C485" s="10"/>
      <c r="D485" s="10"/>
      <c r="E485">
        <f t="shared" si="33"/>
        <v>0.25</v>
      </c>
      <c r="F485">
        <f t="shared" si="35"/>
        <v>-0.25</v>
      </c>
      <c r="G485">
        <f t="shared" si="36"/>
        <v>6.25E-2</v>
      </c>
    </row>
    <row r="486" spans="1:7">
      <c r="A486">
        <v>476</v>
      </c>
      <c r="B486">
        <f t="shared" si="34"/>
        <v>0</v>
      </c>
      <c r="C486" s="10"/>
      <c r="D486" s="10"/>
      <c r="E486">
        <f t="shared" si="33"/>
        <v>0.25</v>
      </c>
      <c r="F486">
        <f t="shared" si="35"/>
        <v>-0.25</v>
      </c>
      <c r="G486">
        <f t="shared" si="36"/>
        <v>6.25E-2</v>
      </c>
    </row>
    <row r="487" spans="1:7">
      <c r="A487">
        <v>477</v>
      </c>
      <c r="B487">
        <f t="shared" si="34"/>
        <v>0</v>
      </c>
      <c r="C487" s="10"/>
      <c r="D487" s="10"/>
      <c r="E487">
        <f t="shared" si="33"/>
        <v>0.25</v>
      </c>
      <c r="F487">
        <f t="shared" si="35"/>
        <v>-0.25</v>
      </c>
      <c r="G487">
        <f t="shared" si="36"/>
        <v>6.25E-2</v>
      </c>
    </row>
    <row r="488" spans="1:7">
      <c r="A488">
        <v>478</v>
      </c>
      <c r="B488">
        <f t="shared" si="34"/>
        <v>0</v>
      </c>
      <c r="C488" s="10"/>
      <c r="D488" s="10"/>
      <c r="E488">
        <f t="shared" si="33"/>
        <v>0.25</v>
      </c>
      <c r="F488">
        <f t="shared" si="35"/>
        <v>-0.25</v>
      </c>
      <c r="G488">
        <f t="shared" si="36"/>
        <v>6.25E-2</v>
      </c>
    </row>
    <row r="489" spans="1:7">
      <c r="A489">
        <v>479</v>
      </c>
      <c r="B489">
        <f t="shared" si="34"/>
        <v>0</v>
      </c>
      <c r="C489" s="10"/>
      <c r="D489" s="10"/>
      <c r="E489">
        <f t="shared" si="33"/>
        <v>0.25</v>
      </c>
      <c r="F489">
        <f t="shared" si="35"/>
        <v>-0.25</v>
      </c>
      <c r="G489">
        <f t="shared" si="36"/>
        <v>6.25E-2</v>
      </c>
    </row>
    <row r="490" spans="1:7">
      <c r="A490">
        <v>480</v>
      </c>
      <c r="B490">
        <f t="shared" si="34"/>
        <v>0</v>
      </c>
      <c r="C490" s="10"/>
      <c r="D490" s="10"/>
      <c r="E490">
        <f t="shared" si="33"/>
        <v>0.25</v>
      </c>
      <c r="F490">
        <f t="shared" si="35"/>
        <v>-0.25</v>
      </c>
      <c r="G490">
        <f t="shared" si="36"/>
        <v>6.25E-2</v>
      </c>
    </row>
    <row r="491" spans="1:7">
      <c r="A491">
        <v>481</v>
      </c>
      <c r="B491">
        <f t="shared" si="34"/>
        <v>0</v>
      </c>
      <c r="C491" s="10"/>
      <c r="D491" s="10"/>
      <c r="E491">
        <f t="shared" si="33"/>
        <v>0.25</v>
      </c>
      <c r="F491">
        <f t="shared" si="35"/>
        <v>-0.25</v>
      </c>
      <c r="G491">
        <f t="shared" si="36"/>
        <v>6.25E-2</v>
      </c>
    </row>
    <row r="492" spans="1:7">
      <c r="A492">
        <v>482</v>
      </c>
      <c r="B492">
        <f t="shared" si="34"/>
        <v>0</v>
      </c>
      <c r="C492" s="10"/>
      <c r="D492" s="10"/>
      <c r="E492">
        <f t="shared" si="33"/>
        <v>0.25</v>
      </c>
      <c r="F492">
        <f t="shared" si="35"/>
        <v>-0.25</v>
      </c>
      <c r="G492">
        <f t="shared" si="36"/>
        <v>6.25E-2</v>
      </c>
    </row>
    <row r="493" spans="1:7">
      <c r="A493">
        <v>483</v>
      </c>
      <c r="B493">
        <f t="shared" si="34"/>
        <v>0</v>
      </c>
      <c r="C493" s="10"/>
      <c r="D493" s="10"/>
      <c r="E493">
        <f t="shared" si="33"/>
        <v>0.25</v>
      </c>
      <c r="F493">
        <f t="shared" si="35"/>
        <v>-0.25</v>
      </c>
      <c r="G493">
        <f t="shared" si="36"/>
        <v>6.25E-2</v>
      </c>
    </row>
    <row r="494" spans="1:7">
      <c r="A494">
        <v>484</v>
      </c>
      <c r="B494">
        <f t="shared" si="34"/>
        <v>0</v>
      </c>
      <c r="C494" s="10"/>
      <c r="D494" s="10"/>
      <c r="E494">
        <f t="shared" si="33"/>
        <v>0.25</v>
      </c>
      <c r="F494">
        <f t="shared" si="35"/>
        <v>-0.25</v>
      </c>
      <c r="G494">
        <f t="shared" si="36"/>
        <v>6.25E-2</v>
      </c>
    </row>
    <row r="495" spans="1:7">
      <c r="A495">
        <v>485</v>
      </c>
      <c r="B495">
        <f t="shared" si="34"/>
        <v>0</v>
      </c>
      <c r="C495" s="10"/>
      <c r="D495" s="10"/>
      <c r="E495">
        <f t="shared" si="33"/>
        <v>0.25</v>
      </c>
      <c r="F495">
        <f t="shared" si="35"/>
        <v>-0.25</v>
      </c>
      <c r="G495">
        <f t="shared" si="36"/>
        <v>6.25E-2</v>
      </c>
    </row>
    <row r="496" spans="1:7">
      <c r="A496">
        <v>486</v>
      </c>
      <c r="B496">
        <f t="shared" si="34"/>
        <v>0</v>
      </c>
      <c r="C496" s="10"/>
      <c r="D496" s="10"/>
      <c r="E496">
        <f t="shared" si="33"/>
        <v>0.25</v>
      </c>
      <c r="F496">
        <f t="shared" si="35"/>
        <v>-0.25</v>
      </c>
      <c r="G496">
        <f t="shared" si="36"/>
        <v>6.25E-2</v>
      </c>
    </row>
    <row r="497" spans="1:7">
      <c r="A497">
        <v>487</v>
      </c>
      <c r="B497">
        <f t="shared" si="34"/>
        <v>0</v>
      </c>
      <c r="C497" s="10"/>
      <c r="D497" s="10"/>
      <c r="E497">
        <f t="shared" si="33"/>
        <v>0.25</v>
      </c>
      <c r="F497">
        <f t="shared" si="35"/>
        <v>-0.25</v>
      </c>
      <c r="G497">
        <f t="shared" si="36"/>
        <v>6.25E-2</v>
      </c>
    </row>
    <row r="498" spans="1:7">
      <c r="A498">
        <v>488</v>
      </c>
      <c r="B498">
        <f t="shared" si="34"/>
        <v>0</v>
      </c>
      <c r="C498" s="10"/>
      <c r="D498" s="10"/>
      <c r="E498">
        <f t="shared" si="33"/>
        <v>0.25</v>
      </c>
      <c r="F498">
        <f t="shared" si="35"/>
        <v>-0.25</v>
      </c>
      <c r="G498">
        <f t="shared" si="36"/>
        <v>6.25E-2</v>
      </c>
    </row>
    <row r="499" spans="1:7">
      <c r="A499">
        <v>489</v>
      </c>
      <c r="B499">
        <f t="shared" si="34"/>
        <v>0</v>
      </c>
      <c r="C499" s="10"/>
      <c r="D499" s="10"/>
      <c r="E499">
        <f t="shared" si="33"/>
        <v>0.25</v>
      </c>
      <c r="F499">
        <f t="shared" si="35"/>
        <v>-0.25</v>
      </c>
      <c r="G499">
        <f t="shared" si="36"/>
        <v>6.25E-2</v>
      </c>
    </row>
    <row r="500" spans="1:7">
      <c r="A500">
        <v>490</v>
      </c>
      <c r="B500">
        <f t="shared" si="34"/>
        <v>0</v>
      </c>
      <c r="C500" s="10"/>
      <c r="D500" s="10"/>
      <c r="E500">
        <f t="shared" si="33"/>
        <v>0.25</v>
      </c>
      <c r="F500">
        <f t="shared" si="35"/>
        <v>-0.25</v>
      </c>
      <c r="G500">
        <f t="shared" si="36"/>
        <v>6.25E-2</v>
      </c>
    </row>
    <row r="501" spans="1:7">
      <c r="A501">
        <v>491</v>
      </c>
      <c r="B501">
        <f t="shared" si="34"/>
        <v>0</v>
      </c>
      <c r="C501" s="10"/>
      <c r="D501" s="10"/>
      <c r="E501">
        <f t="shared" si="33"/>
        <v>0.25</v>
      </c>
      <c r="F501">
        <f t="shared" si="35"/>
        <v>-0.25</v>
      </c>
      <c r="G501">
        <f t="shared" si="36"/>
        <v>6.25E-2</v>
      </c>
    </row>
    <row r="502" spans="1:7">
      <c r="A502">
        <v>492</v>
      </c>
      <c r="B502">
        <f t="shared" si="34"/>
        <v>0</v>
      </c>
      <c r="C502" s="10"/>
      <c r="D502" s="10"/>
      <c r="E502">
        <f t="shared" si="33"/>
        <v>0.25</v>
      </c>
      <c r="F502">
        <f t="shared" si="35"/>
        <v>-0.25</v>
      </c>
      <c r="G502">
        <f t="shared" si="36"/>
        <v>6.25E-2</v>
      </c>
    </row>
    <row r="503" spans="1:7">
      <c r="A503">
        <v>493</v>
      </c>
      <c r="B503">
        <f t="shared" si="34"/>
        <v>0</v>
      </c>
      <c r="C503" s="10"/>
      <c r="D503" s="10"/>
      <c r="E503">
        <f t="shared" si="33"/>
        <v>0.25</v>
      </c>
      <c r="F503">
        <f t="shared" si="35"/>
        <v>-0.25</v>
      </c>
      <c r="G503">
        <f t="shared" si="36"/>
        <v>6.25E-2</v>
      </c>
    </row>
    <row r="504" spans="1:7">
      <c r="A504">
        <v>494</v>
      </c>
      <c r="B504">
        <f t="shared" si="34"/>
        <v>0</v>
      </c>
      <c r="C504" s="10"/>
      <c r="D504" s="10"/>
      <c r="E504">
        <f t="shared" si="33"/>
        <v>0.25</v>
      </c>
      <c r="F504">
        <f t="shared" si="35"/>
        <v>-0.25</v>
      </c>
      <c r="G504">
        <f t="shared" si="36"/>
        <v>6.25E-2</v>
      </c>
    </row>
    <row r="505" spans="1:7">
      <c r="A505">
        <v>495</v>
      </c>
      <c r="B505">
        <f t="shared" si="34"/>
        <v>0</v>
      </c>
      <c r="C505" s="10"/>
      <c r="D505" s="10"/>
      <c r="E505">
        <f t="shared" si="33"/>
        <v>0.25</v>
      </c>
      <c r="F505">
        <f t="shared" si="35"/>
        <v>-0.25</v>
      </c>
      <c r="G505">
        <f t="shared" si="36"/>
        <v>6.25E-2</v>
      </c>
    </row>
    <row r="506" spans="1:7">
      <c r="A506">
        <v>496</v>
      </c>
      <c r="B506">
        <f t="shared" si="34"/>
        <v>0</v>
      </c>
      <c r="C506" s="10"/>
      <c r="D506" s="10"/>
      <c r="E506">
        <f t="shared" si="33"/>
        <v>0.25</v>
      </c>
      <c r="F506">
        <f t="shared" si="35"/>
        <v>-0.25</v>
      </c>
      <c r="G506">
        <f t="shared" si="36"/>
        <v>6.25E-2</v>
      </c>
    </row>
    <row r="507" spans="1:7">
      <c r="A507">
        <v>497</v>
      </c>
      <c r="B507">
        <f t="shared" si="34"/>
        <v>0</v>
      </c>
      <c r="C507" s="10"/>
      <c r="D507" s="10"/>
      <c r="E507">
        <f t="shared" si="33"/>
        <v>0.25</v>
      </c>
      <c r="F507">
        <f t="shared" si="35"/>
        <v>-0.25</v>
      </c>
      <c r="G507">
        <f t="shared" si="36"/>
        <v>6.25E-2</v>
      </c>
    </row>
    <row r="508" spans="1:7">
      <c r="A508">
        <v>498</v>
      </c>
      <c r="B508">
        <f t="shared" si="34"/>
        <v>0</v>
      </c>
      <c r="C508" s="10"/>
      <c r="D508" s="10"/>
      <c r="E508">
        <f t="shared" si="33"/>
        <v>0.25</v>
      </c>
      <c r="F508">
        <f t="shared" si="35"/>
        <v>-0.25</v>
      </c>
      <c r="G508">
        <f t="shared" si="36"/>
        <v>6.25E-2</v>
      </c>
    </row>
    <row r="509" spans="1:7">
      <c r="A509">
        <v>499</v>
      </c>
      <c r="B509">
        <f t="shared" si="34"/>
        <v>0</v>
      </c>
      <c r="C509" s="10"/>
      <c r="D509" s="10"/>
      <c r="E509">
        <f t="shared" si="33"/>
        <v>0.25</v>
      </c>
      <c r="F509">
        <f t="shared" si="35"/>
        <v>-0.25</v>
      </c>
      <c r="G509">
        <f t="shared" si="36"/>
        <v>6.25E-2</v>
      </c>
    </row>
    <row r="510" spans="1:7">
      <c r="A510">
        <v>500</v>
      </c>
      <c r="B510">
        <f t="shared" si="34"/>
        <v>0</v>
      </c>
      <c r="C510" s="10"/>
      <c r="D510" s="10"/>
      <c r="E510">
        <f t="shared" si="33"/>
        <v>0.25</v>
      </c>
      <c r="F510">
        <f t="shared" si="35"/>
        <v>-0.25</v>
      </c>
      <c r="G510">
        <f t="shared" si="36"/>
        <v>6.25E-2</v>
      </c>
    </row>
    <row r="511" spans="1:7">
      <c r="A511">
        <v>501</v>
      </c>
      <c r="B511">
        <f t="shared" si="34"/>
        <v>0</v>
      </c>
      <c r="C511" s="10"/>
      <c r="D511" s="10"/>
      <c r="E511">
        <f t="shared" si="33"/>
        <v>0.25</v>
      </c>
      <c r="F511">
        <f t="shared" si="35"/>
        <v>-0.25</v>
      </c>
      <c r="G511">
        <f t="shared" si="36"/>
        <v>6.25E-2</v>
      </c>
    </row>
    <row r="512" spans="1:7">
      <c r="A512">
        <v>502</v>
      </c>
      <c r="B512">
        <f t="shared" si="34"/>
        <v>0</v>
      </c>
      <c r="C512" s="10"/>
      <c r="D512" s="10"/>
      <c r="E512">
        <f t="shared" si="33"/>
        <v>0.25</v>
      </c>
      <c r="F512">
        <f t="shared" si="35"/>
        <v>-0.25</v>
      </c>
      <c r="G512">
        <f t="shared" si="36"/>
        <v>6.25E-2</v>
      </c>
    </row>
    <row r="513" spans="1:7">
      <c r="A513">
        <v>503</v>
      </c>
      <c r="B513">
        <f t="shared" si="34"/>
        <v>0</v>
      </c>
      <c r="C513" s="10"/>
      <c r="D513" s="10"/>
      <c r="E513">
        <f t="shared" si="33"/>
        <v>0.25</v>
      </c>
      <c r="F513">
        <f t="shared" si="35"/>
        <v>-0.25</v>
      </c>
      <c r="G513">
        <f t="shared" si="36"/>
        <v>6.25E-2</v>
      </c>
    </row>
    <row r="514" spans="1:7">
      <c r="A514">
        <v>504</v>
      </c>
      <c r="B514">
        <f t="shared" si="34"/>
        <v>0</v>
      </c>
      <c r="C514" s="10"/>
      <c r="D514" s="10"/>
      <c r="E514">
        <f t="shared" si="33"/>
        <v>0.25</v>
      </c>
      <c r="F514">
        <f t="shared" si="35"/>
        <v>-0.25</v>
      </c>
      <c r="G514">
        <f t="shared" si="36"/>
        <v>6.25E-2</v>
      </c>
    </row>
    <row r="515" spans="1:7">
      <c r="A515">
        <v>505</v>
      </c>
      <c r="B515">
        <f t="shared" si="34"/>
        <v>0</v>
      </c>
      <c r="C515" s="10"/>
      <c r="D515" s="10"/>
      <c r="E515">
        <f t="shared" si="33"/>
        <v>0.25</v>
      </c>
      <c r="F515">
        <f t="shared" si="35"/>
        <v>-0.25</v>
      </c>
      <c r="G515">
        <f t="shared" si="36"/>
        <v>6.25E-2</v>
      </c>
    </row>
    <row r="516" spans="1:7">
      <c r="A516">
        <v>506</v>
      </c>
      <c r="B516">
        <f t="shared" si="34"/>
        <v>0</v>
      </c>
      <c r="C516" s="10"/>
      <c r="D516" s="10"/>
      <c r="E516">
        <f t="shared" si="33"/>
        <v>0.25</v>
      </c>
      <c r="F516">
        <f t="shared" si="35"/>
        <v>-0.25</v>
      </c>
      <c r="G516">
        <f t="shared" si="36"/>
        <v>6.25E-2</v>
      </c>
    </row>
    <row r="517" spans="1:7">
      <c r="A517">
        <v>507</v>
      </c>
      <c r="B517">
        <f t="shared" si="34"/>
        <v>0</v>
      </c>
      <c r="C517" s="10"/>
      <c r="D517" s="10"/>
      <c r="E517">
        <f t="shared" si="33"/>
        <v>0.25</v>
      </c>
      <c r="F517">
        <f t="shared" si="35"/>
        <v>-0.25</v>
      </c>
      <c r="G517">
        <f t="shared" si="36"/>
        <v>6.25E-2</v>
      </c>
    </row>
    <row r="518" spans="1:7">
      <c r="A518">
        <v>508</v>
      </c>
      <c r="B518">
        <f t="shared" si="34"/>
        <v>0</v>
      </c>
      <c r="C518" s="10"/>
      <c r="D518" s="10"/>
      <c r="E518">
        <f t="shared" si="33"/>
        <v>0.25</v>
      </c>
      <c r="F518">
        <f t="shared" si="35"/>
        <v>-0.25</v>
      </c>
      <c r="G518">
        <f t="shared" si="36"/>
        <v>6.25E-2</v>
      </c>
    </row>
    <row r="519" spans="1:7">
      <c r="A519">
        <v>509</v>
      </c>
      <c r="B519">
        <f t="shared" si="34"/>
        <v>0</v>
      </c>
      <c r="C519" s="10"/>
      <c r="D519" s="10"/>
      <c r="E519">
        <f t="shared" si="33"/>
        <v>0.25</v>
      </c>
      <c r="F519">
        <f t="shared" si="35"/>
        <v>-0.25</v>
      </c>
      <c r="G519">
        <f t="shared" si="36"/>
        <v>6.25E-2</v>
      </c>
    </row>
    <row r="520" spans="1:7">
      <c r="A520">
        <v>510</v>
      </c>
      <c r="B520">
        <f t="shared" si="34"/>
        <v>0</v>
      </c>
      <c r="C520" s="10"/>
      <c r="D520" s="10"/>
      <c r="E520">
        <f t="shared" si="33"/>
        <v>0.25</v>
      </c>
      <c r="F520">
        <f t="shared" si="35"/>
        <v>-0.25</v>
      </c>
      <c r="G520">
        <f t="shared" si="36"/>
        <v>6.25E-2</v>
      </c>
    </row>
    <row r="521" spans="1:7">
      <c r="A521">
        <v>511</v>
      </c>
      <c r="B521">
        <f t="shared" si="34"/>
        <v>0</v>
      </c>
      <c r="C521" s="10"/>
      <c r="D521" s="10"/>
      <c r="E521">
        <f t="shared" si="33"/>
        <v>0.25</v>
      </c>
      <c r="F521">
        <f t="shared" si="35"/>
        <v>-0.25</v>
      </c>
      <c r="G521">
        <f t="shared" si="36"/>
        <v>6.25E-2</v>
      </c>
    </row>
    <row r="522" spans="1:7">
      <c r="A522">
        <v>512</v>
      </c>
      <c r="B522">
        <f t="shared" si="34"/>
        <v>0</v>
      </c>
      <c r="C522" s="10"/>
      <c r="D522" s="10"/>
      <c r="E522">
        <f t="shared" si="33"/>
        <v>0.25</v>
      </c>
      <c r="F522">
        <f t="shared" si="35"/>
        <v>-0.25</v>
      </c>
      <c r="G522">
        <f t="shared" si="36"/>
        <v>6.25E-2</v>
      </c>
    </row>
    <row r="523" spans="1:7">
      <c r="A523">
        <v>513</v>
      </c>
      <c r="B523">
        <f t="shared" si="34"/>
        <v>0</v>
      </c>
      <c r="C523" s="10"/>
      <c r="D523" s="10"/>
      <c r="E523">
        <f t="shared" ref="E523:E586" si="37">BaseAdjust+(ampl1*EXP(-gamma1*C523)+ampl2*EXP(-gamma2*C523)+ampl3*EXP(-gamma3*C523))^2</f>
        <v>0.25</v>
      </c>
      <c r="F523">
        <f t="shared" si="35"/>
        <v>-0.25</v>
      </c>
      <c r="G523">
        <f t="shared" si="36"/>
        <v>6.25E-2</v>
      </c>
    </row>
    <row r="524" spans="1:7">
      <c r="A524">
        <v>514</v>
      </c>
      <c r="B524">
        <f t="shared" ref="B524:B587" si="38">C524/1000</f>
        <v>0</v>
      </c>
      <c r="C524" s="10"/>
      <c r="D524" s="10"/>
      <c r="E524">
        <f t="shared" si="37"/>
        <v>0.25</v>
      </c>
      <c r="F524">
        <f t="shared" ref="F524:F587" si="39">D524-E524</f>
        <v>-0.25</v>
      </c>
      <c r="G524">
        <f t="shared" ref="G524:G587" si="40">F524^2</f>
        <v>6.25E-2</v>
      </c>
    </row>
    <row r="525" spans="1:7">
      <c r="A525">
        <v>515</v>
      </c>
      <c r="B525">
        <f t="shared" si="38"/>
        <v>0</v>
      </c>
      <c r="C525" s="10"/>
      <c r="D525" s="10"/>
      <c r="E525">
        <f t="shared" si="37"/>
        <v>0.25</v>
      </c>
      <c r="F525">
        <f t="shared" si="39"/>
        <v>-0.25</v>
      </c>
      <c r="G525">
        <f t="shared" si="40"/>
        <v>6.25E-2</v>
      </c>
    </row>
    <row r="526" spans="1:7">
      <c r="A526">
        <v>516</v>
      </c>
      <c r="B526">
        <f t="shared" si="38"/>
        <v>0</v>
      </c>
      <c r="C526" s="10"/>
      <c r="D526" s="10"/>
      <c r="E526">
        <f t="shared" si="37"/>
        <v>0.25</v>
      </c>
      <c r="F526">
        <f t="shared" si="39"/>
        <v>-0.25</v>
      </c>
      <c r="G526">
        <f t="shared" si="40"/>
        <v>6.25E-2</v>
      </c>
    </row>
    <row r="527" spans="1:7">
      <c r="A527">
        <v>517</v>
      </c>
      <c r="B527">
        <f t="shared" si="38"/>
        <v>0</v>
      </c>
      <c r="C527" s="10"/>
      <c r="D527" s="10"/>
      <c r="E527">
        <f t="shared" si="37"/>
        <v>0.25</v>
      </c>
      <c r="F527">
        <f t="shared" si="39"/>
        <v>-0.25</v>
      </c>
      <c r="G527">
        <f t="shared" si="40"/>
        <v>6.25E-2</v>
      </c>
    </row>
    <row r="528" spans="1:7">
      <c r="A528">
        <v>518</v>
      </c>
      <c r="B528">
        <f t="shared" si="38"/>
        <v>0</v>
      </c>
      <c r="C528" s="10"/>
      <c r="D528" s="10"/>
      <c r="E528">
        <f t="shared" si="37"/>
        <v>0.25</v>
      </c>
      <c r="F528">
        <f t="shared" si="39"/>
        <v>-0.25</v>
      </c>
      <c r="G528">
        <f t="shared" si="40"/>
        <v>6.25E-2</v>
      </c>
    </row>
    <row r="529" spans="1:7">
      <c r="A529">
        <v>519</v>
      </c>
      <c r="B529">
        <f t="shared" si="38"/>
        <v>0</v>
      </c>
      <c r="C529" s="10"/>
      <c r="D529" s="10"/>
      <c r="E529">
        <f t="shared" si="37"/>
        <v>0.25</v>
      </c>
      <c r="F529">
        <f t="shared" si="39"/>
        <v>-0.25</v>
      </c>
      <c r="G529">
        <f t="shared" si="40"/>
        <v>6.25E-2</v>
      </c>
    </row>
    <row r="530" spans="1:7">
      <c r="A530">
        <v>520</v>
      </c>
      <c r="B530">
        <f t="shared" si="38"/>
        <v>0</v>
      </c>
      <c r="C530" s="10"/>
      <c r="D530" s="10"/>
      <c r="E530">
        <f t="shared" si="37"/>
        <v>0.25</v>
      </c>
      <c r="F530">
        <f t="shared" si="39"/>
        <v>-0.25</v>
      </c>
      <c r="G530">
        <f t="shared" si="40"/>
        <v>6.25E-2</v>
      </c>
    </row>
    <row r="531" spans="1:7">
      <c r="A531">
        <v>521</v>
      </c>
      <c r="B531">
        <f t="shared" si="38"/>
        <v>0</v>
      </c>
      <c r="C531" s="10"/>
      <c r="D531" s="10"/>
      <c r="E531">
        <f t="shared" si="37"/>
        <v>0.25</v>
      </c>
      <c r="F531">
        <f t="shared" si="39"/>
        <v>-0.25</v>
      </c>
      <c r="G531">
        <f t="shared" si="40"/>
        <v>6.25E-2</v>
      </c>
    </row>
    <row r="532" spans="1:7">
      <c r="A532">
        <v>522</v>
      </c>
      <c r="B532">
        <f t="shared" si="38"/>
        <v>0</v>
      </c>
      <c r="C532" s="10"/>
      <c r="D532" s="10"/>
      <c r="E532">
        <f t="shared" si="37"/>
        <v>0.25</v>
      </c>
      <c r="F532">
        <f t="shared" si="39"/>
        <v>-0.25</v>
      </c>
      <c r="G532">
        <f t="shared" si="40"/>
        <v>6.25E-2</v>
      </c>
    </row>
    <row r="533" spans="1:7">
      <c r="A533">
        <v>523</v>
      </c>
      <c r="B533">
        <f t="shared" si="38"/>
        <v>0</v>
      </c>
      <c r="C533" s="10"/>
      <c r="D533" s="10"/>
      <c r="E533">
        <f t="shared" si="37"/>
        <v>0.25</v>
      </c>
      <c r="F533">
        <f t="shared" si="39"/>
        <v>-0.25</v>
      </c>
      <c r="G533">
        <f t="shared" si="40"/>
        <v>6.25E-2</v>
      </c>
    </row>
    <row r="534" spans="1:7">
      <c r="A534">
        <v>524</v>
      </c>
      <c r="B534">
        <f t="shared" si="38"/>
        <v>0</v>
      </c>
      <c r="C534" s="10"/>
      <c r="D534" s="10"/>
      <c r="E534">
        <f t="shared" si="37"/>
        <v>0.25</v>
      </c>
      <c r="F534">
        <f t="shared" si="39"/>
        <v>-0.25</v>
      </c>
      <c r="G534">
        <f t="shared" si="40"/>
        <v>6.25E-2</v>
      </c>
    </row>
    <row r="535" spans="1:7">
      <c r="A535">
        <v>525</v>
      </c>
      <c r="B535">
        <f t="shared" si="38"/>
        <v>0</v>
      </c>
      <c r="C535" s="10"/>
      <c r="D535" s="10"/>
      <c r="E535">
        <f t="shared" si="37"/>
        <v>0.25</v>
      </c>
      <c r="F535">
        <f t="shared" si="39"/>
        <v>-0.25</v>
      </c>
      <c r="G535">
        <f t="shared" si="40"/>
        <v>6.25E-2</v>
      </c>
    </row>
    <row r="536" spans="1:7">
      <c r="A536">
        <v>526</v>
      </c>
      <c r="B536">
        <f t="shared" si="38"/>
        <v>0</v>
      </c>
      <c r="C536" s="10"/>
      <c r="D536" s="10"/>
      <c r="E536">
        <f t="shared" si="37"/>
        <v>0.25</v>
      </c>
      <c r="F536">
        <f t="shared" si="39"/>
        <v>-0.25</v>
      </c>
      <c r="G536">
        <f t="shared" si="40"/>
        <v>6.25E-2</v>
      </c>
    </row>
    <row r="537" spans="1:7">
      <c r="A537">
        <v>527</v>
      </c>
      <c r="B537">
        <f t="shared" si="38"/>
        <v>0</v>
      </c>
      <c r="C537" s="10"/>
      <c r="D537" s="10"/>
      <c r="E537">
        <f t="shared" si="37"/>
        <v>0.25</v>
      </c>
      <c r="F537">
        <f t="shared" si="39"/>
        <v>-0.25</v>
      </c>
      <c r="G537">
        <f t="shared" si="40"/>
        <v>6.25E-2</v>
      </c>
    </row>
    <row r="538" spans="1:7">
      <c r="A538">
        <v>528</v>
      </c>
      <c r="B538">
        <f t="shared" si="38"/>
        <v>0</v>
      </c>
      <c r="C538" s="10"/>
      <c r="D538" s="10"/>
      <c r="E538">
        <f t="shared" si="37"/>
        <v>0.25</v>
      </c>
      <c r="F538">
        <f t="shared" si="39"/>
        <v>-0.25</v>
      </c>
      <c r="G538">
        <f t="shared" si="40"/>
        <v>6.25E-2</v>
      </c>
    </row>
    <row r="539" spans="1:7">
      <c r="A539">
        <v>529</v>
      </c>
      <c r="B539">
        <f t="shared" si="38"/>
        <v>0</v>
      </c>
      <c r="C539" s="10"/>
      <c r="D539" s="10"/>
      <c r="E539">
        <f t="shared" si="37"/>
        <v>0.25</v>
      </c>
      <c r="F539">
        <f t="shared" si="39"/>
        <v>-0.25</v>
      </c>
      <c r="G539">
        <f t="shared" si="40"/>
        <v>6.25E-2</v>
      </c>
    </row>
    <row r="540" spans="1:7">
      <c r="A540">
        <v>530</v>
      </c>
      <c r="B540">
        <f t="shared" si="38"/>
        <v>0</v>
      </c>
      <c r="C540" s="10"/>
      <c r="D540" s="10"/>
      <c r="E540">
        <f t="shared" si="37"/>
        <v>0.25</v>
      </c>
      <c r="F540">
        <f t="shared" si="39"/>
        <v>-0.25</v>
      </c>
      <c r="G540">
        <f t="shared" si="40"/>
        <v>6.25E-2</v>
      </c>
    </row>
    <row r="541" spans="1:7">
      <c r="A541">
        <v>531</v>
      </c>
      <c r="B541">
        <f t="shared" si="38"/>
        <v>0</v>
      </c>
      <c r="C541" s="10"/>
      <c r="D541" s="10"/>
      <c r="E541">
        <f t="shared" si="37"/>
        <v>0.25</v>
      </c>
      <c r="F541">
        <f t="shared" si="39"/>
        <v>-0.25</v>
      </c>
      <c r="G541">
        <f t="shared" si="40"/>
        <v>6.25E-2</v>
      </c>
    </row>
    <row r="542" spans="1:7">
      <c r="A542">
        <v>532</v>
      </c>
      <c r="B542">
        <f t="shared" si="38"/>
        <v>0</v>
      </c>
      <c r="C542" s="10"/>
      <c r="D542" s="10"/>
      <c r="E542">
        <f t="shared" si="37"/>
        <v>0.25</v>
      </c>
      <c r="F542">
        <f t="shared" si="39"/>
        <v>-0.25</v>
      </c>
      <c r="G542">
        <f t="shared" si="40"/>
        <v>6.25E-2</v>
      </c>
    </row>
    <row r="543" spans="1:7">
      <c r="A543">
        <v>533</v>
      </c>
      <c r="B543">
        <f t="shared" si="38"/>
        <v>0</v>
      </c>
      <c r="C543" s="10"/>
      <c r="D543" s="10"/>
      <c r="E543">
        <f t="shared" si="37"/>
        <v>0.25</v>
      </c>
      <c r="F543">
        <f t="shared" si="39"/>
        <v>-0.25</v>
      </c>
      <c r="G543">
        <f t="shared" si="40"/>
        <v>6.25E-2</v>
      </c>
    </row>
    <row r="544" spans="1:7">
      <c r="A544">
        <v>534</v>
      </c>
      <c r="B544">
        <f t="shared" si="38"/>
        <v>0</v>
      </c>
      <c r="C544" s="10"/>
      <c r="D544" s="10"/>
      <c r="E544">
        <f t="shared" si="37"/>
        <v>0.25</v>
      </c>
      <c r="F544">
        <f t="shared" si="39"/>
        <v>-0.25</v>
      </c>
      <c r="G544">
        <f t="shared" si="40"/>
        <v>6.25E-2</v>
      </c>
    </row>
    <row r="545" spans="1:7">
      <c r="A545">
        <v>535</v>
      </c>
      <c r="B545">
        <f t="shared" si="38"/>
        <v>0</v>
      </c>
      <c r="C545" s="10"/>
      <c r="D545" s="10"/>
      <c r="E545">
        <f t="shared" si="37"/>
        <v>0.25</v>
      </c>
      <c r="F545">
        <f t="shared" si="39"/>
        <v>-0.25</v>
      </c>
      <c r="G545">
        <f t="shared" si="40"/>
        <v>6.25E-2</v>
      </c>
    </row>
    <row r="546" spans="1:7">
      <c r="A546">
        <v>536</v>
      </c>
      <c r="B546">
        <f t="shared" si="38"/>
        <v>0</v>
      </c>
      <c r="C546" s="10"/>
      <c r="D546" s="10"/>
      <c r="E546">
        <f t="shared" si="37"/>
        <v>0.25</v>
      </c>
      <c r="F546">
        <f t="shared" si="39"/>
        <v>-0.25</v>
      </c>
      <c r="G546">
        <f t="shared" si="40"/>
        <v>6.25E-2</v>
      </c>
    </row>
    <row r="547" spans="1:7">
      <c r="A547">
        <v>537</v>
      </c>
      <c r="B547">
        <f t="shared" si="38"/>
        <v>0</v>
      </c>
      <c r="C547" s="10"/>
      <c r="D547" s="10"/>
      <c r="E547">
        <f t="shared" si="37"/>
        <v>0.25</v>
      </c>
      <c r="F547">
        <f t="shared" si="39"/>
        <v>-0.25</v>
      </c>
      <c r="G547">
        <f t="shared" si="40"/>
        <v>6.25E-2</v>
      </c>
    </row>
    <row r="548" spans="1:7">
      <c r="A548">
        <v>538</v>
      </c>
      <c r="B548">
        <f t="shared" si="38"/>
        <v>0</v>
      </c>
      <c r="C548" s="10"/>
      <c r="D548" s="10"/>
      <c r="E548">
        <f t="shared" si="37"/>
        <v>0.25</v>
      </c>
      <c r="F548">
        <f t="shared" si="39"/>
        <v>-0.25</v>
      </c>
      <c r="G548">
        <f t="shared" si="40"/>
        <v>6.25E-2</v>
      </c>
    </row>
    <row r="549" spans="1:7">
      <c r="A549">
        <v>539</v>
      </c>
      <c r="B549">
        <f t="shared" si="38"/>
        <v>0</v>
      </c>
      <c r="C549" s="10"/>
      <c r="D549" s="10"/>
      <c r="E549">
        <f t="shared" si="37"/>
        <v>0.25</v>
      </c>
      <c r="F549">
        <f t="shared" si="39"/>
        <v>-0.25</v>
      </c>
      <c r="G549">
        <f t="shared" si="40"/>
        <v>6.25E-2</v>
      </c>
    </row>
    <row r="550" spans="1:7">
      <c r="A550">
        <v>540</v>
      </c>
      <c r="B550">
        <f t="shared" si="38"/>
        <v>0</v>
      </c>
      <c r="C550" s="10"/>
      <c r="D550" s="10"/>
      <c r="E550">
        <f t="shared" si="37"/>
        <v>0.25</v>
      </c>
      <c r="F550">
        <f t="shared" si="39"/>
        <v>-0.25</v>
      </c>
      <c r="G550">
        <f t="shared" si="40"/>
        <v>6.25E-2</v>
      </c>
    </row>
    <row r="551" spans="1:7">
      <c r="A551">
        <v>541</v>
      </c>
      <c r="B551">
        <f t="shared" si="38"/>
        <v>0</v>
      </c>
      <c r="C551" s="10"/>
      <c r="D551" s="10"/>
      <c r="E551">
        <f t="shared" si="37"/>
        <v>0.25</v>
      </c>
      <c r="F551">
        <f t="shared" si="39"/>
        <v>-0.25</v>
      </c>
      <c r="G551">
        <f t="shared" si="40"/>
        <v>6.25E-2</v>
      </c>
    </row>
    <row r="552" spans="1:7">
      <c r="A552">
        <v>542</v>
      </c>
      <c r="B552">
        <f t="shared" si="38"/>
        <v>0</v>
      </c>
      <c r="C552" s="10"/>
      <c r="D552" s="10"/>
      <c r="E552">
        <f t="shared" si="37"/>
        <v>0.25</v>
      </c>
      <c r="F552">
        <f t="shared" si="39"/>
        <v>-0.25</v>
      </c>
      <c r="G552">
        <f t="shared" si="40"/>
        <v>6.25E-2</v>
      </c>
    </row>
    <row r="553" spans="1:7">
      <c r="A553">
        <v>543</v>
      </c>
      <c r="B553">
        <f t="shared" si="38"/>
        <v>0</v>
      </c>
      <c r="C553" s="10"/>
      <c r="D553" s="10"/>
      <c r="E553">
        <f t="shared" si="37"/>
        <v>0.25</v>
      </c>
      <c r="F553">
        <f t="shared" si="39"/>
        <v>-0.25</v>
      </c>
      <c r="G553">
        <f t="shared" si="40"/>
        <v>6.25E-2</v>
      </c>
    </row>
    <row r="554" spans="1:7">
      <c r="A554">
        <v>544</v>
      </c>
      <c r="B554">
        <f t="shared" si="38"/>
        <v>0</v>
      </c>
      <c r="C554" s="10"/>
      <c r="D554" s="10"/>
      <c r="E554">
        <f t="shared" si="37"/>
        <v>0.25</v>
      </c>
      <c r="F554">
        <f t="shared" si="39"/>
        <v>-0.25</v>
      </c>
      <c r="G554">
        <f t="shared" si="40"/>
        <v>6.25E-2</v>
      </c>
    </row>
    <row r="555" spans="1:7">
      <c r="A555">
        <v>545</v>
      </c>
      <c r="B555">
        <f t="shared" si="38"/>
        <v>0</v>
      </c>
      <c r="C555" s="10"/>
      <c r="D555" s="10"/>
      <c r="E555">
        <f t="shared" si="37"/>
        <v>0.25</v>
      </c>
      <c r="F555">
        <f t="shared" si="39"/>
        <v>-0.25</v>
      </c>
      <c r="G555">
        <f t="shared" si="40"/>
        <v>6.25E-2</v>
      </c>
    </row>
    <row r="556" spans="1:7">
      <c r="A556">
        <v>546</v>
      </c>
      <c r="B556">
        <f t="shared" si="38"/>
        <v>0</v>
      </c>
      <c r="C556" s="10"/>
      <c r="D556" s="10"/>
      <c r="E556">
        <f t="shared" si="37"/>
        <v>0.25</v>
      </c>
      <c r="F556">
        <f t="shared" si="39"/>
        <v>-0.25</v>
      </c>
      <c r="G556">
        <f t="shared" si="40"/>
        <v>6.25E-2</v>
      </c>
    </row>
    <row r="557" spans="1:7">
      <c r="A557">
        <v>547</v>
      </c>
      <c r="B557">
        <f t="shared" si="38"/>
        <v>0</v>
      </c>
      <c r="C557" s="10"/>
      <c r="D557" s="10"/>
      <c r="E557">
        <f t="shared" si="37"/>
        <v>0.25</v>
      </c>
      <c r="F557">
        <f t="shared" si="39"/>
        <v>-0.25</v>
      </c>
      <c r="G557">
        <f t="shared" si="40"/>
        <v>6.25E-2</v>
      </c>
    </row>
    <row r="558" spans="1:7">
      <c r="A558">
        <v>548</v>
      </c>
      <c r="B558">
        <f t="shared" si="38"/>
        <v>0</v>
      </c>
      <c r="C558" s="10"/>
      <c r="D558" s="10"/>
      <c r="E558">
        <f t="shared" si="37"/>
        <v>0.25</v>
      </c>
      <c r="F558">
        <f t="shared" si="39"/>
        <v>-0.25</v>
      </c>
      <c r="G558">
        <f t="shared" si="40"/>
        <v>6.25E-2</v>
      </c>
    </row>
    <row r="559" spans="1:7">
      <c r="A559">
        <v>549</v>
      </c>
      <c r="B559">
        <f t="shared" si="38"/>
        <v>0</v>
      </c>
      <c r="C559" s="10"/>
      <c r="D559" s="10"/>
      <c r="E559">
        <f t="shared" si="37"/>
        <v>0.25</v>
      </c>
      <c r="F559">
        <f t="shared" si="39"/>
        <v>-0.25</v>
      </c>
      <c r="G559">
        <f t="shared" si="40"/>
        <v>6.25E-2</v>
      </c>
    </row>
    <row r="560" spans="1:7">
      <c r="A560">
        <v>550</v>
      </c>
      <c r="B560">
        <f t="shared" si="38"/>
        <v>0</v>
      </c>
      <c r="C560" s="10"/>
      <c r="D560" s="10"/>
      <c r="E560">
        <f t="shared" si="37"/>
        <v>0.25</v>
      </c>
      <c r="F560">
        <f t="shared" si="39"/>
        <v>-0.25</v>
      </c>
      <c r="G560">
        <f t="shared" si="40"/>
        <v>6.25E-2</v>
      </c>
    </row>
    <row r="561" spans="1:7">
      <c r="A561">
        <v>551</v>
      </c>
      <c r="B561">
        <f t="shared" si="38"/>
        <v>0</v>
      </c>
      <c r="C561" s="10"/>
      <c r="D561" s="10"/>
      <c r="E561">
        <f t="shared" si="37"/>
        <v>0.25</v>
      </c>
      <c r="F561">
        <f t="shared" si="39"/>
        <v>-0.25</v>
      </c>
      <c r="G561">
        <f t="shared" si="40"/>
        <v>6.25E-2</v>
      </c>
    </row>
    <row r="562" spans="1:7">
      <c r="A562">
        <v>552</v>
      </c>
      <c r="B562">
        <f t="shared" si="38"/>
        <v>0</v>
      </c>
      <c r="C562" s="10"/>
      <c r="D562" s="10"/>
      <c r="E562">
        <f t="shared" si="37"/>
        <v>0.25</v>
      </c>
      <c r="F562">
        <f t="shared" si="39"/>
        <v>-0.25</v>
      </c>
      <c r="G562">
        <f t="shared" si="40"/>
        <v>6.25E-2</v>
      </c>
    </row>
    <row r="563" spans="1:7">
      <c r="A563">
        <v>553</v>
      </c>
      <c r="B563">
        <f t="shared" si="38"/>
        <v>0</v>
      </c>
      <c r="C563" s="10"/>
      <c r="D563" s="10"/>
      <c r="E563">
        <f t="shared" si="37"/>
        <v>0.25</v>
      </c>
      <c r="F563">
        <f t="shared" si="39"/>
        <v>-0.25</v>
      </c>
      <c r="G563">
        <f t="shared" si="40"/>
        <v>6.25E-2</v>
      </c>
    </row>
    <row r="564" spans="1:7">
      <c r="A564">
        <v>554</v>
      </c>
      <c r="B564">
        <f t="shared" si="38"/>
        <v>0</v>
      </c>
      <c r="C564" s="10"/>
      <c r="D564" s="10"/>
      <c r="E564">
        <f t="shared" si="37"/>
        <v>0.25</v>
      </c>
      <c r="F564">
        <f t="shared" si="39"/>
        <v>-0.25</v>
      </c>
      <c r="G564">
        <f t="shared" si="40"/>
        <v>6.25E-2</v>
      </c>
    </row>
    <row r="565" spans="1:7">
      <c r="A565">
        <v>555</v>
      </c>
      <c r="B565">
        <f t="shared" si="38"/>
        <v>0</v>
      </c>
      <c r="C565" s="10"/>
      <c r="D565" s="10"/>
      <c r="E565">
        <f t="shared" si="37"/>
        <v>0.25</v>
      </c>
      <c r="F565">
        <f t="shared" si="39"/>
        <v>-0.25</v>
      </c>
      <c r="G565">
        <f t="shared" si="40"/>
        <v>6.25E-2</v>
      </c>
    </row>
    <row r="566" spans="1:7">
      <c r="A566">
        <v>556</v>
      </c>
      <c r="B566">
        <f t="shared" si="38"/>
        <v>0</v>
      </c>
      <c r="C566" s="10"/>
      <c r="D566" s="10"/>
      <c r="E566">
        <f t="shared" si="37"/>
        <v>0.25</v>
      </c>
      <c r="F566">
        <f t="shared" si="39"/>
        <v>-0.25</v>
      </c>
      <c r="G566">
        <f t="shared" si="40"/>
        <v>6.25E-2</v>
      </c>
    </row>
    <row r="567" spans="1:7">
      <c r="A567">
        <v>557</v>
      </c>
      <c r="B567">
        <f t="shared" si="38"/>
        <v>0</v>
      </c>
      <c r="C567" s="10"/>
      <c r="D567" s="10"/>
      <c r="E567">
        <f t="shared" si="37"/>
        <v>0.25</v>
      </c>
      <c r="F567">
        <f t="shared" si="39"/>
        <v>-0.25</v>
      </c>
      <c r="G567">
        <f t="shared" si="40"/>
        <v>6.25E-2</v>
      </c>
    </row>
    <row r="568" spans="1:7">
      <c r="A568">
        <v>558</v>
      </c>
      <c r="B568">
        <f t="shared" si="38"/>
        <v>0</v>
      </c>
      <c r="C568" s="10"/>
      <c r="D568" s="10"/>
      <c r="E568">
        <f t="shared" si="37"/>
        <v>0.25</v>
      </c>
      <c r="F568">
        <f t="shared" si="39"/>
        <v>-0.25</v>
      </c>
      <c r="G568">
        <f t="shared" si="40"/>
        <v>6.25E-2</v>
      </c>
    </row>
    <row r="569" spans="1:7">
      <c r="A569">
        <v>559</v>
      </c>
      <c r="B569">
        <f t="shared" si="38"/>
        <v>0</v>
      </c>
      <c r="C569" s="10"/>
      <c r="D569" s="10"/>
      <c r="E569">
        <f t="shared" si="37"/>
        <v>0.25</v>
      </c>
      <c r="F569">
        <f t="shared" si="39"/>
        <v>-0.25</v>
      </c>
      <c r="G569">
        <f t="shared" si="40"/>
        <v>6.25E-2</v>
      </c>
    </row>
    <row r="570" spans="1:7">
      <c r="A570">
        <v>560</v>
      </c>
      <c r="B570">
        <f t="shared" si="38"/>
        <v>0</v>
      </c>
      <c r="C570" s="10"/>
      <c r="D570" s="10"/>
      <c r="E570">
        <f t="shared" si="37"/>
        <v>0.25</v>
      </c>
      <c r="F570">
        <f t="shared" si="39"/>
        <v>-0.25</v>
      </c>
      <c r="G570">
        <f t="shared" si="40"/>
        <v>6.25E-2</v>
      </c>
    </row>
    <row r="571" spans="1:7">
      <c r="A571">
        <v>561</v>
      </c>
      <c r="B571">
        <f t="shared" si="38"/>
        <v>0</v>
      </c>
      <c r="C571" s="10"/>
      <c r="D571" s="10"/>
      <c r="E571">
        <f t="shared" si="37"/>
        <v>0.25</v>
      </c>
      <c r="F571">
        <f t="shared" si="39"/>
        <v>-0.25</v>
      </c>
      <c r="G571">
        <f t="shared" si="40"/>
        <v>6.25E-2</v>
      </c>
    </row>
    <row r="572" spans="1:7">
      <c r="A572">
        <v>562</v>
      </c>
      <c r="B572">
        <f t="shared" si="38"/>
        <v>0</v>
      </c>
      <c r="C572" s="10"/>
      <c r="D572" s="10"/>
      <c r="E572">
        <f t="shared" si="37"/>
        <v>0.25</v>
      </c>
      <c r="F572">
        <f t="shared" si="39"/>
        <v>-0.25</v>
      </c>
      <c r="G572">
        <f t="shared" si="40"/>
        <v>6.25E-2</v>
      </c>
    </row>
    <row r="573" spans="1:7">
      <c r="A573">
        <v>563</v>
      </c>
      <c r="B573">
        <f t="shared" si="38"/>
        <v>0</v>
      </c>
      <c r="C573" s="10"/>
      <c r="D573" s="10"/>
      <c r="E573">
        <f t="shared" si="37"/>
        <v>0.25</v>
      </c>
      <c r="F573">
        <f t="shared" si="39"/>
        <v>-0.25</v>
      </c>
      <c r="G573">
        <f t="shared" si="40"/>
        <v>6.25E-2</v>
      </c>
    </row>
    <row r="574" spans="1:7">
      <c r="A574">
        <v>564</v>
      </c>
      <c r="B574">
        <f t="shared" si="38"/>
        <v>0</v>
      </c>
      <c r="C574" s="10"/>
      <c r="D574" s="10"/>
      <c r="E574">
        <f t="shared" si="37"/>
        <v>0.25</v>
      </c>
      <c r="F574">
        <f t="shared" si="39"/>
        <v>-0.25</v>
      </c>
      <c r="G574">
        <f t="shared" si="40"/>
        <v>6.25E-2</v>
      </c>
    </row>
    <row r="575" spans="1:7">
      <c r="A575">
        <v>565</v>
      </c>
      <c r="B575">
        <f t="shared" si="38"/>
        <v>0</v>
      </c>
      <c r="C575" s="10"/>
      <c r="D575" s="10"/>
      <c r="E575">
        <f t="shared" si="37"/>
        <v>0.25</v>
      </c>
      <c r="F575">
        <f t="shared" si="39"/>
        <v>-0.25</v>
      </c>
      <c r="G575">
        <f t="shared" si="40"/>
        <v>6.25E-2</v>
      </c>
    </row>
    <row r="576" spans="1:7">
      <c r="A576">
        <v>566</v>
      </c>
      <c r="B576">
        <f t="shared" si="38"/>
        <v>0</v>
      </c>
      <c r="C576" s="10"/>
      <c r="D576" s="10"/>
      <c r="E576">
        <f t="shared" si="37"/>
        <v>0.25</v>
      </c>
      <c r="F576">
        <f t="shared" si="39"/>
        <v>-0.25</v>
      </c>
      <c r="G576">
        <f t="shared" si="40"/>
        <v>6.25E-2</v>
      </c>
    </row>
    <row r="577" spans="1:7">
      <c r="A577">
        <v>567</v>
      </c>
      <c r="B577">
        <f t="shared" si="38"/>
        <v>0</v>
      </c>
      <c r="C577" s="10"/>
      <c r="D577" s="10"/>
      <c r="E577">
        <f t="shared" si="37"/>
        <v>0.25</v>
      </c>
      <c r="F577">
        <f t="shared" si="39"/>
        <v>-0.25</v>
      </c>
      <c r="G577">
        <f t="shared" si="40"/>
        <v>6.25E-2</v>
      </c>
    </row>
    <row r="578" spans="1:7">
      <c r="A578">
        <v>568</v>
      </c>
      <c r="B578">
        <f t="shared" si="38"/>
        <v>0</v>
      </c>
      <c r="C578" s="10"/>
      <c r="D578" s="10"/>
      <c r="E578">
        <f t="shared" si="37"/>
        <v>0.25</v>
      </c>
      <c r="F578">
        <f t="shared" si="39"/>
        <v>-0.25</v>
      </c>
      <c r="G578">
        <f t="shared" si="40"/>
        <v>6.25E-2</v>
      </c>
    </row>
    <row r="579" spans="1:7">
      <c r="A579">
        <v>569</v>
      </c>
      <c r="B579">
        <f t="shared" si="38"/>
        <v>0</v>
      </c>
      <c r="C579" s="10"/>
      <c r="D579" s="10"/>
      <c r="E579">
        <f t="shared" si="37"/>
        <v>0.25</v>
      </c>
      <c r="F579">
        <f t="shared" si="39"/>
        <v>-0.25</v>
      </c>
      <c r="G579">
        <f t="shared" si="40"/>
        <v>6.25E-2</v>
      </c>
    </row>
    <row r="580" spans="1:7">
      <c r="A580">
        <v>570</v>
      </c>
      <c r="B580">
        <f t="shared" si="38"/>
        <v>0</v>
      </c>
      <c r="C580" s="10"/>
      <c r="D580" s="10"/>
      <c r="E580">
        <f t="shared" si="37"/>
        <v>0.25</v>
      </c>
      <c r="F580">
        <f t="shared" si="39"/>
        <v>-0.25</v>
      </c>
      <c r="G580">
        <f t="shared" si="40"/>
        <v>6.25E-2</v>
      </c>
    </row>
    <row r="581" spans="1:7">
      <c r="A581">
        <v>571</v>
      </c>
      <c r="B581">
        <f t="shared" si="38"/>
        <v>0</v>
      </c>
      <c r="C581" s="10"/>
      <c r="D581" s="10"/>
      <c r="E581">
        <f t="shared" si="37"/>
        <v>0.25</v>
      </c>
      <c r="F581">
        <f t="shared" si="39"/>
        <v>-0.25</v>
      </c>
      <c r="G581">
        <f t="shared" si="40"/>
        <v>6.25E-2</v>
      </c>
    </row>
    <row r="582" spans="1:7">
      <c r="A582">
        <v>572</v>
      </c>
      <c r="B582">
        <f t="shared" si="38"/>
        <v>0</v>
      </c>
      <c r="C582" s="10"/>
      <c r="D582" s="10"/>
      <c r="E582">
        <f t="shared" si="37"/>
        <v>0.25</v>
      </c>
      <c r="F582">
        <f t="shared" si="39"/>
        <v>-0.25</v>
      </c>
      <c r="G582">
        <f t="shared" si="40"/>
        <v>6.25E-2</v>
      </c>
    </row>
    <row r="583" spans="1:7">
      <c r="A583">
        <v>573</v>
      </c>
      <c r="B583">
        <f t="shared" si="38"/>
        <v>0</v>
      </c>
      <c r="C583" s="10"/>
      <c r="D583" s="10"/>
      <c r="E583">
        <f t="shared" si="37"/>
        <v>0.25</v>
      </c>
      <c r="F583">
        <f t="shared" si="39"/>
        <v>-0.25</v>
      </c>
      <c r="G583">
        <f t="shared" si="40"/>
        <v>6.25E-2</v>
      </c>
    </row>
    <row r="584" spans="1:7">
      <c r="A584">
        <v>574</v>
      </c>
      <c r="B584">
        <f t="shared" si="38"/>
        <v>0</v>
      </c>
      <c r="C584" s="10"/>
      <c r="D584" s="10"/>
      <c r="E584">
        <f t="shared" si="37"/>
        <v>0.25</v>
      </c>
      <c r="F584">
        <f t="shared" si="39"/>
        <v>-0.25</v>
      </c>
      <c r="G584">
        <f t="shared" si="40"/>
        <v>6.25E-2</v>
      </c>
    </row>
    <row r="585" spans="1:7">
      <c r="A585">
        <v>575</v>
      </c>
      <c r="B585">
        <f t="shared" si="38"/>
        <v>0</v>
      </c>
      <c r="C585" s="10"/>
      <c r="D585" s="10"/>
      <c r="E585">
        <f t="shared" si="37"/>
        <v>0.25</v>
      </c>
      <c r="F585">
        <f t="shared" si="39"/>
        <v>-0.25</v>
      </c>
      <c r="G585">
        <f t="shared" si="40"/>
        <v>6.25E-2</v>
      </c>
    </row>
    <row r="586" spans="1:7">
      <c r="A586">
        <v>576</v>
      </c>
      <c r="B586">
        <f t="shared" si="38"/>
        <v>0</v>
      </c>
      <c r="C586" s="10"/>
      <c r="D586" s="10"/>
      <c r="E586">
        <f t="shared" si="37"/>
        <v>0.25</v>
      </c>
      <c r="F586">
        <f t="shared" si="39"/>
        <v>-0.25</v>
      </c>
      <c r="G586">
        <f t="shared" si="40"/>
        <v>6.25E-2</v>
      </c>
    </row>
    <row r="587" spans="1:7">
      <c r="A587">
        <v>577</v>
      </c>
      <c r="B587">
        <f t="shared" si="38"/>
        <v>0</v>
      </c>
      <c r="C587" s="10"/>
      <c r="D587" s="10"/>
      <c r="E587">
        <f t="shared" ref="E587:E610" si="41">BaseAdjust+(ampl1*EXP(-gamma1*C587)+ampl2*EXP(-gamma2*C587)+ampl3*EXP(-gamma3*C587))^2</f>
        <v>0.25</v>
      </c>
      <c r="F587">
        <f t="shared" si="39"/>
        <v>-0.25</v>
      </c>
      <c r="G587">
        <f t="shared" si="40"/>
        <v>6.25E-2</v>
      </c>
    </row>
    <row r="588" spans="1:7">
      <c r="A588">
        <v>578</v>
      </c>
      <c r="B588">
        <f t="shared" ref="B588:B610" si="42">C588/1000</f>
        <v>0</v>
      </c>
      <c r="C588" s="10"/>
      <c r="D588" s="10"/>
      <c r="E588">
        <f t="shared" si="41"/>
        <v>0.25</v>
      </c>
      <c r="F588">
        <f t="shared" ref="F588:F610" si="43">D588-E588</f>
        <v>-0.25</v>
      </c>
      <c r="G588">
        <f t="shared" ref="G588:G610" si="44">F588^2</f>
        <v>6.25E-2</v>
      </c>
    </row>
    <row r="589" spans="1:7">
      <c r="A589">
        <v>579</v>
      </c>
      <c r="B589">
        <f t="shared" si="42"/>
        <v>0</v>
      </c>
      <c r="C589" s="10"/>
      <c r="D589" s="10"/>
      <c r="E589">
        <f t="shared" si="41"/>
        <v>0.25</v>
      </c>
      <c r="F589">
        <f t="shared" si="43"/>
        <v>-0.25</v>
      </c>
      <c r="G589">
        <f t="shared" si="44"/>
        <v>6.25E-2</v>
      </c>
    </row>
    <row r="590" spans="1:7">
      <c r="A590">
        <v>580</v>
      </c>
      <c r="B590">
        <f t="shared" si="42"/>
        <v>0</v>
      </c>
      <c r="C590" s="10"/>
      <c r="D590" s="10"/>
      <c r="E590">
        <f t="shared" si="41"/>
        <v>0.25</v>
      </c>
      <c r="F590">
        <f t="shared" si="43"/>
        <v>-0.25</v>
      </c>
      <c r="G590">
        <f t="shared" si="44"/>
        <v>6.25E-2</v>
      </c>
    </row>
    <row r="591" spans="1:7">
      <c r="A591">
        <v>581</v>
      </c>
      <c r="B591">
        <f t="shared" si="42"/>
        <v>0</v>
      </c>
      <c r="C591" s="10"/>
      <c r="D591" s="10"/>
      <c r="E591">
        <f t="shared" si="41"/>
        <v>0.25</v>
      </c>
      <c r="F591">
        <f t="shared" si="43"/>
        <v>-0.25</v>
      </c>
      <c r="G591">
        <f t="shared" si="44"/>
        <v>6.25E-2</v>
      </c>
    </row>
    <row r="592" spans="1:7">
      <c r="A592">
        <v>582</v>
      </c>
      <c r="B592">
        <f t="shared" si="42"/>
        <v>0</v>
      </c>
      <c r="C592" s="10"/>
      <c r="D592" s="10"/>
      <c r="E592">
        <f t="shared" si="41"/>
        <v>0.25</v>
      </c>
      <c r="F592">
        <f t="shared" si="43"/>
        <v>-0.25</v>
      </c>
      <c r="G592">
        <f t="shared" si="44"/>
        <v>6.25E-2</v>
      </c>
    </row>
    <row r="593" spans="1:7">
      <c r="A593">
        <v>583</v>
      </c>
      <c r="B593">
        <f t="shared" si="42"/>
        <v>0</v>
      </c>
      <c r="C593" s="10"/>
      <c r="D593" s="10"/>
      <c r="E593">
        <f t="shared" si="41"/>
        <v>0.25</v>
      </c>
      <c r="F593">
        <f t="shared" si="43"/>
        <v>-0.25</v>
      </c>
      <c r="G593">
        <f t="shared" si="44"/>
        <v>6.25E-2</v>
      </c>
    </row>
    <row r="594" spans="1:7">
      <c r="A594">
        <v>584</v>
      </c>
      <c r="B594">
        <f t="shared" si="42"/>
        <v>0</v>
      </c>
      <c r="C594" s="10"/>
      <c r="D594" s="10"/>
      <c r="E594">
        <f t="shared" si="41"/>
        <v>0.25</v>
      </c>
      <c r="F594">
        <f t="shared" si="43"/>
        <v>-0.25</v>
      </c>
      <c r="G594">
        <f t="shared" si="44"/>
        <v>6.25E-2</v>
      </c>
    </row>
    <row r="595" spans="1:7">
      <c r="A595">
        <v>585</v>
      </c>
      <c r="B595">
        <f t="shared" si="42"/>
        <v>0</v>
      </c>
      <c r="C595" s="10"/>
      <c r="D595" s="10"/>
      <c r="E595">
        <f t="shared" si="41"/>
        <v>0.25</v>
      </c>
      <c r="F595">
        <f t="shared" si="43"/>
        <v>-0.25</v>
      </c>
      <c r="G595">
        <f t="shared" si="44"/>
        <v>6.25E-2</v>
      </c>
    </row>
    <row r="596" spans="1:7">
      <c r="A596">
        <v>586</v>
      </c>
      <c r="B596">
        <f t="shared" si="42"/>
        <v>0</v>
      </c>
      <c r="C596" s="10"/>
      <c r="D596" s="10"/>
      <c r="E596">
        <f t="shared" si="41"/>
        <v>0.25</v>
      </c>
      <c r="F596">
        <f t="shared" si="43"/>
        <v>-0.25</v>
      </c>
      <c r="G596">
        <f t="shared" si="44"/>
        <v>6.25E-2</v>
      </c>
    </row>
    <row r="597" spans="1:7">
      <c r="A597">
        <v>587</v>
      </c>
      <c r="B597">
        <f t="shared" si="42"/>
        <v>0</v>
      </c>
      <c r="C597" s="10"/>
      <c r="D597" s="10"/>
      <c r="E597">
        <f t="shared" si="41"/>
        <v>0.25</v>
      </c>
      <c r="F597">
        <f t="shared" si="43"/>
        <v>-0.25</v>
      </c>
      <c r="G597">
        <f t="shared" si="44"/>
        <v>6.25E-2</v>
      </c>
    </row>
    <row r="598" spans="1:7">
      <c r="A598">
        <v>588</v>
      </c>
      <c r="B598">
        <f t="shared" si="42"/>
        <v>0</v>
      </c>
      <c r="C598" s="10"/>
      <c r="D598" s="10"/>
      <c r="E598">
        <f t="shared" si="41"/>
        <v>0.25</v>
      </c>
      <c r="F598">
        <f t="shared" si="43"/>
        <v>-0.25</v>
      </c>
      <c r="G598">
        <f t="shared" si="44"/>
        <v>6.25E-2</v>
      </c>
    </row>
    <row r="599" spans="1:7">
      <c r="A599">
        <v>589</v>
      </c>
      <c r="B599">
        <f t="shared" si="42"/>
        <v>0</v>
      </c>
      <c r="C599" s="10"/>
      <c r="D599" s="10"/>
      <c r="E599">
        <f t="shared" si="41"/>
        <v>0.25</v>
      </c>
      <c r="F599">
        <f t="shared" si="43"/>
        <v>-0.25</v>
      </c>
      <c r="G599">
        <f t="shared" si="44"/>
        <v>6.25E-2</v>
      </c>
    </row>
    <row r="600" spans="1:7">
      <c r="A600">
        <v>590</v>
      </c>
      <c r="B600">
        <f t="shared" si="42"/>
        <v>0</v>
      </c>
      <c r="C600" s="10"/>
      <c r="D600" s="10"/>
      <c r="E600">
        <f t="shared" si="41"/>
        <v>0.25</v>
      </c>
      <c r="F600">
        <f t="shared" si="43"/>
        <v>-0.25</v>
      </c>
      <c r="G600">
        <f t="shared" si="44"/>
        <v>6.25E-2</v>
      </c>
    </row>
    <row r="601" spans="1:7">
      <c r="A601">
        <v>591</v>
      </c>
      <c r="B601">
        <f t="shared" si="42"/>
        <v>0</v>
      </c>
      <c r="C601" s="10"/>
      <c r="D601" s="10"/>
      <c r="E601">
        <f t="shared" si="41"/>
        <v>0.25</v>
      </c>
      <c r="F601">
        <f t="shared" si="43"/>
        <v>-0.25</v>
      </c>
      <c r="G601">
        <f t="shared" si="44"/>
        <v>6.25E-2</v>
      </c>
    </row>
    <row r="602" spans="1:7">
      <c r="A602">
        <v>592</v>
      </c>
      <c r="B602">
        <f t="shared" si="42"/>
        <v>0</v>
      </c>
      <c r="C602" s="10"/>
      <c r="D602" s="10"/>
      <c r="E602">
        <f t="shared" si="41"/>
        <v>0.25</v>
      </c>
      <c r="F602">
        <f t="shared" si="43"/>
        <v>-0.25</v>
      </c>
      <c r="G602">
        <f t="shared" si="44"/>
        <v>6.25E-2</v>
      </c>
    </row>
    <row r="603" spans="1:7">
      <c r="A603">
        <v>593</v>
      </c>
      <c r="B603">
        <f t="shared" si="42"/>
        <v>0</v>
      </c>
      <c r="C603" s="10"/>
      <c r="D603" s="10"/>
      <c r="E603">
        <f t="shared" si="41"/>
        <v>0.25</v>
      </c>
      <c r="F603">
        <f t="shared" si="43"/>
        <v>-0.25</v>
      </c>
      <c r="G603">
        <f t="shared" si="44"/>
        <v>6.25E-2</v>
      </c>
    </row>
    <row r="604" spans="1:7">
      <c r="A604">
        <v>594</v>
      </c>
      <c r="B604">
        <f t="shared" si="42"/>
        <v>0</v>
      </c>
      <c r="C604" s="10"/>
      <c r="D604" s="10"/>
      <c r="E604">
        <f t="shared" si="41"/>
        <v>0.25</v>
      </c>
      <c r="F604">
        <f t="shared" si="43"/>
        <v>-0.25</v>
      </c>
      <c r="G604">
        <f t="shared" si="44"/>
        <v>6.25E-2</v>
      </c>
    </row>
    <row r="605" spans="1:7">
      <c r="A605">
        <v>595</v>
      </c>
      <c r="B605">
        <f t="shared" si="42"/>
        <v>0</v>
      </c>
      <c r="C605" s="10"/>
      <c r="D605" s="10"/>
      <c r="E605">
        <f t="shared" si="41"/>
        <v>0.25</v>
      </c>
      <c r="F605">
        <f t="shared" si="43"/>
        <v>-0.25</v>
      </c>
      <c r="G605">
        <f t="shared" si="44"/>
        <v>6.25E-2</v>
      </c>
    </row>
    <row r="606" spans="1:7">
      <c r="A606">
        <v>596</v>
      </c>
      <c r="B606">
        <f t="shared" si="42"/>
        <v>0</v>
      </c>
      <c r="C606" s="10"/>
      <c r="D606" s="10"/>
      <c r="E606">
        <f t="shared" si="41"/>
        <v>0.25</v>
      </c>
      <c r="F606">
        <f t="shared" si="43"/>
        <v>-0.25</v>
      </c>
      <c r="G606">
        <f t="shared" si="44"/>
        <v>6.25E-2</v>
      </c>
    </row>
    <row r="607" spans="1:7">
      <c r="A607">
        <v>597</v>
      </c>
      <c r="B607">
        <f t="shared" si="42"/>
        <v>0</v>
      </c>
      <c r="C607" s="10"/>
      <c r="D607" s="10"/>
      <c r="E607">
        <f t="shared" si="41"/>
        <v>0.25</v>
      </c>
      <c r="F607">
        <f t="shared" si="43"/>
        <v>-0.25</v>
      </c>
      <c r="G607">
        <f t="shared" si="44"/>
        <v>6.25E-2</v>
      </c>
    </row>
    <row r="608" spans="1:7">
      <c r="A608">
        <v>598</v>
      </c>
      <c r="B608">
        <f t="shared" si="42"/>
        <v>0</v>
      </c>
      <c r="C608" s="10"/>
      <c r="D608" s="10"/>
      <c r="E608">
        <f t="shared" si="41"/>
        <v>0.25</v>
      </c>
      <c r="F608">
        <f t="shared" si="43"/>
        <v>-0.25</v>
      </c>
      <c r="G608">
        <f t="shared" si="44"/>
        <v>6.25E-2</v>
      </c>
    </row>
    <row r="609" spans="1:7">
      <c r="A609">
        <v>599</v>
      </c>
      <c r="B609">
        <f t="shared" si="42"/>
        <v>0</v>
      </c>
      <c r="C609" s="10"/>
      <c r="D609" s="10"/>
      <c r="E609">
        <f t="shared" si="41"/>
        <v>0.25</v>
      </c>
      <c r="F609">
        <f t="shared" si="43"/>
        <v>-0.25</v>
      </c>
      <c r="G609">
        <f t="shared" si="44"/>
        <v>6.25E-2</v>
      </c>
    </row>
    <row r="610" spans="1:7">
      <c r="A610">
        <v>600</v>
      </c>
      <c r="B610">
        <f t="shared" si="42"/>
        <v>0</v>
      </c>
      <c r="C610" s="10"/>
      <c r="D610" s="10"/>
      <c r="E610">
        <f t="shared" si="41"/>
        <v>0.25</v>
      </c>
      <c r="F610">
        <f t="shared" si="43"/>
        <v>-0.25</v>
      </c>
      <c r="G610">
        <f t="shared" si="44"/>
        <v>6.25E-2</v>
      </c>
    </row>
  </sheetData>
  <pageMargins left="0.7" right="0.7" top="0.75" bottom="0.75" header="0.3" footer="0.3"/>
  <drawing r:id="rId1"/>
  <legacyDrawing r:id="rId2"/>
  <controls>
    <mc:AlternateContent xmlns:mc="http://schemas.openxmlformats.org/markup-compatibility/2006">
      <mc:Choice Requires="x14">
        <control shapeId="5121" r:id="rId3" name="cmdLoadAngle1">
          <controlPr defaultSize="0" autoLine="0" r:id="rId4">
            <anchor moveWithCells="1">
              <from>
                <xdr:col>14</xdr:col>
                <xdr:colOff>633413</xdr:colOff>
                <xdr:row>2</xdr:row>
                <xdr:rowOff>195263</xdr:rowOff>
              </from>
              <to>
                <xdr:col>16</xdr:col>
                <xdr:colOff>442913</xdr:colOff>
                <xdr:row>5</xdr:row>
                <xdr:rowOff>100013</xdr:rowOff>
              </to>
            </anchor>
          </controlPr>
        </control>
      </mc:Choice>
      <mc:Fallback>
        <control shapeId="5121" r:id="rId3" name="cmdLoadAngle1"/>
      </mc:Fallback>
    </mc:AlternateContent>
    <mc:AlternateContent xmlns:mc="http://schemas.openxmlformats.org/markup-compatibility/2006">
      <mc:Choice Requires="x14">
        <control shapeId="5122" r:id="rId5" name="cmdLoadAngle2">
          <controlPr defaultSize="0" autoLine="0" r:id="rId6">
            <anchor moveWithCells="1">
              <from>
                <xdr:col>15</xdr:col>
                <xdr:colOff>0</xdr:colOff>
                <xdr:row>8</xdr:row>
                <xdr:rowOff>0</xdr:rowOff>
              </from>
              <to>
                <xdr:col>16</xdr:col>
                <xdr:colOff>466725</xdr:colOff>
                <xdr:row>10</xdr:row>
                <xdr:rowOff>104775</xdr:rowOff>
              </to>
            </anchor>
          </controlPr>
        </control>
      </mc:Choice>
      <mc:Fallback>
        <control shapeId="5122" r:id="rId5" name="cmdLoadAngle2"/>
      </mc:Fallback>
    </mc:AlternateContent>
    <mc:AlternateContent xmlns:mc="http://schemas.openxmlformats.org/markup-compatibility/2006">
      <mc:Choice Requires="x14">
        <control shapeId="5123" r:id="rId7" name="cmdLoadAngle3">
          <controlPr defaultSize="0" autoLine="0" r:id="rId8">
            <anchor moveWithCells="1">
              <from>
                <xdr:col>15</xdr:col>
                <xdr:colOff>0</xdr:colOff>
                <xdr:row>13</xdr:row>
                <xdr:rowOff>0</xdr:rowOff>
              </from>
              <to>
                <xdr:col>16</xdr:col>
                <xdr:colOff>466725</xdr:colOff>
                <xdr:row>15</xdr:row>
                <xdr:rowOff>123825</xdr:rowOff>
              </to>
            </anchor>
          </controlPr>
        </control>
      </mc:Choice>
      <mc:Fallback>
        <control shapeId="5123" r:id="rId7" name="cmdLoadAngle3"/>
      </mc:Fallback>
    </mc:AlternateContent>
    <mc:AlternateContent xmlns:mc="http://schemas.openxmlformats.org/markup-compatibility/2006">
      <mc:Choice Requires="x14">
        <control shapeId="5124" r:id="rId9" name="cmdLoadAngle4">
          <controlPr defaultSize="0" autoLine="0" r:id="rId10">
            <anchor moveWithCells="1">
              <from>
                <xdr:col>15</xdr:col>
                <xdr:colOff>0</xdr:colOff>
                <xdr:row>18</xdr:row>
                <xdr:rowOff>0</xdr:rowOff>
              </from>
              <to>
                <xdr:col>16</xdr:col>
                <xdr:colOff>466725</xdr:colOff>
                <xdr:row>20</xdr:row>
                <xdr:rowOff>123825</xdr:rowOff>
              </to>
            </anchor>
          </controlPr>
        </control>
      </mc:Choice>
      <mc:Fallback>
        <control shapeId="5124" r:id="rId9" name="cmdLoadAngle4"/>
      </mc:Fallback>
    </mc:AlternateContent>
    <mc:AlternateContent xmlns:mc="http://schemas.openxmlformats.org/markup-compatibility/2006">
      <mc:Choice Requires="x14">
        <control shapeId="5125" r:id="rId11" name="cmdLoadAngle5">
          <controlPr defaultSize="0" autoLine="0" r:id="rId12">
            <anchor moveWithCells="1">
              <from>
                <xdr:col>15</xdr:col>
                <xdr:colOff>0</xdr:colOff>
                <xdr:row>23</xdr:row>
                <xdr:rowOff>0</xdr:rowOff>
              </from>
              <to>
                <xdr:col>16</xdr:col>
                <xdr:colOff>466725</xdr:colOff>
                <xdr:row>25</xdr:row>
                <xdr:rowOff>123825</xdr:rowOff>
              </to>
            </anchor>
          </controlPr>
        </control>
      </mc:Choice>
      <mc:Fallback>
        <control shapeId="5125" r:id="rId11" name="cmdLoadAngle5"/>
      </mc:Fallback>
    </mc:AlternateContent>
    <mc:AlternateContent xmlns:mc="http://schemas.openxmlformats.org/markup-compatibility/2006">
      <mc:Choice Requires="x14">
        <control shapeId="5126" r:id="rId13" name="cmdLoadAngle6">
          <controlPr defaultSize="0" autoLine="0" r:id="rId14">
            <anchor moveWithCells="1">
              <from>
                <xdr:col>15</xdr:col>
                <xdr:colOff>0</xdr:colOff>
                <xdr:row>28</xdr:row>
                <xdr:rowOff>0</xdr:rowOff>
              </from>
              <to>
                <xdr:col>16</xdr:col>
                <xdr:colOff>466725</xdr:colOff>
                <xdr:row>30</xdr:row>
                <xdr:rowOff>123825</xdr:rowOff>
              </to>
            </anchor>
          </controlPr>
        </control>
      </mc:Choice>
      <mc:Fallback>
        <control shapeId="5126" r:id="rId13" name="cmdLoadAngle6"/>
      </mc:Fallback>
    </mc:AlternateContent>
    <mc:AlternateContent xmlns:mc="http://schemas.openxmlformats.org/markup-compatibility/2006">
      <mc:Choice Requires="x14">
        <control shapeId="5127" r:id="rId15" name="cmdLoadAngle7">
          <controlPr defaultSize="0" autoLine="0" r:id="rId16">
            <anchor moveWithCells="1">
              <from>
                <xdr:col>15</xdr:col>
                <xdr:colOff>0</xdr:colOff>
                <xdr:row>33</xdr:row>
                <xdr:rowOff>0</xdr:rowOff>
              </from>
              <to>
                <xdr:col>16</xdr:col>
                <xdr:colOff>466725</xdr:colOff>
                <xdr:row>35</xdr:row>
                <xdr:rowOff>123825</xdr:rowOff>
              </to>
            </anchor>
          </controlPr>
        </control>
      </mc:Choice>
      <mc:Fallback>
        <control shapeId="5127" r:id="rId15" name="cmdLoadAngle7"/>
      </mc:Fallback>
    </mc:AlternateContent>
    <mc:AlternateContent xmlns:mc="http://schemas.openxmlformats.org/markup-compatibility/2006">
      <mc:Choice Requires="x14">
        <control shapeId="5128" r:id="rId17" name="cmdLoadAngle8">
          <controlPr defaultSize="0" autoLine="0" r:id="rId18">
            <anchor moveWithCells="1">
              <from>
                <xdr:col>15</xdr:col>
                <xdr:colOff>0</xdr:colOff>
                <xdr:row>38</xdr:row>
                <xdr:rowOff>0</xdr:rowOff>
              </from>
              <to>
                <xdr:col>16</xdr:col>
                <xdr:colOff>466725</xdr:colOff>
                <xdr:row>40</xdr:row>
                <xdr:rowOff>123825</xdr:rowOff>
              </to>
            </anchor>
          </controlPr>
        </control>
      </mc:Choice>
      <mc:Fallback>
        <control shapeId="5128" r:id="rId17" name="cmdLoadAngle8"/>
      </mc:Fallback>
    </mc:AlternateContent>
    <mc:AlternateContent xmlns:mc="http://schemas.openxmlformats.org/markup-compatibility/2006">
      <mc:Choice Requires="x14">
        <control shapeId="5129" r:id="rId19" name="cmdResetMexpSheet">
          <controlPr defaultSize="0" autoLine="0" r:id="rId20">
            <anchor moveWithCells="1">
              <from>
                <xdr:col>13</xdr:col>
                <xdr:colOff>14288</xdr:colOff>
                <xdr:row>2</xdr:row>
                <xdr:rowOff>190500</xdr:rowOff>
              </from>
              <to>
                <xdr:col>14</xdr:col>
                <xdr:colOff>457200</xdr:colOff>
                <xdr:row>6</xdr:row>
                <xdr:rowOff>47625</xdr:rowOff>
              </to>
            </anchor>
          </controlPr>
        </control>
      </mc:Choice>
      <mc:Fallback>
        <control shapeId="5129" r:id="rId19" name="cmdResetMexpShee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A3202-3816-4560-9154-58EF366BF38A}">
  <sheetPr codeName="Sheet3"/>
  <dimension ref="A1:AK610"/>
  <sheetViews>
    <sheetView zoomScale="53" zoomScaleNormal="25" workbookViewId="0">
      <selection activeCell="U4" sqref="U4:U43"/>
    </sheetView>
  </sheetViews>
  <sheetFormatPr defaultRowHeight="14.25"/>
  <cols>
    <col min="1" max="1" width="9.06640625" bestFit="1" customWidth="1"/>
    <col min="2" max="2" width="13.265625" bestFit="1" customWidth="1"/>
    <col min="3" max="3" width="11.265625" customWidth="1"/>
    <col min="4" max="4" width="12.73046875" customWidth="1"/>
    <col min="5" max="5" width="11.796875" style="14" customWidth="1"/>
    <col min="6" max="6" width="11.59765625" style="14" customWidth="1"/>
    <col min="7" max="7" width="15.46484375" style="14" customWidth="1"/>
    <col min="8" max="8" width="9.33203125" customWidth="1"/>
    <col min="9" max="9" width="11.53125" customWidth="1"/>
    <col min="10" max="10" width="11.73046875" customWidth="1"/>
    <col min="11" max="11" width="6.796875" customWidth="1"/>
    <col min="19" max="19" width="13.265625" bestFit="1" customWidth="1"/>
    <col min="20" max="20" width="9.796875" customWidth="1"/>
    <col min="21" max="21" width="9" bestFit="1" customWidth="1"/>
    <col min="22" max="22" width="5.19921875" customWidth="1"/>
    <col min="23" max="23" width="15.1328125" customWidth="1"/>
    <col min="24" max="24" width="5.73046875" customWidth="1"/>
    <col min="25" max="25" width="5.6640625" customWidth="1"/>
    <col min="26" max="26" width="11.796875" bestFit="1" customWidth="1"/>
    <col min="29" max="29" width="6.73046875" customWidth="1"/>
    <col min="32" max="32" width="5.19921875" customWidth="1"/>
    <col min="33" max="33" width="6.73046875" customWidth="1"/>
    <col min="34" max="34" width="9.265625" customWidth="1"/>
    <col min="35" max="35" width="7.73046875" customWidth="1"/>
    <col min="36" max="36" width="6.59765625" customWidth="1"/>
  </cols>
  <sheetData>
    <row r="1" spans="1:37">
      <c r="E1"/>
      <c r="F1"/>
      <c r="G1"/>
      <c r="AJ1" t="s">
        <v>0</v>
      </c>
    </row>
    <row r="2" spans="1:37" ht="16.5">
      <c r="E2"/>
      <c r="F2"/>
      <c r="G2"/>
      <c r="AB2" t="s">
        <v>55</v>
      </c>
      <c r="AC2" t="s">
        <v>79</v>
      </c>
      <c r="AD2" s="51" t="s">
        <v>76</v>
      </c>
      <c r="AE2" s="29" t="s">
        <v>77</v>
      </c>
      <c r="AF2" s="51" t="s">
        <v>78</v>
      </c>
      <c r="AG2" s="51" t="s">
        <v>82</v>
      </c>
      <c r="AH2" t="s">
        <v>83</v>
      </c>
      <c r="AI2" t="s">
        <v>62</v>
      </c>
      <c r="AJ2" s="51" t="s">
        <v>100</v>
      </c>
      <c r="AK2" t="s">
        <v>64</v>
      </c>
    </row>
    <row r="3" spans="1:37" ht="15.75">
      <c r="E3"/>
      <c r="F3"/>
      <c r="G3"/>
      <c r="J3" s="54" t="s">
        <v>97</v>
      </c>
      <c r="K3" s="55"/>
      <c r="AA3" t="s">
        <v>48</v>
      </c>
      <c r="AB3" t="s">
        <v>85</v>
      </c>
      <c r="AC3" t="s">
        <v>84</v>
      </c>
      <c r="AD3" t="s">
        <v>54</v>
      </c>
      <c r="AE3" t="s">
        <v>86</v>
      </c>
      <c r="AF3" t="s">
        <v>87</v>
      </c>
      <c r="AG3" t="s">
        <v>88</v>
      </c>
      <c r="AH3" t="s">
        <v>58</v>
      </c>
      <c r="AI3" t="s">
        <v>65</v>
      </c>
      <c r="AJ3" t="s">
        <v>84</v>
      </c>
      <c r="AK3" t="s">
        <v>65</v>
      </c>
    </row>
    <row r="4" spans="1:37">
      <c r="B4" s="9" t="s">
        <v>34</v>
      </c>
      <c r="C4" s="10"/>
      <c r="D4" s="9" t="s">
        <v>35</v>
      </c>
      <c r="E4" s="10">
        <v>0</v>
      </c>
      <c r="F4" s="9"/>
      <c r="G4" s="9"/>
      <c r="H4" s="9"/>
      <c r="I4" s="12" t="s">
        <v>52</v>
      </c>
      <c r="J4" s="55" t="s">
        <v>96</v>
      </c>
      <c r="K4" s="55"/>
      <c r="R4" s="15" t="s">
        <v>34</v>
      </c>
      <c r="S4" s="15">
        <v>44</v>
      </c>
      <c r="T4" s="15" t="s">
        <v>35</v>
      </c>
      <c r="U4" s="15"/>
      <c r="V4" s="15"/>
      <c r="W4" s="15"/>
      <c r="X4" s="15"/>
      <c r="Y4" s="15" t="s">
        <v>52</v>
      </c>
      <c r="Z4" s="15" t="s">
        <v>96</v>
      </c>
      <c r="AA4">
        <v>1</v>
      </c>
      <c r="AB4">
        <f>S5/10000000000</f>
        <v>0.83539659571578928</v>
      </c>
      <c r="AC4" s="59">
        <f>U5</f>
        <v>0</v>
      </c>
      <c r="AD4">
        <f>U6</f>
        <v>0</v>
      </c>
      <c r="AE4">
        <f>U7</f>
        <v>0</v>
      </c>
      <c r="AF4">
        <f>U8</f>
        <v>0</v>
      </c>
      <c r="AG4">
        <f>X8</f>
        <v>0</v>
      </c>
      <c r="AH4">
        <f>10000000*AD4*1000/(AB4*10000000000)</f>
        <v>0</v>
      </c>
      <c r="AI4" s="60" t="e">
        <f t="shared" ref="AI4:AI11" si="0">kBoltz*TdegK/(6*PI()*EtaP*AH4/10000000)*10000000</f>
        <v>#DIV/0!</v>
      </c>
      <c r="AJ4" s="2" t="e">
        <f>AE4/AD4^2</f>
        <v>#DIV/0!</v>
      </c>
    </row>
    <row r="5" spans="1:37" ht="15.75">
      <c r="B5" s="9" t="s">
        <v>41</v>
      </c>
      <c r="C5" s="13">
        <f>(4*PI()*Refin*SIN(RADIANS(C4/2))/LamCM)^2</f>
        <v>0</v>
      </c>
      <c r="D5" s="27" t="s">
        <v>79</v>
      </c>
      <c r="E5" s="10">
        <v>0.3</v>
      </c>
      <c r="F5" s="9"/>
      <c r="G5" s="9" t="s">
        <v>47</v>
      </c>
      <c r="H5" s="10">
        <v>10</v>
      </c>
      <c r="I5" s="9">
        <f>H5+10</f>
        <v>20</v>
      </c>
      <c r="J5" s="55">
        <f ca="1">INDIRECT("B"&amp;I5)</f>
        <v>0</v>
      </c>
      <c r="K5" s="55">
        <v>0</v>
      </c>
      <c r="R5" s="15" t="s">
        <v>53</v>
      </c>
      <c r="S5" s="15">
        <v>8353965957.1578932</v>
      </c>
      <c r="T5" s="15" t="s">
        <v>79</v>
      </c>
      <c r="U5" s="15"/>
      <c r="V5" s="15"/>
      <c r="W5" s="15" t="s">
        <v>47</v>
      </c>
      <c r="X5" s="15">
        <v>10</v>
      </c>
      <c r="Y5" s="15">
        <v>20</v>
      </c>
      <c r="Z5" s="15">
        <f ca="1">J$5</f>
        <v>0</v>
      </c>
      <c r="AA5">
        <v>2</v>
      </c>
      <c r="AB5">
        <f>S10/10000000000</f>
        <v>1.0632573310196394</v>
      </c>
      <c r="AC5">
        <f>U10</f>
        <v>0</v>
      </c>
      <c r="AD5">
        <f>U11</f>
        <v>0</v>
      </c>
      <c r="AE5">
        <f>U12</f>
        <v>0</v>
      </c>
      <c r="AF5">
        <f>U13</f>
        <v>0</v>
      </c>
      <c r="AG5">
        <f>X13</f>
        <v>0</v>
      </c>
      <c r="AH5">
        <f t="shared" ref="AH5:AH11" si="1">10000000*AD5*1000/(AB5*10000000000)</f>
        <v>0</v>
      </c>
      <c r="AI5" s="60" t="e">
        <f t="shared" si="0"/>
        <v>#DIV/0!</v>
      </c>
      <c r="AJ5" s="2" t="e">
        <f t="shared" ref="AJ5:AJ11" si="2">AE5/AD5^2</f>
        <v>#DIV/0!</v>
      </c>
    </row>
    <row r="6" spans="1:37" ht="14.65">
      <c r="B6" s="9"/>
      <c r="C6" s="9"/>
      <c r="D6" s="25" t="s">
        <v>76</v>
      </c>
      <c r="E6" s="10">
        <v>5</v>
      </c>
      <c r="F6" s="9" t="s">
        <v>54</v>
      </c>
      <c r="G6" s="9" t="s">
        <v>51</v>
      </c>
      <c r="H6" s="10">
        <v>128</v>
      </c>
      <c r="I6" s="9">
        <f>H6+10</f>
        <v>138</v>
      </c>
      <c r="J6" s="55">
        <f ca="1">INDIRECT("B"&amp;I5)</f>
        <v>0</v>
      </c>
      <c r="K6" s="55">
        <v>0.95</v>
      </c>
      <c r="R6" s="15"/>
      <c r="S6" s="15">
        <v>8353965957.1578932</v>
      </c>
      <c r="T6" s="50" t="s">
        <v>76</v>
      </c>
      <c r="U6" s="15"/>
      <c r="V6" s="15" t="s">
        <v>54</v>
      </c>
      <c r="W6" s="15" t="s">
        <v>51</v>
      </c>
      <c r="X6" s="15">
        <v>128</v>
      </c>
      <c r="Y6" s="15">
        <v>138</v>
      </c>
      <c r="Z6" s="15">
        <f ca="1">J$7</f>
        <v>0</v>
      </c>
      <c r="AA6">
        <v>3</v>
      </c>
      <c r="AB6">
        <f>S15/10000000000</f>
        <v>1.6717113170812763</v>
      </c>
      <c r="AC6">
        <f>U15</f>
        <v>0</v>
      </c>
      <c r="AD6">
        <f>U16</f>
        <v>0</v>
      </c>
      <c r="AE6">
        <f>U17</f>
        <v>0</v>
      </c>
      <c r="AF6">
        <f>U18</f>
        <v>0</v>
      </c>
      <c r="AG6">
        <f>X18</f>
        <v>0</v>
      </c>
      <c r="AH6">
        <f t="shared" si="1"/>
        <v>0</v>
      </c>
      <c r="AI6" s="60" t="e">
        <f t="shared" si="0"/>
        <v>#DIV/0!</v>
      </c>
      <c r="AJ6" s="2" t="e">
        <f t="shared" si="2"/>
        <v>#DIV/0!</v>
      </c>
    </row>
    <row r="7" spans="1:37" ht="16.5">
      <c r="B7" s="9"/>
      <c r="C7" s="9"/>
      <c r="D7" s="26" t="s">
        <v>77</v>
      </c>
      <c r="E7" s="10">
        <v>0.1</v>
      </c>
      <c r="F7" s="9" t="s">
        <v>86</v>
      </c>
      <c r="G7" s="9"/>
      <c r="H7" s="9"/>
      <c r="I7" s="9"/>
      <c r="J7" s="55">
        <f ca="1">INDIRECT("B"&amp;I6)</f>
        <v>0</v>
      </c>
      <c r="K7" s="55">
        <v>0</v>
      </c>
      <c r="R7" s="15"/>
      <c r="S7" s="15">
        <v>8353965957.1578932</v>
      </c>
      <c r="T7" s="52" t="s">
        <v>99</v>
      </c>
      <c r="U7" s="15"/>
      <c r="V7" s="15" t="s">
        <v>89</v>
      </c>
      <c r="W7" s="15"/>
      <c r="X7" s="15"/>
      <c r="Y7" s="15"/>
      <c r="Z7" s="15"/>
      <c r="AA7">
        <v>4</v>
      </c>
      <c r="AB7">
        <f>S20/10000000000</f>
        <v>2.5109074140860783</v>
      </c>
      <c r="AC7">
        <f>U20</f>
        <v>0</v>
      </c>
      <c r="AD7">
        <f>U21</f>
        <v>0</v>
      </c>
      <c r="AE7">
        <f>U22</f>
        <v>0</v>
      </c>
      <c r="AF7">
        <f>U23</f>
        <v>0</v>
      </c>
      <c r="AG7">
        <f>X23</f>
        <v>0</v>
      </c>
      <c r="AH7">
        <f t="shared" si="1"/>
        <v>0</v>
      </c>
      <c r="AI7" s="60" t="e">
        <f t="shared" si="0"/>
        <v>#DIV/0!</v>
      </c>
      <c r="AJ7" s="2" t="e">
        <f t="shared" si="2"/>
        <v>#DIV/0!</v>
      </c>
    </row>
    <row r="8" spans="1:37" ht="16.5">
      <c r="B8" s="25"/>
      <c r="C8" s="25"/>
      <c r="D8" s="25" t="s">
        <v>78</v>
      </c>
      <c r="E8" s="10">
        <v>0</v>
      </c>
      <c r="F8" s="9" t="s">
        <v>87</v>
      </c>
      <c r="G8" s="9" t="s">
        <v>80</v>
      </c>
      <c r="H8" s="10">
        <v>0</v>
      </c>
      <c r="I8" s="9" t="s">
        <v>88</v>
      </c>
      <c r="J8" s="55">
        <f ca="1">INDIRECT("B"&amp;I6)</f>
        <v>0</v>
      </c>
      <c r="K8" s="55">
        <v>0.95</v>
      </c>
      <c r="R8" s="15"/>
      <c r="S8" s="15"/>
      <c r="T8" s="50" t="s">
        <v>78</v>
      </c>
      <c r="U8" s="15"/>
      <c r="V8" s="15" t="s">
        <v>90</v>
      </c>
      <c r="W8" s="52" t="s">
        <v>80</v>
      </c>
      <c r="X8" s="15"/>
      <c r="Y8" s="15"/>
      <c r="Z8" s="15"/>
      <c r="AA8">
        <v>5</v>
      </c>
      <c r="AB8">
        <f>S25/10000000000</f>
        <v>3.4421746169521552</v>
      </c>
      <c r="AC8">
        <f>U25</f>
        <v>0</v>
      </c>
      <c r="AD8">
        <f>U26</f>
        <v>0</v>
      </c>
      <c r="AE8">
        <f>U27</f>
        <v>0</v>
      </c>
      <c r="AF8">
        <f>U28</f>
        <v>0</v>
      </c>
      <c r="AG8">
        <f>X28</f>
        <v>0</v>
      </c>
      <c r="AH8">
        <f t="shared" si="1"/>
        <v>0</v>
      </c>
      <c r="AI8" s="60" t="e">
        <f t="shared" si="0"/>
        <v>#DIV/0!</v>
      </c>
      <c r="AJ8" s="2" t="e">
        <f t="shared" si="2"/>
        <v>#DIV/0!</v>
      </c>
    </row>
    <row r="9" spans="1:37">
      <c r="B9" s="28"/>
      <c r="C9" s="28"/>
      <c r="D9" s="28"/>
      <c r="E9" s="28"/>
      <c r="F9" s="28"/>
      <c r="G9"/>
      <c r="R9" s="16" t="s">
        <v>34</v>
      </c>
      <c r="S9" s="16">
        <v>50</v>
      </c>
      <c r="T9" s="16" t="s">
        <v>35</v>
      </c>
      <c r="U9" s="16"/>
      <c r="V9" s="16"/>
      <c r="W9" s="16"/>
      <c r="X9" s="16"/>
      <c r="Y9" s="16" t="s">
        <v>52</v>
      </c>
      <c r="Z9" s="16" t="s">
        <v>96</v>
      </c>
      <c r="AA9">
        <v>6</v>
      </c>
      <c r="AB9">
        <f>S30/10000000000</f>
        <v>4.3278623586498979</v>
      </c>
      <c r="AC9">
        <f>U30</f>
        <v>0</v>
      </c>
      <c r="AD9">
        <f>U31</f>
        <v>0</v>
      </c>
      <c r="AE9">
        <f>U32</f>
        <v>0</v>
      </c>
      <c r="AF9">
        <f>U33</f>
        <v>0</v>
      </c>
      <c r="AG9">
        <f>X33</f>
        <v>0</v>
      </c>
      <c r="AH9">
        <f t="shared" si="1"/>
        <v>0</v>
      </c>
      <c r="AI9" s="60" t="e">
        <f t="shared" si="0"/>
        <v>#DIV/0!</v>
      </c>
      <c r="AJ9" s="2" t="e">
        <f t="shared" si="2"/>
        <v>#DIV/0!</v>
      </c>
    </row>
    <row r="10" spans="1:37" ht="15.75">
      <c r="A10" t="s">
        <v>48</v>
      </c>
      <c r="B10" t="s">
        <v>42</v>
      </c>
      <c r="C10" t="s">
        <v>43</v>
      </c>
      <c r="D10" t="s">
        <v>45</v>
      </c>
      <c r="E10" t="s">
        <v>46</v>
      </c>
      <c r="F10" t="s">
        <v>50</v>
      </c>
      <c r="G10" t="s">
        <v>49</v>
      </c>
      <c r="H10" t="s">
        <v>44</v>
      </c>
      <c r="R10" s="16" t="s">
        <v>53</v>
      </c>
      <c r="S10" s="16">
        <v>10632573310.196394</v>
      </c>
      <c r="T10" s="30" t="s">
        <v>79</v>
      </c>
      <c r="U10" s="16"/>
      <c r="V10" s="16"/>
      <c r="W10" s="16" t="s">
        <v>47</v>
      </c>
      <c r="X10" s="16">
        <v>10</v>
      </c>
      <c r="Y10" s="16">
        <v>20</v>
      </c>
      <c r="Z10" s="16">
        <f ca="1">J$5</f>
        <v>0</v>
      </c>
      <c r="AA10">
        <v>7</v>
      </c>
      <c r="AB10">
        <f>S35/10000000000</f>
        <v>5.0442201469639958</v>
      </c>
      <c r="AC10">
        <f>U35</f>
        <v>0</v>
      </c>
      <c r="AD10">
        <f>U36</f>
        <v>0</v>
      </c>
      <c r="AE10">
        <f>U37</f>
        <v>0</v>
      </c>
      <c r="AF10">
        <f>U38</f>
        <v>0</v>
      </c>
      <c r="AG10">
        <f>X38</f>
        <v>0</v>
      </c>
      <c r="AH10">
        <f t="shared" si="1"/>
        <v>0</v>
      </c>
      <c r="AI10" s="60" t="e">
        <f t="shared" si="0"/>
        <v>#DIV/0!</v>
      </c>
      <c r="AJ10" s="2" t="e">
        <f t="shared" si="2"/>
        <v>#DIV/0!</v>
      </c>
    </row>
    <row r="11" spans="1:37" ht="14.65">
      <c r="A11">
        <v>1</v>
      </c>
      <c r="B11">
        <f>C11/1000</f>
        <v>0</v>
      </c>
      <c r="C11" s="11"/>
      <c r="D11" s="11"/>
      <c r="E11">
        <f>CumOffset+fcoh*EXP(-2*GammaBar*C11+mutwo*C11^2+muthree*C11^3+mufour*C11^4)</f>
        <v>0.3</v>
      </c>
      <c r="F11">
        <f>D11-E11</f>
        <v>-0.3</v>
      </c>
      <c r="G11">
        <f>F11*F11</f>
        <v>0.09</v>
      </c>
      <c r="H11">
        <f ca="1">SUM(INDIRECT("G"&amp;I5&amp;":G"&amp;I6))</f>
        <v>10.709999999999988</v>
      </c>
      <c r="R11" s="16"/>
      <c r="S11" s="16">
        <v>10632573310.196394</v>
      </c>
      <c r="T11" s="31" t="s">
        <v>76</v>
      </c>
      <c r="U11" s="16"/>
      <c r="V11" s="16" t="s">
        <v>54</v>
      </c>
      <c r="W11" s="16" t="s">
        <v>51</v>
      </c>
      <c r="X11" s="16">
        <v>128</v>
      </c>
      <c r="Y11" s="16">
        <v>138</v>
      </c>
      <c r="Z11" s="16">
        <f ca="1">J$7</f>
        <v>0</v>
      </c>
      <c r="AA11">
        <v>8</v>
      </c>
      <c r="AB11">
        <f>S40/10000000000</f>
        <v>5.4728783595173853</v>
      </c>
      <c r="AC11">
        <f>U40</f>
        <v>0</v>
      </c>
      <c r="AD11">
        <f>U41</f>
        <v>0</v>
      </c>
      <c r="AE11">
        <f>U42</f>
        <v>0</v>
      </c>
      <c r="AF11">
        <f>U43</f>
        <v>0</v>
      </c>
      <c r="AG11">
        <f>X43</f>
        <v>0</v>
      </c>
      <c r="AH11">
        <f t="shared" si="1"/>
        <v>0</v>
      </c>
      <c r="AI11" s="60" t="e">
        <f t="shared" si="0"/>
        <v>#DIV/0!</v>
      </c>
      <c r="AJ11" s="2" t="e">
        <f t="shared" si="2"/>
        <v>#DIV/0!</v>
      </c>
    </row>
    <row r="12" spans="1:37">
      <c r="A12">
        <v>2</v>
      </c>
      <c r="B12">
        <f t="shared" ref="B12:B75" si="3">C12/1000</f>
        <v>0</v>
      </c>
      <c r="C12" s="10"/>
      <c r="D12" s="10"/>
      <c r="E12">
        <f t="shared" ref="E12:E74" si="4">CumOffset+fcoh*EXP(-2*GammaBar*C12+mutwo*C12^2+muthree*C12^3+mufour*C12^4)</f>
        <v>0.3</v>
      </c>
      <c r="F12">
        <f t="shared" ref="F12:F14" si="5">D12-E12</f>
        <v>-0.3</v>
      </c>
      <c r="G12">
        <f t="shared" ref="G12:G75" si="6">F12*F12</f>
        <v>0.09</v>
      </c>
      <c r="R12" s="16"/>
      <c r="S12" s="16">
        <v>10632573310.196394</v>
      </c>
      <c r="T12" s="53" t="s">
        <v>99</v>
      </c>
      <c r="U12" s="16"/>
      <c r="V12" s="16" t="s">
        <v>89</v>
      </c>
      <c r="W12" s="16"/>
      <c r="X12" s="16"/>
      <c r="Y12" s="16"/>
      <c r="Z12" s="16"/>
    </row>
    <row r="13" spans="1:37" ht="16.149999999999999">
      <c r="A13">
        <v>3</v>
      </c>
      <c r="B13">
        <f t="shared" si="3"/>
        <v>0</v>
      </c>
      <c r="C13" s="10"/>
      <c r="D13" s="10"/>
      <c r="E13">
        <f t="shared" si="4"/>
        <v>0.3</v>
      </c>
      <c r="F13">
        <f t="shared" si="5"/>
        <v>-0.3</v>
      </c>
      <c r="G13">
        <f t="shared" si="6"/>
        <v>0.09</v>
      </c>
      <c r="R13" s="16"/>
      <c r="S13" s="16"/>
      <c r="T13" s="31" t="s">
        <v>81</v>
      </c>
      <c r="U13" s="16"/>
      <c r="V13" s="16"/>
      <c r="W13" s="53" t="s">
        <v>103</v>
      </c>
      <c r="X13" s="16"/>
      <c r="Y13" s="16"/>
      <c r="Z13" s="16"/>
    </row>
    <row r="14" spans="1:37">
      <c r="A14">
        <v>4</v>
      </c>
      <c r="B14">
        <f t="shared" si="3"/>
        <v>0</v>
      </c>
      <c r="C14" s="10"/>
      <c r="D14" s="10"/>
      <c r="E14">
        <f t="shared" si="4"/>
        <v>0.3</v>
      </c>
      <c r="F14">
        <f t="shared" si="5"/>
        <v>-0.3</v>
      </c>
      <c r="G14">
        <f t="shared" si="6"/>
        <v>0.09</v>
      </c>
      <c r="R14" s="17" t="s">
        <v>34</v>
      </c>
      <c r="S14" s="17">
        <v>64</v>
      </c>
      <c r="T14" s="17" t="s">
        <v>35</v>
      </c>
      <c r="U14" s="17"/>
      <c r="V14" s="17"/>
      <c r="W14" s="17"/>
      <c r="X14" s="17"/>
      <c r="Y14" s="17" t="s">
        <v>52</v>
      </c>
      <c r="Z14" s="17" t="s">
        <v>96</v>
      </c>
    </row>
    <row r="15" spans="1:37">
      <c r="A15">
        <v>5</v>
      </c>
      <c r="B15">
        <f t="shared" si="3"/>
        <v>0</v>
      </c>
      <c r="C15" s="10"/>
      <c r="D15" s="10"/>
      <c r="E15">
        <f t="shared" si="4"/>
        <v>0.3</v>
      </c>
      <c r="F15">
        <f t="shared" ref="F15:F78" si="7">D15-E15</f>
        <v>-0.3</v>
      </c>
      <c r="G15">
        <f t="shared" si="6"/>
        <v>0.09</v>
      </c>
      <c r="R15" s="17" t="s">
        <v>53</v>
      </c>
      <c r="S15" s="17">
        <v>16717113170.812763</v>
      </c>
      <c r="T15" s="32" t="s">
        <v>79</v>
      </c>
      <c r="U15" s="17"/>
      <c r="V15" s="17"/>
      <c r="W15" s="17" t="s">
        <v>47</v>
      </c>
      <c r="X15" s="17">
        <v>10</v>
      </c>
      <c r="Y15" s="17">
        <v>20</v>
      </c>
      <c r="Z15" s="17">
        <f ca="1">J$5</f>
        <v>0</v>
      </c>
    </row>
    <row r="16" spans="1:37" ht="14.65">
      <c r="A16">
        <v>6</v>
      </c>
      <c r="B16">
        <f t="shared" si="3"/>
        <v>0</v>
      </c>
      <c r="C16" s="10"/>
      <c r="D16" s="10"/>
      <c r="E16">
        <f t="shared" si="4"/>
        <v>0.3</v>
      </c>
      <c r="F16">
        <f t="shared" si="7"/>
        <v>-0.3</v>
      </c>
      <c r="G16">
        <f t="shared" si="6"/>
        <v>0.09</v>
      </c>
      <c r="R16" s="17"/>
      <c r="S16" s="17">
        <v>16717113170.812763</v>
      </c>
      <c r="T16" s="33" t="s">
        <v>76</v>
      </c>
      <c r="U16" s="17"/>
      <c r="V16" s="17" t="s">
        <v>54</v>
      </c>
      <c r="W16" s="17" t="s">
        <v>51</v>
      </c>
      <c r="X16" s="17">
        <v>128</v>
      </c>
      <c r="Y16" s="17">
        <v>138</v>
      </c>
      <c r="Z16" s="17">
        <f ca="1">J$7</f>
        <v>0</v>
      </c>
    </row>
    <row r="17" spans="1:26">
      <c r="A17">
        <v>7</v>
      </c>
      <c r="B17">
        <f t="shared" si="3"/>
        <v>0</v>
      </c>
      <c r="C17" s="10"/>
      <c r="D17" s="10"/>
      <c r="E17">
        <f t="shared" si="4"/>
        <v>0.3</v>
      </c>
      <c r="F17">
        <f t="shared" si="7"/>
        <v>-0.3</v>
      </c>
      <c r="G17">
        <f t="shared" si="6"/>
        <v>0.09</v>
      </c>
      <c r="R17" s="17"/>
      <c r="S17" s="17">
        <v>16717113170.812763</v>
      </c>
      <c r="T17" s="34" t="s">
        <v>99</v>
      </c>
      <c r="U17" s="17"/>
      <c r="V17" s="17" t="s">
        <v>89</v>
      </c>
      <c r="W17" s="17"/>
      <c r="X17" s="17"/>
      <c r="Y17" s="17"/>
      <c r="Z17" s="17"/>
    </row>
    <row r="18" spans="1:26" ht="14.65">
      <c r="A18">
        <v>8</v>
      </c>
      <c r="B18">
        <f t="shared" si="3"/>
        <v>0</v>
      </c>
      <c r="C18" s="10"/>
      <c r="D18" s="10"/>
      <c r="E18">
        <f t="shared" si="4"/>
        <v>0.3</v>
      </c>
      <c r="F18">
        <f t="shared" si="7"/>
        <v>-0.3</v>
      </c>
      <c r="G18">
        <f t="shared" si="6"/>
        <v>0.09</v>
      </c>
      <c r="R18" s="17"/>
      <c r="S18" s="17"/>
      <c r="T18" s="33"/>
      <c r="U18" s="17"/>
      <c r="V18" s="17"/>
      <c r="W18" s="34"/>
      <c r="X18" s="17"/>
      <c r="Y18" s="17"/>
      <c r="Z18" s="17"/>
    </row>
    <row r="19" spans="1:26">
      <c r="A19">
        <v>9</v>
      </c>
      <c r="B19">
        <f t="shared" si="3"/>
        <v>0</v>
      </c>
      <c r="C19" s="10"/>
      <c r="D19" s="10"/>
      <c r="E19">
        <f t="shared" si="4"/>
        <v>0.3</v>
      </c>
      <c r="F19">
        <f t="shared" si="7"/>
        <v>-0.3</v>
      </c>
      <c r="G19">
        <f t="shared" si="6"/>
        <v>0.09</v>
      </c>
      <c r="R19" s="18" t="s">
        <v>34</v>
      </c>
      <c r="S19" s="18">
        <v>81</v>
      </c>
      <c r="T19" s="18" t="s">
        <v>35</v>
      </c>
      <c r="U19" s="18"/>
      <c r="V19" s="18"/>
      <c r="W19" s="18"/>
      <c r="X19" s="18"/>
      <c r="Y19" s="18" t="s">
        <v>52</v>
      </c>
      <c r="Z19" s="18" t="s">
        <v>96</v>
      </c>
    </row>
    <row r="20" spans="1:26">
      <c r="A20">
        <v>10</v>
      </c>
      <c r="B20">
        <f t="shared" si="3"/>
        <v>0</v>
      </c>
      <c r="C20" s="10"/>
      <c r="D20" s="10"/>
      <c r="E20">
        <f t="shared" si="4"/>
        <v>0.3</v>
      </c>
      <c r="F20">
        <f t="shared" si="7"/>
        <v>-0.3</v>
      </c>
      <c r="G20">
        <f t="shared" si="6"/>
        <v>0.09</v>
      </c>
      <c r="R20" s="18" t="s">
        <v>53</v>
      </c>
      <c r="S20" s="18">
        <v>25109074140.860783</v>
      </c>
      <c r="T20" s="35" t="s">
        <v>79</v>
      </c>
      <c r="U20" s="18"/>
      <c r="V20" s="18"/>
      <c r="W20" s="18" t="s">
        <v>47</v>
      </c>
      <c r="X20" s="18">
        <v>10</v>
      </c>
      <c r="Y20" s="18">
        <v>20</v>
      </c>
      <c r="Z20" s="18">
        <f ca="1">J$5</f>
        <v>0</v>
      </c>
    </row>
    <row r="21" spans="1:26" ht="14.65">
      <c r="A21">
        <v>11</v>
      </c>
      <c r="B21">
        <f t="shared" si="3"/>
        <v>0</v>
      </c>
      <c r="C21" s="10"/>
      <c r="D21" s="10"/>
      <c r="E21">
        <f t="shared" si="4"/>
        <v>0.3</v>
      </c>
      <c r="F21">
        <f t="shared" si="7"/>
        <v>-0.3</v>
      </c>
      <c r="G21">
        <f t="shared" si="6"/>
        <v>0.09</v>
      </c>
      <c r="R21" s="18"/>
      <c r="S21" s="18">
        <v>25109074140.860783</v>
      </c>
      <c r="T21" s="36" t="s">
        <v>76</v>
      </c>
      <c r="U21" s="18"/>
      <c r="V21" s="18" t="s">
        <v>54</v>
      </c>
      <c r="W21" s="18" t="s">
        <v>51</v>
      </c>
      <c r="X21" s="18">
        <v>128</v>
      </c>
      <c r="Y21" s="18">
        <v>138</v>
      </c>
      <c r="Z21" s="18">
        <f ca="1">J$7</f>
        <v>0</v>
      </c>
    </row>
    <row r="22" spans="1:26">
      <c r="A22">
        <v>12</v>
      </c>
      <c r="B22">
        <f t="shared" si="3"/>
        <v>0</v>
      </c>
      <c r="C22" s="10"/>
      <c r="D22" s="10"/>
      <c r="E22">
        <f t="shared" si="4"/>
        <v>0.3</v>
      </c>
      <c r="F22">
        <f t="shared" si="7"/>
        <v>-0.3</v>
      </c>
      <c r="G22">
        <f t="shared" si="6"/>
        <v>0.09</v>
      </c>
      <c r="R22" s="18"/>
      <c r="S22" s="18">
        <v>25109074140.860783</v>
      </c>
      <c r="T22" s="37" t="s">
        <v>99</v>
      </c>
      <c r="U22" s="18"/>
      <c r="V22" s="18" t="s">
        <v>89</v>
      </c>
      <c r="W22" s="18"/>
      <c r="X22" s="18"/>
      <c r="Y22" s="18"/>
      <c r="Z22" s="18"/>
    </row>
    <row r="23" spans="1:26" ht="14.65">
      <c r="A23">
        <v>13</v>
      </c>
      <c r="B23">
        <f t="shared" si="3"/>
        <v>0</v>
      </c>
      <c r="C23" s="10"/>
      <c r="D23" s="10"/>
      <c r="E23">
        <f t="shared" si="4"/>
        <v>0.3</v>
      </c>
      <c r="F23">
        <f t="shared" si="7"/>
        <v>-0.3</v>
      </c>
      <c r="G23">
        <f t="shared" si="6"/>
        <v>0.09</v>
      </c>
      <c r="R23" s="18"/>
      <c r="S23" s="18"/>
      <c r="T23" s="36"/>
      <c r="U23" s="18"/>
      <c r="V23" s="18"/>
      <c r="W23" s="37"/>
      <c r="X23" s="18"/>
      <c r="Y23" s="18"/>
      <c r="Z23" s="18"/>
    </row>
    <row r="24" spans="1:26">
      <c r="A24">
        <v>14</v>
      </c>
      <c r="B24">
        <f t="shared" si="3"/>
        <v>0</v>
      </c>
      <c r="C24" s="10"/>
      <c r="D24" s="10"/>
      <c r="E24">
        <f t="shared" si="4"/>
        <v>0.3</v>
      </c>
      <c r="F24">
        <f t="shared" si="7"/>
        <v>-0.3</v>
      </c>
      <c r="G24">
        <f t="shared" si="6"/>
        <v>0.09</v>
      </c>
      <c r="R24" s="19" t="s">
        <v>34</v>
      </c>
      <c r="S24" s="19">
        <v>99</v>
      </c>
      <c r="T24" s="19" t="s">
        <v>35</v>
      </c>
      <c r="U24" s="19"/>
      <c r="V24" s="19"/>
      <c r="W24" s="19"/>
      <c r="X24" s="19"/>
      <c r="Y24" s="19" t="s">
        <v>52</v>
      </c>
      <c r="Z24" s="19" t="s">
        <v>96</v>
      </c>
    </row>
    <row r="25" spans="1:26">
      <c r="A25">
        <v>15</v>
      </c>
      <c r="B25">
        <f t="shared" si="3"/>
        <v>0</v>
      </c>
      <c r="C25" s="10"/>
      <c r="D25" s="10"/>
      <c r="E25">
        <f t="shared" si="4"/>
        <v>0.3</v>
      </c>
      <c r="F25">
        <f t="shared" si="7"/>
        <v>-0.3</v>
      </c>
      <c r="G25">
        <f t="shared" si="6"/>
        <v>0.09</v>
      </c>
      <c r="R25" s="19" t="s">
        <v>53</v>
      </c>
      <c r="S25" s="19">
        <v>34421746169.521553</v>
      </c>
      <c r="T25" s="38" t="s">
        <v>79</v>
      </c>
      <c r="U25" s="19"/>
      <c r="V25" s="19"/>
      <c r="W25" s="19" t="s">
        <v>47</v>
      </c>
      <c r="X25" s="19">
        <v>10</v>
      </c>
      <c r="Y25" s="19">
        <v>20</v>
      </c>
      <c r="Z25" s="19">
        <f ca="1">J$5</f>
        <v>0</v>
      </c>
    </row>
    <row r="26" spans="1:26" ht="14.65">
      <c r="A26">
        <v>16</v>
      </c>
      <c r="B26">
        <f t="shared" si="3"/>
        <v>0</v>
      </c>
      <c r="C26" s="10"/>
      <c r="D26" s="10"/>
      <c r="E26">
        <f t="shared" si="4"/>
        <v>0.3</v>
      </c>
      <c r="F26">
        <f t="shared" si="7"/>
        <v>-0.3</v>
      </c>
      <c r="G26">
        <f t="shared" si="6"/>
        <v>0.09</v>
      </c>
      <c r="R26" s="19"/>
      <c r="S26" s="19">
        <v>34421746169.521553</v>
      </c>
      <c r="T26" s="39" t="s">
        <v>76</v>
      </c>
      <c r="U26" s="19"/>
      <c r="V26" s="19" t="s">
        <v>54</v>
      </c>
      <c r="W26" s="19" t="s">
        <v>51</v>
      </c>
      <c r="X26" s="19">
        <v>128</v>
      </c>
      <c r="Y26" s="19">
        <v>138</v>
      </c>
      <c r="Z26" s="19">
        <f ca="1">J$7</f>
        <v>0</v>
      </c>
    </row>
    <row r="27" spans="1:26">
      <c r="A27">
        <v>17</v>
      </c>
      <c r="B27">
        <f t="shared" si="3"/>
        <v>0</v>
      </c>
      <c r="C27" s="10"/>
      <c r="D27" s="10"/>
      <c r="E27">
        <f t="shared" si="4"/>
        <v>0.3</v>
      </c>
      <c r="F27">
        <f t="shared" si="7"/>
        <v>-0.3</v>
      </c>
      <c r="G27">
        <f t="shared" si="6"/>
        <v>0.09</v>
      </c>
      <c r="R27" s="19"/>
      <c r="S27" s="19">
        <v>34421746169.521553</v>
      </c>
      <c r="T27" s="40" t="s">
        <v>99</v>
      </c>
      <c r="U27" s="19"/>
      <c r="V27" s="19" t="s">
        <v>89</v>
      </c>
      <c r="W27" s="19"/>
      <c r="X27" s="19"/>
      <c r="Y27" s="19"/>
      <c r="Z27" s="19"/>
    </row>
    <row r="28" spans="1:26" ht="14.65">
      <c r="A28">
        <v>18</v>
      </c>
      <c r="B28">
        <f t="shared" si="3"/>
        <v>0</v>
      </c>
      <c r="C28" s="10"/>
      <c r="D28" s="10"/>
      <c r="E28">
        <f t="shared" si="4"/>
        <v>0.3</v>
      </c>
      <c r="F28">
        <f t="shared" si="7"/>
        <v>-0.3</v>
      </c>
      <c r="G28">
        <f t="shared" si="6"/>
        <v>0.09</v>
      </c>
      <c r="R28" s="19"/>
      <c r="S28" s="19"/>
      <c r="T28" s="39"/>
      <c r="U28" s="19"/>
      <c r="V28" s="19"/>
      <c r="W28" s="40"/>
      <c r="X28" s="19"/>
      <c r="Y28" s="19"/>
      <c r="Z28" s="19"/>
    </row>
    <row r="29" spans="1:26">
      <c r="A29">
        <v>19</v>
      </c>
      <c r="B29">
        <f t="shared" si="3"/>
        <v>0</v>
      </c>
      <c r="C29" s="10"/>
      <c r="D29" s="10"/>
      <c r="E29">
        <f t="shared" si="4"/>
        <v>0.3</v>
      </c>
      <c r="F29">
        <f t="shared" si="7"/>
        <v>-0.3</v>
      </c>
      <c r="G29">
        <f t="shared" si="6"/>
        <v>0.09</v>
      </c>
      <c r="R29" s="20" t="s">
        <v>34</v>
      </c>
      <c r="S29" s="20">
        <v>117</v>
      </c>
      <c r="T29" s="20" t="s">
        <v>35</v>
      </c>
      <c r="U29" s="20"/>
      <c r="V29" s="20"/>
      <c r="W29" s="20"/>
      <c r="X29" s="20"/>
      <c r="Y29" s="20" t="s">
        <v>52</v>
      </c>
      <c r="Z29" s="20" t="s">
        <v>96</v>
      </c>
    </row>
    <row r="30" spans="1:26">
      <c r="A30">
        <v>20</v>
      </c>
      <c r="B30">
        <f t="shared" si="3"/>
        <v>0</v>
      </c>
      <c r="C30" s="10"/>
      <c r="D30" s="10"/>
      <c r="E30">
        <f t="shared" si="4"/>
        <v>0.3</v>
      </c>
      <c r="F30">
        <f t="shared" si="7"/>
        <v>-0.3</v>
      </c>
      <c r="G30">
        <f t="shared" si="6"/>
        <v>0.09</v>
      </c>
      <c r="R30" s="20" t="s">
        <v>53</v>
      </c>
      <c r="S30" s="20">
        <v>43278623586.498978</v>
      </c>
      <c r="T30" s="47" t="s">
        <v>79</v>
      </c>
      <c r="U30" s="20"/>
      <c r="V30" s="20"/>
      <c r="W30" s="20" t="s">
        <v>47</v>
      </c>
      <c r="X30" s="20">
        <v>10</v>
      </c>
      <c r="Y30" s="20">
        <v>20</v>
      </c>
      <c r="Z30" s="20">
        <f ca="1">J$5</f>
        <v>0</v>
      </c>
    </row>
    <row r="31" spans="1:26" ht="14.65">
      <c r="A31">
        <v>21</v>
      </c>
      <c r="B31">
        <f t="shared" si="3"/>
        <v>0</v>
      </c>
      <c r="C31" s="10"/>
      <c r="D31" s="10"/>
      <c r="E31">
        <f t="shared" si="4"/>
        <v>0.3</v>
      </c>
      <c r="F31">
        <f t="shared" si="7"/>
        <v>-0.3</v>
      </c>
      <c r="G31">
        <f t="shared" si="6"/>
        <v>0.09</v>
      </c>
      <c r="R31" s="20"/>
      <c r="S31" s="20">
        <v>43278623586.498978</v>
      </c>
      <c r="T31" s="48" t="s">
        <v>76</v>
      </c>
      <c r="U31" s="20"/>
      <c r="V31" s="20" t="s">
        <v>54</v>
      </c>
      <c r="W31" s="20" t="s">
        <v>51</v>
      </c>
      <c r="X31" s="20">
        <v>128</v>
      </c>
      <c r="Y31" s="20">
        <v>138</v>
      </c>
      <c r="Z31" s="20">
        <f ca="1">J$7</f>
        <v>0</v>
      </c>
    </row>
    <row r="32" spans="1:26">
      <c r="A32">
        <v>22</v>
      </c>
      <c r="B32">
        <f t="shared" si="3"/>
        <v>0</v>
      </c>
      <c r="C32" s="10"/>
      <c r="D32" s="10"/>
      <c r="E32">
        <f t="shared" si="4"/>
        <v>0.3</v>
      </c>
      <c r="F32">
        <f t="shared" si="7"/>
        <v>-0.3</v>
      </c>
      <c r="G32">
        <f t="shared" si="6"/>
        <v>0.09</v>
      </c>
      <c r="R32" s="20"/>
      <c r="S32" s="20">
        <v>43278623586.498978</v>
      </c>
      <c r="T32" s="49" t="s">
        <v>99</v>
      </c>
      <c r="U32" s="20"/>
      <c r="V32" s="20" t="s">
        <v>89</v>
      </c>
      <c r="W32" s="20"/>
      <c r="X32" s="20"/>
      <c r="Y32" s="20"/>
      <c r="Z32" s="20"/>
    </row>
    <row r="33" spans="1:26" ht="14.65">
      <c r="A33">
        <v>23</v>
      </c>
      <c r="B33">
        <f t="shared" si="3"/>
        <v>0</v>
      </c>
      <c r="C33" s="10"/>
      <c r="D33" s="10"/>
      <c r="E33">
        <f t="shared" si="4"/>
        <v>0.3</v>
      </c>
      <c r="F33">
        <f t="shared" si="7"/>
        <v>-0.3</v>
      </c>
      <c r="G33">
        <f t="shared" si="6"/>
        <v>0.09</v>
      </c>
      <c r="R33" s="20"/>
      <c r="S33" s="20"/>
      <c r="T33" s="48"/>
      <c r="U33" s="20"/>
      <c r="V33" s="20"/>
      <c r="W33" s="49"/>
      <c r="X33" s="20"/>
      <c r="Y33" s="20"/>
      <c r="Z33" s="20"/>
    </row>
    <row r="34" spans="1:26">
      <c r="A34">
        <v>24</v>
      </c>
      <c r="B34">
        <f t="shared" si="3"/>
        <v>0</v>
      </c>
      <c r="C34" s="10"/>
      <c r="D34" s="10"/>
      <c r="E34">
        <f t="shared" si="4"/>
        <v>0.3</v>
      </c>
      <c r="F34">
        <f t="shared" si="7"/>
        <v>-0.3</v>
      </c>
      <c r="G34">
        <f t="shared" si="6"/>
        <v>0.09</v>
      </c>
      <c r="R34" s="21" t="s">
        <v>34</v>
      </c>
      <c r="S34" s="21">
        <v>134</v>
      </c>
      <c r="T34" s="21" t="s">
        <v>35</v>
      </c>
      <c r="U34" s="21"/>
      <c r="V34" s="21"/>
      <c r="W34" s="21"/>
      <c r="X34" s="21"/>
      <c r="Y34" s="21" t="s">
        <v>52</v>
      </c>
      <c r="Z34" s="21" t="s">
        <v>96</v>
      </c>
    </row>
    <row r="35" spans="1:26">
      <c r="A35">
        <v>25</v>
      </c>
      <c r="B35">
        <f t="shared" si="3"/>
        <v>0</v>
      </c>
      <c r="C35" s="10"/>
      <c r="D35" s="10"/>
      <c r="E35">
        <f t="shared" si="4"/>
        <v>0.3</v>
      </c>
      <c r="F35">
        <f t="shared" si="7"/>
        <v>-0.3</v>
      </c>
      <c r="G35">
        <f t="shared" si="6"/>
        <v>0.09</v>
      </c>
      <c r="R35" s="21" t="s">
        <v>53</v>
      </c>
      <c r="S35" s="21">
        <v>50442201469.639954</v>
      </c>
      <c r="T35" s="41" t="s">
        <v>79</v>
      </c>
      <c r="U35" s="21"/>
      <c r="V35" s="21"/>
      <c r="W35" s="21" t="s">
        <v>47</v>
      </c>
      <c r="X35" s="21">
        <v>10</v>
      </c>
      <c r="Y35" s="21">
        <v>20</v>
      </c>
      <c r="Z35" s="21">
        <f ca="1">J$5</f>
        <v>0</v>
      </c>
    </row>
    <row r="36" spans="1:26" ht="14.65">
      <c r="A36">
        <v>26</v>
      </c>
      <c r="B36">
        <f t="shared" si="3"/>
        <v>0</v>
      </c>
      <c r="C36" s="10"/>
      <c r="D36" s="10"/>
      <c r="E36">
        <f t="shared" si="4"/>
        <v>0.3</v>
      </c>
      <c r="F36">
        <f t="shared" si="7"/>
        <v>-0.3</v>
      </c>
      <c r="G36">
        <f t="shared" si="6"/>
        <v>0.09</v>
      </c>
      <c r="R36" s="21"/>
      <c r="S36" s="21">
        <v>50442201469.639954</v>
      </c>
      <c r="T36" s="42" t="s">
        <v>76</v>
      </c>
      <c r="U36" s="21"/>
      <c r="V36" s="21" t="s">
        <v>54</v>
      </c>
      <c r="W36" s="21" t="s">
        <v>51</v>
      </c>
      <c r="X36" s="21">
        <v>128</v>
      </c>
      <c r="Y36" s="21">
        <v>138</v>
      </c>
      <c r="Z36" s="21">
        <f ca="1">J$7</f>
        <v>0</v>
      </c>
    </row>
    <row r="37" spans="1:26">
      <c r="A37">
        <v>27</v>
      </c>
      <c r="B37">
        <f t="shared" si="3"/>
        <v>0</v>
      </c>
      <c r="C37" s="10"/>
      <c r="D37" s="10"/>
      <c r="E37">
        <f t="shared" si="4"/>
        <v>0.3</v>
      </c>
      <c r="F37">
        <f t="shared" si="7"/>
        <v>-0.3</v>
      </c>
      <c r="G37">
        <f t="shared" si="6"/>
        <v>0.09</v>
      </c>
      <c r="R37" s="21"/>
      <c r="S37" s="21">
        <v>50442201469.639954</v>
      </c>
      <c r="T37" s="43" t="s">
        <v>99</v>
      </c>
      <c r="U37" s="21"/>
      <c r="V37" s="21" t="s">
        <v>89</v>
      </c>
      <c r="W37" s="21"/>
      <c r="X37" s="21"/>
      <c r="Y37" s="21"/>
      <c r="Z37" s="21"/>
    </row>
    <row r="38" spans="1:26" ht="14.65">
      <c r="A38">
        <v>28</v>
      </c>
      <c r="B38">
        <f t="shared" si="3"/>
        <v>0</v>
      </c>
      <c r="C38" s="10"/>
      <c r="D38" s="10"/>
      <c r="E38">
        <f t="shared" si="4"/>
        <v>0.3</v>
      </c>
      <c r="F38">
        <f t="shared" si="7"/>
        <v>-0.3</v>
      </c>
      <c r="G38">
        <f t="shared" si="6"/>
        <v>0.09</v>
      </c>
      <c r="R38" s="21"/>
      <c r="S38" s="21"/>
      <c r="T38" s="42"/>
      <c r="U38" s="21"/>
      <c r="V38" s="21"/>
      <c r="W38" s="43"/>
      <c r="X38" s="21"/>
      <c r="Y38" s="21"/>
      <c r="Z38" s="21"/>
    </row>
    <row r="39" spans="1:26">
      <c r="A39">
        <v>29</v>
      </c>
      <c r="B39">
        <f t="shared" si="3"/>
        <v>0</v>
      </c>
      <c r="C39" s="10"/>
      <c r="D39" s="10"/>
      <c r="E39">
        <f t="shared" si="4"/>
        <v>0.3</v>
      </c>
      <c r="F39">
        <f t="shared" si="7"/>
        <v>-0.3</v>
      </c>
      <c r="G39">
        <f t="shared" si="6"/>
        <v>0.09</v>
      </c>
      <c r="R39" s="22" t="s">
        <v>34</v>
      </c>
      <c r="S39" s="22">
        <v>147</v>
      </c>
      <c r="T39" s="22" t="s">
        <v>35</v>
      </c>
      <c r="U39" s="22"/>
      <c r="V39" s="22"/>
      <c r="W39" s="22"/>
      <c r="X39" s="22"/>
      <c r="Y39" s="22" t="s">
        <v>52</v>
      </c>
      <c r="Z39" s="22" t="s">
        <v>96</v>
      </c>
    </row>
    <row r="40" spans="1:26">
      <c r="A40">
        <v>30</v>
      </c>
      <c r="B40">
        <f t="shared" si="3"/>
        <v>0</v>
      </c>
      <c r="C40" s="10"/>
      <c r="D40" s="10"/>
      <c r="E40">
        <f t="shared" si="4"/>
        <v>0.3</v>
      </c>
      <c r="F40">
        <f t="shared" si="7"/>
        <v>-0.3</v>
      </c>
      <c r="G40">
        <f t="shared" si="6"/>
        <v>0.09</v>
      </c>
      <c r="R40" s="22" t="s">
        <v>53</v>
      </c>
      <c r="S40" s="22">
        <v>54728783595.173851</v>
      </c>
      <c r="T40" s="44" t="s">
        <v>79</v>
      </c>
      <c r="U40" s="22"/>
      <c r="V40" s="22"/>
      <c r="W40" s="22" t="s">
        <v>47</v>
      </c>
      <c r="X40" s="22">
        <v>10</v>
      </c>
      <c r="Y40" s="22">
        <v>20</v>
      </c>
      <c r="Z40" s="22">
        <f ca="1">J$5</f>
        <v>0</v>
      </c>
    </row>
    <row r="41" spans="1:26" ht="14.65">
      <c r="A41">
        <v>31</v>
      </c>
      <c r="B41">
        <f t="shared" si="3"/>
        <v>0</v>
      </c>
      <c r="C41" s="10"/>
      <c r="D41" s="10"/>
      <c r="E41">
        <f t="shared" si="4"/>
        <v>0.3</v>
      </c>
      <c r="F41">
        <f t="shared" si="7"/>
        <v>-0.3</v>
      </c>
      <c r="G41">
        <f t="shared" si="6"/>
        <v>0.09</v>
      </c>
      <c r="R41" s="22"/>
      <c r="S41" s="22">
        <v>54728783595.173851</v>
      </c>
      <c r="T41" s="45" t="s">
        <v>76</v>
      </c>
      <c r="U41" s="22"/>
      <c r="V41" s="22" t="s">
        <v>54</v>
      </c>
      <c r="W41" s="22" t="s">
        <v>51</v>
      </c>
      <c r="X41" s="22">
        <v>128</v>
      </c>
      <c r="Y41" s="22">
        <v>138</v>
      </c>
      <c r="Z41" s="22">
        <f ca="1">J$7</f>
        <v>0</v>
      </c>
    </row>
    <row r="42" spans="1:26">
      <c r="A42">
        <v>32</v>
      </c>
      <c r="B42">
        <f t="shared" si="3"/>
        <v>0</v>
      </c>
      <c r="C42" s="10"/>
      <c r="D42" s="10"/>
      <c r="E42">
        <f t="shared" si="4"/>
        <v>0.3</v>
      </c>
      <c r="F42">
        <f t="shared" si="7"/>
        <v>-0.3</v>
      </c>
      <c r="G42">
        <f t="shared" si="6"/>
        <v>0.09</v>
      </c>
      <c r="R42" s="22"/>
      <c r="S42" s="22">
        <v>54728783595.173851</v>
      </c>
      <c r="T42" s="46" t="s">
        <v>99</v>
      </c>
      <c r="U42" s="22"/>
      <c r="V42" s="22" t="s">
        <v>89</v>
      </c>
      <c r="W42" s="22"/>
      <c r="X42" s="22"/>
      <c r="Y42" s="22"/>
      <c r="Z42" s="22"/>
    </row>
    <row r="43" spans="1:26" ht="14.65">
      <c r="A43">
        <v>33</v>
      </c>
      <c r="B43">
        <f t="shared" si="3"/>
        <v>0</v>
      </c>
      <c r="C43" s="10"/>
      <c r="D43" s="10"/>
      <c r="E43">
        <f t="shared" si="4"/>
        <v>0.3</v>
      </c>
      <c r="F43">
        <f t="shared" si="7"/>
        <v>-0.3</v>
      </c>
      <c r="G43">
        <f t="shared" si="6"/>
        <v>0.09</v>
      </c>
      <c r="R43" s="22"/>
      <c r="S43" s="22"/>
      <c r="T43" s="45"/>
      <c r="U43" s="22"/>
      <c r="V43" s="22"/>
      <c r="W43" s="46"/>
      <c r="X43" s="22"/>
      <c r="Y43" s="22"/>
      <c r="Z43" s="22"/>
    </row>
    <row r="44" spans="1:26">
      <c r="A44">
        <v>34</v>
      </c>
      <c r="B44">
        <f t="shared" si="3"/>
        <v>0</v>
      </c>
      <c r="C44" s="10"/>
      <c r="D44" s="10"/>
      <c r="E44">
        <f t="shared" si="4"/>
        <v>0.3</v>
      </c>
      <c r="F44">
        <f t="shared" si="7"/>
        <v>-0.3</v>
      </c>
      <c r="G44">
        <f t="shared" si="6"/>
        <v>0.09</v>
      </c>
      <c r="R44" s="14"/>
      <c r="S44" s="14"/>
      <c r="T44" s="14"/>
      <c r="U44" s="14"/>
      <c r="V44" s="14"/>
      <c r="W44" s="14"/>
      <c r="X44" s="14"/>
      <c r="Y44" s="14"/>
      <c r="Z44" s="14"/>
    </row>
    <row r="45" spans="1:26">
      <c r="A45">
        <v>35</v>
      </c>
      <c r="B45">
        <f t="shared" si="3"/>
        <v>0</v>
      </c>
      <c r="C45" s="10"/>
      <c r="D45" s="10"/>
      <c r="E45">
        <f t="shared" si="4"/>
        <v>0.3</v>
      </c>
      <c r="F45">
        <f t="shared" si="7"/>
        <v>-0.3</v>
      </c>
      <c r="G45">
        <f t="shared" si="6"/>
        <v>0.09</v>
      </c>
      <c r="R45" s="14"/>
      <c r="S45" s="14"/>
      <c r="T45" s="14"/>
      <c r="U45" s="14"/>
      <c r="V45" s="14"/>
      <c r="W45" s="14"/>
      <c r="X45" s="14"/>
      <c r="Y45" s="14"/>
      <c r="Z45" s="14"/>
    </row>
    <row r="46" spans="1:26">
      <c r="A46">
        <v>36</v>
      </c>
      <c r="B46">
        <f t="shared" si="3"/>
        <v>0</v>
      </c>
      <c r="C46" s="10"/>
      <c r="D46" s="10"/>
      <c r="E46">
        <f t="shared" si="4"/>
        <v>0.3</v>
      </c>
      <c r="F46">
        <f t="shared" si="7"/>
        <v>-0.3</v>
      </c>
      <c r="G46">
        <f t="shared" si="6"/>
        <v>0.09</v>
      </c>
      <c r="R46" s="14"/>
      <c r="S46" s="14"/>
      <c r="T46" s="14"/>
      <c r="U46" s="14"/>
      <c r="V46" s="14"/>
      <c r="W46" s="14"/>
      <c r="X46" s="14"/>
      <c r="Y46" s="14"/>
      <c r="Z46" s="14"/>
    </row>
    <row r="47" spans="1:26">
      <c r="A47">
        <v>37</v>
      </c>
      <c r="B47">
        <f t="shared" si="3"/>
        <v>0</v>
      </c>
      <c r="C47" s="10"/>
      <c r="D47" s="10"/>
      <c r="E47">
        <f t="shared" si="4"/>
        <v>0.3</v>
      </c>
      <c r="F47">
        <f t="shared" si="7"/>
        <v>-0.3</v>
      </c>
      <c r="G47">
        <f t="shared" si="6"/>
        <v>0.09</v>
      </c>
      <c r="R47" s="14"/>
      <c r="S47" s="14"/>
      <c r="T47" s="14"/>
      <c r="U47" s="14"/>
      <c r="V47" s="14"/>
      <c r="W47" s="14"/>
      <c r="X47" s="14"/>
      <c r="Y47" s="14"/>
      <c r="Z47" s="14"/>
    </row>
    <row r="48" spans="1:26">
      <c r="A48">
        <v>38</v>
      </c>
      <c r="B48">
        <f t="shared" si="3"/>
        <v>0</v>
      </c>
      <c r="C48" s="10"/>
      <c r="D48" s="10"/>
      <c r="E48">
        <f t="shared" si="4"/>
        <v>0.3</v>
      </c>
      <c r="F48">
        <f t="shared" si="7"/>
        <v>-0.3</v>
      </c>
      <c r="G48">
        <f t="shared" si="6"/>
        <v>0.09</v>
      </c>
      <c r="R48" s="14"/>
      <c r="S48" s="14"/>
      <c r="T48" s="14"/>
      <c r="U48" s="14"/>
      <c r="V48" s="14"/>
      <c r="W48" s="14"/>
      <c r="X48" s="14"/>
      <c r="Y48" s="14"/>
      <c r="Z48" s="14"/>
    </row>
    <row r="49" spans="1:7">
      <c r="A49">
        <v>39</v>
      </c>
      <c r="B49">
        <f t="shared" si="3"/>
        <v>0</v>
      </c>
      <c r="C49" s="10"/>
      <c r="D49" s="10"/>
      <c r="E49">
        <f t="shared" si="4"/>
        <v>0.3</v>
      </c>
      <c r="F49">
        <f t="shared" si="7"/>
        <v>-0.3</v>
      </c>
      <c r="G49">
        <f t="shared" si="6"/>
        <v>0.09</v>
      </c>
    </row>
    <row r="50" spans="1:7">
      <c r="A50">
        <v>40</v>
      </c>
      <c r="B50">
        <f t="shared" si="3"/>
        <v>0</v>
      </c>
      <c r="C50" s="10"/>
      <c r="D50" s="10"/>
      <c r="E50">
        <f t="shared" si="4"/>
        <v>0.3</v>
      </c>
      <c r="F50">
        <f t="shared" si="7"/>
        <v>-0.3</v>
      </c>
      <c r="G50">
        <f t="shared" si="6"/>
        <v>0.09</v>
      </c>
    </row>
    <row r="51" spans="1:7">
      <c r="A51">
        <v>41</v>
      </c>
      <c r="B51">
        <f t="shared" si="3"/>
        <v>0</v>
      </c>
      <c r="C51" s="10"/>
      <c r="D51" s="10"/>
      <c r="E51">
        <f t="shared" si="4"/>
        <v>0.3</v>
      </c>
      <c r="F51">
        <f t="shared" si="7"/>
        <v>-0.3</v>
      </c>
      <c r="G51">
        <f t="shared" si="6"/>
        <v>0.09</v>
      </c>
    </row>
    <row r="52" spans="1:7">
      <c r="A52">
        <v>42</v>
      </c>
      <c r="B52">
        <f t="shared" si="3"/>
        <v>0</v>
      </c>
      <c r="C52" s="10"/>
      <c r="D52" s="10"/>
      <c r="E52">
        <f t="shared" si="4"/>
        <v>0.3</v>
      </c>
      <c r="F52">
        <f t="shared" si="7"/>
        <v>-0.3</v>
      </c>
      <c r="G52">
        <f t="shared" si="6"/>
        <v>0.09</v>
      </c>
    </row>
    <row r="53" spans="1:7">
      <c r="A53">
        <v>43</v>
      </c>
      <c r="B53">
        <f t="shared" si="3"/>
        <v>0</v>
      </c>
      <c r="C53" s="10"/>
      <c r="D53" s="10"/>
      <c r="E53">
        <f t="shared" si="4"/>
        <v>0.3</v>
      </c>
      <c r="F53">
        <f t="shared" si="7"/>
        <v>-0.3</v>
      </c>
      <c r="G53">
        <f t="shared" si="6"/>
        <v>0.09</v>
      </c>
    </row>
    <row r="54" spans="1:7">
      <c r="A54">
        <v>44</v>
      </c>
      <c r="B54">
        <f t="shared" si="3"/>
        <v>0</v>
      </c>
      <c r="C54" s="10"/>
      <c r="D54" s="10"/>
      <c r="E54">
        <f t="shared" si="4"/>
        <v>0.3</v>
      </c>
      <c r="F54">
        <f t="shared" si="7"/>
        <v>-0.3</v>
      </c>
      <c r="G54">
        <f t="shared" si="6"/>
        <v>0.09</v>
      </c>
    </row>
    <row r="55" spans="1:7">
      <c r="A55">
        <v>45</v>
      </c>
      <c r="B55">
        <f t="shared" si="3"/>
        <v>0</v>
      </c>
      <c r="C55" s="10"/>
      <c r="D55" s="10"/>
      <c r="E55">
        <f t="shared" si="4"/>
        <v>0.3</v>
      </c>
      <c r="F55">
        <f t="shared" si="7"/>
        <v>-0.3</v>
      </c>
      <c r="G55">
        <f t="shared" si="6"/>
        <v>0.09</v>
      </c>
    </row>
    <row r="56" spans="1:7">
      <c r="A56">
        <v>46</v>
      </c>
      <c r="B56">
        <f t="shared" si="3"/>
        <v>0</v>
      </c>
      <c r="C56" s="10"/>
      <c r="D56" s="10"/>
      <c r="E56">
        <f t="shared" si="4"/>
        <v>0.3</v>
      </c>
      <c r="F56">
        <f t="shared" si="7"/>
        <v>-0.3</v>
      </c>
      <c r="G56">
        <f t="shared" si="6"/>
        <v>0.09</v>
      </c>
    </row>
    <row r="57" spans="1:7">
      <c r="A57">
        <v>47</v>
      </c>
      <c r="B57">
        <f t="shared" si="3"/>
        <v>0</v>
      </c>
      <c r="C57" s="10"/>
      <c r="D57" s="10"/>
      <c r="E57">
        <f t="shared" si="4"/>
        <v>0.3</v>
      </c>
      <c r="F57">
        <f t="shared" si="7"/>
        <v>-0.3</v>
      </c>
      <c r="G57">
        <f t="shared" si="6"/>
        <v>0.09</v>
      </c>
    </row>
    <row r="58" spans="1:7">
      <c r="A58">
        <v>48</v>
      </c>
      <c r="B58">
        <f t="shared" si="3"/>
        <v>0</v>
      </c>
      <c r="C58" s="10"/>
      <c r="D58" s="10"/>
      <c r="E58">
        <f t="shared" si="4"/>
        <v>0.3</v>
      </c>
      <c r="F58">
        <f t="shared" si="7"/>
        <v>-0.3</v>
      </c>
      <c r="G58">
        <f t="shared" si="6"/>
        <v>0.09</v>
      </c>
    </row>
    <row r="59" spans="1:7">
      <c r="A59">
        <v>49</v>
      </c>
      <c r="B59">
        <f t="shared" si="3"/>
        <v>0</v>
      </c>
      <c r="C59" s="10"/>
      <c r="D59" s="10"/>
      <c r="E59">
        <f t="shared" si="4"/>
        <v>0.3</v>
      </c>
      <c r="F59">
        <f t="shared" si="7"/>
        <v>-0.3</v>
      </c>
      <c r="G59">
        <f t="shared" si="6"/>
        <v>0.09</v>
      </c>
    </row>
    <row r="60" spans="1:7">
      <c r="A60">
        <v>50</v>
      </c>
      <c r="B60">
        <f t="shared" si="3"/>
        <v>0</v>
      </c>
      <c r="C60" s="10"/>
      <c r="D60" s="10"/>
      <c r="E60">
        <f t="shared" si="4"/>
        <v>0.3</v>
      </c>
      <c r="F60">
        <f t="shared" si="7"/>
        <v>-0.3</v>
      </c>
      <c r="G60">
        <f t="shared" si="6"/>
        <v>0.09</v>
      </c>
    </row>
    <row r="61" spans="1:7">
      <c r="A61">
        <v>51</v>
      </c>
      <c r="B61">
        <f t="shared" si="3"/>
        <v>0</v>
      </c>
      <c r="C61" s="10"/>
      <c r="D61" s="10"/>
      <c r="E61">
        <f t="shared" si="4"/>
        <v>0.3</v>
      </c>
      <c r="F61">
        <f t="shared" si="7"/>
        <v>-0.3</v>
      </c>
      <c r="G61">
        <f t="shared" si="6"/>
        <v>0.09</v>
      </c>
    </row>
    <row r="62" spans="1:7">
      <c r="A62">
        <v>52</v>
      </c>
      <c r="B62">
        <f t="shared" si="3"/>
        <v>0</v>
      </c>
      <c r="C62" s="10"/>
      <c r="D62" s="10"/>
      <c r="E62">
        <f t="shared" si="4"/>
        <v>0.3</v>
      </c>
      <c r="F62">
        <f t="shared" si="7"/>
        <v>-0.3</v>
      </c>
      <c r="G62">
        <f t="shared" si="6"/>
        <v>0.09</v>
      </c>
    </row>
    <row r="63" spans="1:7">
      <c r="A63">
        <v>53</v>
      </c>
      <c r="B63">
        <f t="shared" si="3"/>
        <v>0</v>
      </c>
      <c r="C63" s="10"/>
      <c r="D63" s="10"/>
      <c r="E63">
        <f t="shared" si="4"/>
        <v>0.3</v>
      </c>
      <c r="F63">
        <f t="shared" si="7"/>
        <v>-0.3</v>
      </c>
      <c r="G63">
        <f t="shared" si="6"/>
        <v>0.09</v>
      </c>
    </row>
    <row r="64" spans="1:7">
      <c r="A64">
        <v>54</v>
      </c>
      <c r="B64">
        <f t="shared" si="3"/>
        <v>0</v>
      </c>
      <c r="C64" s="10"/>
      <c r="D64" s="10"/>
      <c r="E64">
        <f t="shared" si="4"/>
        <v>0.3</v>
      </c>
      <c r="F64">
        <f t="shared" si="7"/>
        <v>-0.3</v>
      </c>
      <c r="G64">
        <f t="shared" si="6"/>
        <v>0.09</v>
      </c>
    </row>
    <row r="65" spans="1:7">
      <c r="A65">
        <v>55</v>
      </c>
      <c r="B65">
        <f t="shared" si="3"/>
        <v>0</v>
      </c>
      <c r="C65" s="10"/>
      <c r="D65" s="10"/>
      <c r="E65">
        <f t="shared" si="4"/>
        <v>0.3</v>
      </c>
      <c r="F65">
        <f t="shared" si="7"/>
        <v>-0.3</v>
      </c>
      <c r="G65">
        <f t="shared" si="6"/>
        <v>0.09</v>
      </c>
    </row>
    <row r="66" spans="1:7">
      <c r="A66">
        <v>56</v>
      </c>
      <c r="B66">
        <f t="shared" si="3"/>
        <v>0</v>
      </c>
      <c r="C66" s="10"/>
      <c r="D66" s="10"/>
      <c r="E66">
        <f t="shared" si="4"/>
        <v>0.3</v>
      </c>
      <c r="F66">
        <f t="shared" si="7"/>
        <v>-0.3</v>
      </c>
      <c r="G66">
        <f t="shared" si="6"/>
        <v>0.09</v>
      </c>
    </row>
    <row r="67" spans="1:7">
      <c r="A67">
        <v>57</v>
      </c>
      <c r="B67">
        <f t="shared" si="3"/>
        <v>0</v>
      </c>
      <c r="C67" s="10"/>
      <c r="D67" s="10"/>
      <c r="E67">
        <f t="shared" si="4"/>
        <v>0.3</v>
      </c>
      <c r="F67">
        <f t="shared" si="7"/>
        <v>-0.3</v>
      </c>
      <c r="G67">
        <f t="shared" si="6"/>
        <v>0.09</v>
      </c>
    </row>
    <row r="68" spans="1:7">
      <c r="A68">
        <v>58</v>
      </c>
      <c r="B68">
        <f t="shared" si="3"/>
        <v>0</v>
      </c>
      <c r="C68" s="10"/>
      <c r="D68" s="10"/>
      <c r="E68">
        <f t="shared" si="4"/>
        <v>0.3</v>
      </c>
      <c r="F68">
        <f t="shared" si="7"/>
        <v>-0.3</v>
      </c>
      <c r="G68">
        <f t="shared" si="6"/>
        <v>0.09</v>
      </c>
    </row>
    <row r="69" spans="1:7">
      <c r="A69">
        <v>59</v>
      </c>
      <c r="B69">
        <f t="shared" si="3"/>
        <v>0</v>
      </c>
      <c r="C69" s="10"/>
      <c r="D69" s="10"/>
      <c r="E69">
        <f t="shared" si="4"/>
        <v>0.3</v>
      </c>
      <c r="F69">
        <f t="shared" si="7"/>
        <v>-0.3</v>
      </c>
      <c r="G69">
        <f t="shared" si="6"/>
        <v>0.09</v>
      </c>
    </row>
    <row r="70" spans="1:7">
      <c r="A70">
        <v>60</v>
      </c>
      <c r="B70">
        <f t="shared" si="3"/>
        <v>0</v>
      </c>
      <c r="C70" s="10"/>
      <c r="D70" s="10"/>
      <c r="E70">
        <f t="shared" si="4"/>
        <v>0.3</v>
      </c>
      <c r="F70">
        <f t="shared" si="7"/>
        <v>-0.3</v>
      </c>
      <c r="G70">
        <f t="shared" si="6"/>
        <v>0.09</v>
      </c>
    </row>
    <row r="71" spans="1:7">
      <c r="A71">
        <v>61</v>
      </c>
      <c r="B71">
        <f t="shared" si="3"/>
        <v>0</v>
      </c>
      <c r="C71" s="10"/>
      <c r="D71" s="10"/>
      <c r="E71">
        <f t="shared" si="4"/>
        <v>0.3</v>
      </c>
      <c r="F71">
        <f t="shared" si="7"/>
        <v>-0.3</v>
      </c>
      <c r="G71">
        <f t="shared" si="6"/>
        <v>0.09</v>
      </c>
    </row>
    <row r="72" spans="1:7">
      <c r="A72">
        <v>62</v>
      </c>
      <c r="B72">
        <f t="shared" si="3"/>
        <v>0</v>
      </c>
      <c r="C72" s="10"/>
      <c r="D72" s="10"/>
      <c r="E72">
        <f t="shared" si="4"/>
        <v>0.3</v>
      </c>
      <c r="F72">
        <f t="shared" si="7"/>
        <v>-0.3</v>
      </c>
      <c r="G72">
        <f t="shared" si="6"/>
        <v>0.09</v>
      </c>
    </row>
    <row r="73" spans="1:7">
      <c r="A73">
        <v>63</v>
      </c>
      <c r="B73">
        <f t="shared" si="3"/>
        <v>0</v>
      </c>
      <c r="C73" s="10"/>
      <c r="D73" s="10"/>
      <c r="E73">
        <f t="shared" si="4"/>
        <v>0.3</v>
      </c>
      <c r="F73">
        <f t="shared" si="7"/>
        <v>-0.3</v>
      </c>
      <c r="G73">
        <f t="shared" si="6"/>
        <v>0.09</v>
      </c>
    </row>
    <row r="74" spans="1:7">
      <c r="A74">
        <v>64</v>
      </c>
      <c r="B74">
        <f t="shared" si="3"/>
        <v>0</v>
      </c>
      <c r="C74" s="10"/>
      <c r="D74" s="10"/>
      <c r="E74">
        <f t="shared" si="4"/>
        <v>0.3</v>
      </c>
      <c r="F74">
        <f t="shared" si="7"/>
        <v>-0.3</v>
      </c>
      <c r="G74">
        <f t="shared" si="6"/>
        <v>0.09</v>
      </c>
    </row>
    <row r="75" spans="1:7">
      <c r="A75">
        <v>65</v>
      </c>
      <c r="B75">
        <f t="shared" si="3"/>
        <v>0</v>
      </c>
      <c r="C75" s="10"/>
      <c r="D75" s="10"/>
      <c r="E75">
        <f t="shared" ref="E75:E138" si="8">CumOffset+fcoh*EXP(-2*GammaBar*C75+mutwo*C75^2+muthree*C75^3+mufour*C75^4)</f>
        <v>0.3</v>
      </c>
      <c r="F75">
        <f t="shared" si="7"/>
        <v>-0.3</v>
      </c>
      <c r="G75">
        <f t="shared" si="6"/>
        <v>0.09</v>
      </c>
    </row>
    <row r="76" spans="1:7">
      <c r="A76">
        <v>66</v>
      </c>
      <c r="B76">
        <f t="shared" ref="B76:B139" si="9">C76/1000</f>
        <v>0</v>
      </c>
      <c r="C76" s="10"/>
      <c r="D76" s="10"/>
      <c r="E76">
        <f t="shared" si="8"/>
        <v>0.3</v>
      </c>
      <c r="F76">
        <f t="shared" si="7"/>
        <v>-0.3</v>
      </c>
      <c r="G76">
        <f t="shared" ref="G76:G139" si="10">F76*F76</f>
        <v>0.09</v>
      </c>
    </row>
    <row r="77" spans="1:7">
      <c r="A77">
        <v>67</v>
      </c>
      <c r="B77">
        <f t="shared" si="9"/>
        <v>0</v>
      </c>
      <c r="C77" s="10"/>
      <c r="D77" s="10"/>
      <c r="E77">
        <f t="shared" si="8"/>
        <v>0.3</v>
      </c>
      <c r="F77">
        <f t="shared" si="7"/>
        <v>-0.3</v>
      </c>
      <c r="G77">
        <f t="shared" si="10"/>
        <v>0.09</v>
      </c>
    </row>
    <row r="78" spans="1:7">
      <c r="A78">
        <v>68</v>
      </c>
      <c r="B78">
        <f t="shared" si="9"/>
        <v>0</v>
      </c>
      <c r="C78" s="10"/>
      <c r="D78" s="10"/>
      <c r="E78">
        <f t="shared" si="8"/>
        <v>0.3</v>
      </c>
      <c r="F78">
        <f t="shared" si="7"/>
        <v>-0.3</v>
      </c>
      <c r="G78">
        <f t="shared" si="10"/>
        <v>0.09</v>
      </c>
    </row>
    <row r="79" spans="1:7">
      <c r="A79">
        <v>69</v>
      </c>
      <c r="B79">
        <f t="shared" si="9"/>
        <v>0</v>
      </c>
      <c r="C79" s="10"/>
      <c r="D79" s="10"/>
      <c r="E79">
        <f t="shared" si="8"/>
        <v>0.3</v>
      </c>
      <c r="F79">
        <f t="shared" ref="F79:F142" si="11">D79-E79</f>
        <v>-0.3</v>
      </c>
      <c r="G79">
        <f t="shared" si="10"/>
        <v>0.09</v>
      </c>
    </row>
    <row r="80" spans="1:7">
      <c r="A80">
        <v>70</v>
      </c>
      <c r="B80">
        <f t="shared" si="9"/>
        <v>0</v>
      </c>
      <c r="C80" s="10"/>
      <c r="D80" s="10"/>
      <c r="E80">
        <f t="shared" si="8"/>
        <v>0.3</v>
      </c>
      <c r="F80">
        <f t="shared" si="11"/>
        <v>-0.3</v>
      </c>
      <c r="G80">
        <f t="shared" si="10"/>
        <v>0.09</v>
      </c>
    </row>
    <row r="81" spans="1:7">
      <c r="A81">
        <v>71</v>
      </c>
      <c r="B81">
        <f t="shared" si="9"/>
        <v>0</v>
      </c>
      <c r="C81" s="10"/>
      <c r="D81" s="10"/>
      <c r="E81">
        <f t="shared" si="8"/>
        <v>0.3</v>
      </c>
      <c r="F81">
        <f t="shared" si="11"/>
        <v>-0.3</v>
      </c>
      <c r="G81">
        <f t="shared" si="10"/>
        <v>0.09</v>
      </c>
    </row>
    <row r="82" spans="1:7">
      <c r="A82">
        <v>72</v>
      </c>
      <c r="B82">
        <f t="shared" si="9"/>
        <v>0</v>
      </c>
      <c r="C82" s="10"/>
      <c r="D82" s="10"/>
      <c r="E82">
        <f t="shared" si="8"/>
        <v>0.3</v>
      </c>
      <c r="F82">
        <f t="shared" si="11"/>
        <v>-0.3</v>
      </c>
      <c r="G82">
        <f t="shared" si="10"/>
        <v>0.09</v>
      </c>
    </row>
    <row r="83" spans="1:7">
      <c r="A83">
        <v>73</v>
      </c>
      <c r="B83">
        <f t="shared" si="9"/>
        <v>0</v>
      </c>
      <c r="C83" s="10"/>
      <c r="D83" s="10"/>
      <c r="E83">
        <f t="shared" si="8"/>
        <v>0.3</v>
      </c>
      <c r="F83">
        <f t="shared" si="11"/>
        <v>-0.3</v>
      </c>
      <c r="G83">
        <f t="shared" si="10"/>
        <v>0.09</v>
      </c>
    </row>
    <row r="84" spans="1:7">
      <c r="A84">
        <v>74</v>
      </c>
      <c r="B84">
        <f t="shared" si="9"/>
        <v>0</v>
      </c>
      <c r="C84" s="10"/>
      <c r="D84" s="10"/>
      <c r="E84">
        <f t="shared" si="8"/>
        <v>0.3</v>
      </c>
      <c r="F84">
        <f t="shared" si="11"/>
        <v>-0.3</v>
      </c>
      <c r="G84">
        <f t="shared" si="10"/>
        <v>0.09</v>
      </c>
    </row>
    <row r="85" spans="1:7">
      <c r="A85">
        <v>75</v>
      </c>
      <c r="B85">
        <f t="shared" si="9"/>
        <v>0</v>
      </c>
      <c r="C85" s="10"/>
      <c r="D85" s="10"/>
      <c r="E85">
        <f t="shared" si="8"/>
        <v>0.3</v>
      </c>
      <c r="F85">
        <f t="shared" si="11"/>
        <v>-0.3</v>
      </c>
      <c r="G85">
        <f t="shared" si="10"/>
        <v>0.09</v>
      </c>
    </row>
    <row r="86" spans="1:7">
      <c r="A86">
        <v>76</v>
      </c>
      <c r="B86">
        <f t="shared" si="9"/>
        <v>0</v>
      </c>
      <c r="C86" s="10"/>
      <c r="D86" s="10"/>
      <c r="E86">
        <f t="shared" si="8"/>
        <v>0.3</v>
      </c>
      <c r="F86">
        <f t="shared" si="11"/>
        <v>-0.3</v>
      </c>
      <c r="G86">
        <f t="shared" si="10"/>
        <v>0.09</v>
      </c>
    </row>
    <row r="87" spans="1:7">
      <c r="A87">
        <v>77</v>
      </c>
      <c r="B87">
        <f t="shared" si="9"/>
        <v>0</v>
      </c>
      <c r="C87" s="10"/>
      <c r="D87" s="10"/>
      <c r="E87">
        <f t="shared" si="8"/>
        <v>0.3</v>
      </c>
      <c r="F87">
        <f t="shared" si="11"/>
        <v>-0.3</v>
      </c>
      <c r="G87">
        <f t="shared" si="10"/>
        <v>0.09</v>
      </c>
    </row>
    <row r="88" spans="1:7">
      <c r="A88">
        <v>78</v>
      </c>
      <c r="B88">
        <f t="shared" si="9"/>
        <v>0</v>
      </c>
      <c r="C88" s="10"/>
      <c r="D88" s="10"/>
      <c r="E88">
        <f t="shared" si="8"/>
        <v>0.3</v>
      </c>
      <c r="F88">
        <f t="shared" si="11"/>
        <v>-0.3</v>
      </c>
      <c r="G88">
        <f t="shared" si="10"/>
        <v>0.09</v>
      </c>
    </row>
    <row r="89" spans="1:7">
      <c r="A89">
        <v>79</v>
      </c>
      <c r="B89">
        <f t="shared" si="9"/>
        <v>0</v>
      </c>
      <c r="C89" s="10"/>
      <c r="D89" s="10"/>
      <c r="E89">
        <f t="shared" si="8"/>
        <v>0.3</v>
      </c>
      <c r="F89">
        <f t="shared" si="11"/>
        <v>-0.3</v>
      </c>
      <c r="G89">
        <f t="shared" si="10"/>
        <v>0.09</v>
      </c>
    </row>
    <row r="90" spans="1:7">
      <c r="A90">
        <v>80</v>
      </c>
      <c r="B90">
        <f t="shared" si="9"/>
        <v>0</v>
      </c>
      <c r="C90" s="10"/>
      <c r="D90" s="10"/>
      <c r="E90">
        <f t="shared" si="8"/>
        <v>0.3</v>
      </c>
      <c r="F90">
        <f t="shared" si="11"/>
        <v>-0.3</v>
      </c>
      <c r="G90">
        <f t="shared" si="10"/>
        <v>0.09</v>
      </c>
    </row>
    <row r="91" spans="1:7">
      <c r="A91">
        <v>81</v>
      </c>
      <c r="B91">
        <f t="shared" si="9"/>
        <v>0</v>
      </c>
      <c r="C91" s="10"/>
      <c r="D91" s="10"/>
      <c r="E91">
        <f t="shared" si="8"/>
        <v>0.3</v>
      </c>
      <c r="F91">
        <f t="shared" si="11"/>
        <v>-0.3</v>
      </c>
      <c r="G91">
        <f t="shared" si="10"/>
        <v>0.09</v>
      </c>
    </row>
    <row r="92" spans="1:7">
      <c r="A92">
        <v>82</v>
      </c>
      <c r="B92">
        <f t="shared" si="9"/>
        <v>0</v>
      </c>
      <c r="C92" s="10"/>
      <c r="D92" s="10"/>
      <c r="E92">
        <f t="shared" si="8"/>
        <v>0.3</v>
      </c>
      <c r="F92">
        <f t="shared" si="11"/>
        <v>-0.3</v>
      </c>
      <c r="G92">
        <f t="shared" si="10"/>
        <v>0.09</v>
      </c>
    </row>
    <row r="93" spans="1:7">
      <c r="A93">
        <v>83</v>
      </c>
      <c r="B93">
        <f t="shared" si="9"/>
        <v>0</v>
      </c>
      <c r="C93" s="10"/>
      <c r="D93" s="10"/>
      <c r="E93">
        <f t="shared" si="8"/>
        <v>0.3</v>
      </c>
      <c r="F93">
        <f t="shared" si="11"/>
        <v>-0.3</v>
      </c>
      <c r="G93">
        <f t="shared" si="10"/>
        <v>0.09</v>
      </c>
    </row>
    <row r="94" spans="1:7">
      <c r="A94">
        <v>84</v>
      </c>
      <c r="B94">
        <f t="shared" si="9"/>
        <v>0</v>
      </c>
      <c r="C94" s="10"/>
      <c r="D94" s="10"/>
      <c r="E94">
        <f t="shared" si="8"/>
        <v>0.3</v>
      </c>
      <c r="F94">
        <f t="shared" si="11"/>
        <v>-0.3</v>
      </c>
      <c r="G94">
        <f t="shared" si="10"/>
        <v>0.09</v>
      </c>
    </row>
    <row r="95" spans="1:7">
      <c r="A95">
        <v>85</v>
      </c>
      <c r="B95">
        <f t="shared" si="9"/>
        <v>0</v>
      </c>
      <c r="C95" s="10"/>
      <c r="D95" s="10"/>
      <c r="E95">
        <f t="shared" si="8"/>
        <v>0.3</v>
      </c>
      <c r="F95">
        <f t="shared" si="11"/>
        <v>-0.3</v>
      </c>
      <c r="G95">
        <f t="shared" si="10"/>
        <v>0.09</v>
      </c>
    </row>
    <row r="96" spans="1:7">
      <c r="A96">
        <v>86</v>
      </c>
      <c r="B96">
        <f t="shared" si="9"/>
        <v>0</v>
      </c>
      <c r="C96" s="10"/>
      <c r="D96" s="10"/>
      <c r="E96">
        <f t="shared" si="8"/>
        <v>0.3</v>
      </c>
      <c r="F96">
        <f t="shared" si="11"/>
        <v>-0.3</v>
      </c>
      <c r="G96">
        <f t="shared" si="10"/>
        <v>0.09</v>
      </c>
    </row>
    <row r="97" spans="1:7">
      <c r="A97">
        <v>87</v>
      </c>
      <c r="B97">
        <f t="shared" si="9"/>
        <v>0</v>
      </c>
      <c r="C97" s="10"/>
      <c r="D97" s="10"/>
      <c r="E97">
        <f t="shared" si="8"/>
        <v>0.3</v>
      </c>
      <c r="F97">
        <f t="shared" si="11"/>
        <v>-0.3</v>
      </c>
      <c r="G97">
        <f t="shared" si="10"/>
        <v>0.09</v>
      </c>
    </row>
    <row r="98" spans="1:7">
      <c r="A98">
        <v>88</v>
      </c>
      <c r="B98">
        <f t="shared" si="9"/>
        <v>0</v>
      </c>
      <c r="C98" s="10"/>
      <c r="D98" s="10"/>
      <c r="E98">
        <f t="shared" si="8"/>
        <v>0.3</v>
      </c>
      <c r="F98">
        <f t="shared" si="11"/>
        <v>-0.3</v>
      </c>
      <c r="G98">
        <f t="shared" si="10"/>
        <v>0.09</v>
      </c>
    </row>
    <row r="99" spans="1:7">
      <c r="A99">
        <v>89</v>
      </c>
      <c r="B99">
        <f t="shared" si="9"/>
        <v>0</v>
      </c>
      <c r="C99" s="10"/>
      <c r="D99" s="10"/>
      <c r="E99">
        <f t="shared" si="8"/>
        <v>0.3</v>
      </c>
      <c r="F99">
        <f t="shared" si="11"/>
        <v>-0.3</v>
      </c>
      <c r="G99">
        <f t="shared" si="10"/>
        <v>0.09</v>
      </c>
    </row>
    <row r="100" spans="1:7">
      <c r="A100">
        <v>90</v>
      </c>
      <c r="B100">
        <f t="shared" si="9"/>
        <v>0</v>
      </c>
      <c r="C100" s="10"/>
      <c r="D100" s="10"/>
      <c r="E100">
        <f t="shared" si="8"/>
        <v>0.3</v>
      </c>
      <c r="F100">
        <f t="shared" si="11"/>
        <v>-0.3</v>
      </c>
      <c r="G100">
        <f t="shared" si="10"/>
        <v>0.09</v>
      </c>
    </row>
    <row r="101" spans="1:7">
      <c r="A101">
        <v>91</v>
      </c>
      <c r="B101">
        <f t="shared" si="9"/>
        <v>0</v>
      </c>
      <c r="C101" s="10"/>
      <c r="D101" s="10"/>
      <c r="E101">
        <f t="shared" si="8"/>
        <v>0.3</v>
      </c>
      <c r="F101">
        <f t="shared" si="11"/>
        <v>-0.3</v>
      </c>
      <c r="G101">
        <f t="shared" si="10"/>
        <v>0.09</v>
      </c>
    </row>
    <row r="102" spans="1:7">
      <c r="A102">
        <v>92</v>
      </c>
      <c r="B102">
        <f t="shared" si="9"/>
        <v>0</v>
      </c>
      <c r="C102" s="10"/>
      <c r="D102" s="10"/>
      <c r="E102">
        <f t="shared" si="8"/>
        <v>0.3</v>
      </c>
      <c r="F102">
        <f t="shared" si="11"/>
        <v>-0.3</v>
      </c>
      <c r="G102">
        <f t="shared" si="10"/>
        <v>0.09</v>
      </c>
    </row>
    <row r="103" spans="1:7">
      <c r="A103">
        <v>93</v>
      </c>
      <c r="B103">
        <f t="shared" si="9"/>
        <v>0</v>
      </c>
      <c r="C103" s="10"/>
      <c r="D103" s="10"/>
      <c r="E103">
        <f t="shared" si="8"/>
        <v>0.3</v>
      </c>
      <c r="F103">
        <f t="shared" si="11"/>
        <v>-0.3</v>
      </c>
      <c r="G103">
        <f t="shared" si="10"/>
        <v>0.09</v>
      </c>
    </row>
    <row r="104" spans="1:7">
      <c r="A104">
        <v>94</v>
      </c>
      <c r="B104">
        <f t="shared" si="9"/>
        <v>0</v>
      </c>
      <c r="C104" s="10"/>
      <c r="D104" s="10"/>
      <c r="E104">
        <f t="shared" si="8"/>
        <v>0.3</v>
      </c>
      <c r="F104">
        <f t="shared" si="11"/>
        <v>-0.3</v>
      </c>
      <c r="G104">
        <f t="shared" si="10"/>
        <v>0.09</v>
      </c>
    </row>
    <row r="105" spans="1:7">
      <c r="A105">
        <v>95</v>
      </c>
      <c r="B105">
        <f t="shared" si="9"/>
        <v>0</v>
      </c>
      <c r="C105" s="10"/>
      <c r="D105" s="10"/>
      <c r="E105">
        <f t="shared" si="8"/>
        <v>0.3</v>
      </c>
      <c r="F105">
        <f t="shared" si="11"/>
        <v>-0.3</v>
      </c>
      <c r="G105">
        <f t="shared" si="10"/>
        <v>0.09</v>
      </c>
    </row>
    <row r="106" spans="1:7">
      <c r="A106">
        <v>96</v>
      </c>
      <c r="B106">
        <f t="shared" si="9"/>
        <v>0</v>
      </c>
      <c r="C106" s="10"/>
      <c r="D106" s="10"/>
      <c r="E106">
        <f t="shared" si="8"/>
        <v>0.3</v>
      </c>
      <c r="F106">
        <f t="shared" si="11"/>
        <v>-0.3</v>
      </c>
      <c r="G106">
        <f t="shared" si="10"/>
        <v>0.09</v>
      </c>
    </row>
    <row r="107" spans="1:7">
      <c r="A107">
        <v>97</v>
      </c>
      <c r="B107">
        <f t="shared" si="9"/>
        <v>0</v>
      </c>
      <c r="C107" s="10"/>
      <c r="D107" s="10"/>
      <c r="E107">
        <f t="shared" si="8"/>
        <v>0.3</v>
      </c>
      <c r="F107">
        <f t="shared" si="11"/>
        <v>-0.3</v>
      </c>
      <c r="G107">
        <f t="shared" si="10"/>
        <v>0.09</v>
      </c>
    </row>
    <row r="108" spans="1:7">
      <c r="A108">
        <v>98</v>
      </c>
      <c r="B108">
        <f t="shared" si="9"/>
        <v>0</v>
      </c>
      <c r="C108" s="10"/>
      <c r="D108" s="10"/>
      <c r="E108">
        <f t="shared" si="8"/>
        <v>0.3</v>
      </c>
      <c r="F108">
        <f t="shared" si="11"/>
        <v>-0.3</v>
      </c>
      <c r="G108">
        <f t="shared" si="10"/>
        <v>0.09</v>
      </c>
    </row>
    <row r="109" spans="1:7">
      <c r="A109">
        <v>99</v>
      </c>
      <c r="B109">
        <f t="shared" si="9"/>
        <v>0</v>
      </c>
      <c r="C109" s="10"/>
      <c r="D109" s="10"/>
      <c r="E109">
        <f t="shared" si="8"/>
        <v>0.3</v>
      </c>
      <c r="F109">
        <f t="shared" si="11"/>
        <v>-0.3</v>
      </c>
      <c r="G109">
        <f t="shared" si="10"/>
        <v>0.09</v>
      </c>
    </row>
    <row r="110" spans="1:7">
      <c r="A110">
        <v>100</v>
      </c>
      <c r="B110">
        <f t="shared" si="9"/>
        <v>0</v>
      </c>
      <c r="C110" s="10"/>
      <c r="D110" s="10"/>
      <c r="E110">
        <f t="shared" si="8"/>
        <v>0.3</v>
      </c>
      <c r="F110">
        <f t="shared" si="11"/>
        <v>-0.3</v>
      </c>
      <c r="G110">
        <f t="shared" si="10"/>
        <v>0.09</v>
      </c>
    </row>
    <row r="111" spans="1:7">
      <c r="A111">
        <v>101</v>
      </c>
      <c r="B111">
        <f t="shared" si="9"/>
        <v>0</v>
      </c>
      <c r="C111" s="10"/>
      <c r="D111" s="10"/>
      <c r="E111">
        <f t="shared" si="8"/>
        <v>0.3</v>
      </c>
      <c r="F111">
        <f t="shared" si="11"/>
        <v>-0.3</v>
      </c>
      <c r="G111">
        <f t="shared" si="10"/>
        <v>0.09</v>
      </c>
    </row>
    <row r="112" spans="1:7">
      <c r="A112">
        <v>102</v>
      </c>
      <c r="B112">
        <f t="shared" si="9"/>
        <v>0</v>
      </c>
      <c r="C112" s="10"/>
      <c r="D112" s="10"/>
      <c r="E112">
        <f t="shared" si="8"/>
        <v>0.3</v>
      </c>
      <c r="F112">
        <f t="shared" si="11"/>
        <v>-0.3</v>
      </c>
      <c r="G112">
        <f t="shared" si="10"/>
        <v>0.09</v>
      </c>
    </row>
    <row r="113" spans="1:7">
      <c r="A113">
        <v>103</v>
      </c>
      <c r="B113">
        <f t="shared" si="9"/>
        <v>0</v>
      </c>
      <c r="C113" s="10"/>
      <c r="D113" s="10"/>
      <c r="E113">
        <f t="shared" si="8"/>
        <v>0.3</v>
      </c>
      <c r="F113">
        <f t="shared" si="11"/>
        <v>-0.3</v>
      </c>
      <c r="G113">
        <f t="shared" si="10"/>
        <v>0.09</v>
      </c>
    </row>
    <row r="114" spans="1:7">
      <c r="A114">
        <v>104</v>
      </c>
      <c r="B114">
        <f t="shared" si="9"/>
        <v>0</v>
      </c>
      <c r="C114" s="10"/>
      <c r="D114" s="10"/>
      <c r="E114">
        <f t="shared" si="8"/>
        <v>0.3</v>
      </c>
      <c r="F114">
        <f t="shared" si="11"/>
        <v>-0.3</v>
      </c>
      <c r="G114">
        <f t="shared" si="10"/>
        <v>0.09</v>
      </c>
    </row>
    <row r="115" spans="1:7">
      <c r="A115">
        <v>105</v>
      </c>
      <c r="B115">
        <f t="shared" si="9"/>
        <v>0</v>
      </c>
      <c r="C115" s="10"/>
      <c r="D115" s="10"/>
      <c r="E115">
        <f t="shared" si="8"/>
        <v>0.3</v>
      </c>
      <c r="F115">
        <f t="shared" si="11"/>
        <v>-0.3</v>
      </c>
      <c r="G115">
        <f t="shared" si="10"/>
        <v>0.09</v>
      </c>
    </row>
    <row r="116" spans="1:7">
      <c r="A116">
        <v>106</v>
      </c>
      <c r="B116">
        <f t="shared" si="9"/>
        <v>0</v>
      </c>
      <c r="C116" s="10"/>
      <c r="D116" s="10"/>
      <c r="E116">
        <f t="shared" si="8"/>
        <v>0.3</v>
      </c>
      <c r="F116">
        <f t="shared" si="11"/>
        <v>-0.3</v>
      </c>
      <c r="G116">
        <f t="shared" si="10"/>
        <v>0.09</v>
      </c>
    </row>
    <row r="117" spans="1:7">
      <c r="A117">
        <v>107</v>
      </c>
      <c r="B117">
        <f t="shared" si="9"/>
        <v>0</v>
      </c>
      <c r="C117" s="10"/>
      <c r="D117" s="10"/>
      <c r="E117">
        <f t="shared" si="8"/>
        <v>0.3</v>
      </c>
      <c r="F117">
        <f t="shared" si="11"/>
        <v>-0.3</v>
      </c>
      <c r="G117">
        <f t="shared" si="10"/>
        <v>0.09</v>
      </c>
    </row>
    <row r="118" spans="1:7">
      <c r="A118">
        <v>108</v>
      </c>
      <c r="B118">
        <f t="shared" si="9"/>
        <v>0</v>
      </c>
      <c r="C118" s="10"/>
      <c r="D118" s="10"/>
      <c r="E118">
        <f t="shared" si="8"/>
        <v>0.3</v>
      </c>
      <c r="F118">
        <f t="shared" si="11"/>
        <v>-0.3</v>
      </c>
      <c r="G118">
        <f t="shared" si="10"/>
        <v>0.09</v>
      </c>
    </row>
    <row r="119" spans="1:7">
      <c r="A119">
        <v>109</v>
      </c>
      <c r="B119">
        <f t="shared" si="9"/>
        <v>0</v>
      </c>
      <c r="C119" s="10"/>
      <c r="D119" s="10"/>
      <c r="E119">
        <f t="shared" si="8"/>
        <v>0.3</v>
      </c>
      <c r="F119">
        <f t="shared" si="11"/>
        <v>-0.3</v>
      </c>
      <c r="G119">
        <f t="shared" si="10"/>
        <v>0.09</v>
      </c>
    </row>
    <row r="120" spans="1:7">
      <c r="A120">
        <v>110</v>
      </c>
      <c r="B120">
        <f t="shared" si="9"/>
        <v>0</v>
      </c>
      <c r="C120" s="10"/>
      <c r="D120" s="10"/>
      <c r="E120">
        <f t="shared" si="8"/>
        <v>0.3</v>
      </c>
      <c r="F120">
        <f t="shared" si="11"/>
        <v>-0.3</v>
      </c>
      <c r="G120">
        <f t="shared" si="10"/>
        <v>0.09</v>
      </c>
    </row>
    <row r="121" spans="1:7">
      <c r="A121">
        <v>111</v>
      </c>
      <c r="B121">
        <f t="shared" si="9"/>
        <v>0</v>
      </c>
      <c r="C121" s="10"/>
      <c r="D121" s="10"/>
      <c r="E121">
        <f t="shared" si="8"/>
        <v>0.3</v>
      </c>
      <c r="F121">
        <f t="shared" si="11"/>
        <v>-0.3</v>
      </c>
      <c r="G121">
        <f t="shared" si="10"/>
        <v>0.09</v>
      </c>
    </row>
    <row r="122" spans="1:7">
      <c r="A122">
        <v>112</v>
      </c>
      <c r="B122">
        <f t="shared" si="9"/>
        <v>0</v>
      </c>
      <c r="C122" s="10"/>
      <c r="D122" s="10"/>
      <c r="E122">
        <f t="shared" si="8"/>
        <v>0.3</v>
      </c>
      <c r="F122">
        <f t="shared" si="11"/>
        <v>-0.3</v>
      </c>
      <c r="G122">
        <f t="shared" si="10"/>
        <v>0.09</v>
      </c>
    </row>
    <row r="123" spans="1:7">
      <c r="A123">
        <v>113</v>
      </c>
      <c r="B123">
        <f t="shared" si="9"/>
        <v>0</v>
      </c>
      <c r="C123" s="10"/>
      <c r="D123" s="10"/>
      <c r="E123">
        <f t="shared" si="8"/>
        <v>0.3</v>
      </c>
      <c r="F123">
        <f t="shared" si="11"/>
        <v>-0.3</v>
      </c>
      <c r="G123">
        <f t="shared" si="10"/>
        <v>0.09</v>
      </c>
    </row>
    <row r="124" spans="1:7">
      <c r="A124">
        <v>114</v>
      </c>
      <c r="B124">
        <f t="shared" si="9"/>
        <v>0</v>
      </c>
      <c r="C124" s="10"/>
      <c r="D124" s="10"/>
      <c r="E124">
        <f t="shared" si="8"/>
        <v>0.3</v>
      </c>
      <c r="F124">
        <f t="shared" si="11"/>
        <v>-0.3</v>
      </c>
      <c r="G124">
        <f t="shared" si="10"/>
        <v>0.09</v>
      </c>
    </row>
    <row r="125" spans="1:7">
      <c r="A125">
        <v>115</v>
      </c>
      <c r="B125">
        <f t="shared" si="9"/>
        <v>0</v>
      </c>
      <c r="C125" s="10"/>
      <c r="D125" s="10"/>
      <c r="E125">
        <f t="shared" si="8"/>
        <v>0.3</v>
      </c>
      <c r="F125">
        <f t="shared" si="11"/>
        <v>-0.3</v>
      </c>
      <c r="G125">
        <f t="shared" si="10"/>
        <v>0.09</v>
      </c>
    </row>
    <row r="126" spans="1:7">
      <c r="A126">
        <v>116</v>
      </c>
      <c r="B126">
        <f t="shared" si="9"/>
        <v>0</v>
      </c>
      <c r="C126" s="10"/>
      <c r="D126" s="10"/>
      <c r="E126">
        <f t="shared" si="8"/>
        <v>0.3</v>
      </c>
      <c r="F126">
        <f t="shared" si="11"/>
        <v>-0.3</v>
      </c>
      <c r="G126">
        <f t="shared" si="10"/>
        <v>0.09</v>
      </c>
    </row>
    <row r="127" spans="1:7">
      <c r="A127">
        <v>117</v>
      </c>
      <c r="B127">
        <f t="shared" si="9"/>
        <v>0</v>
      </c>
      <c r="C127" s="10"/>
      <c r="D127" s="10"/>
      <c r="E127">
        <f t="shared" si="8"/>
        <v>0.3</v>
      </c>
      <c r="F127">
        <f t="shared" si="11"/>
        <v>-0.3</v>
      </c>
      <c r="G127">
        <f t="shared" si="10"/>
        <v>0.09</v>
      </c>
    </row>
    <row r="128" spans="1:7">
      <c r="A128">
        <v>118</v>
      </c>
      <c r="B128">
        <f t="shared" si="9"/>
        <v>0</v>
      </c>
      <c r="C128" s="10"/>
      <c r="D128" s="10"/>
      <c r="E128">
        <f t="shared" si="8"/>
        <v>0.3</v>
      </c>
      <c r="F128">
        <f t="shared" si="11"/>
        <v>-0.3</v>
      </c>
      <c r="G128">
        <f t="shared" si="10"/>
        <v>0.09</v>
      </c>
    </row>
    <row r="129" spans="1:7">
      <c r="A129">
        <v>119</v>
      </c>
      <c r="B129">
        <f t="shared" si="9"/>
        <v>0</v>
      </c>
      <c r="C129" s="10"/>
      <c r="D129" s="10"/>
      <c r="E129">
        <f t="shared" si="8"/>
        <v>0.3</v>
      </c>
      <c r="F129">
        <f t="shared" si="11"/>
        <v>-0.3</v>
      </c>
      <c r="G129">
        <f t="shared" si="10"/>
        <v>0.09</v>
      </c>
    </row>
    <row r="130" spans="1:7">
      <c r="A130">
        <v>120</v>
      </c>
      <c r="B130">
        <f t="shared" si="9"/>
        <v>0</v>
      </c>
      <c r="C130" s="10"/>
      <c r="D130" s="10"/>
      <c r="E130">
        <f t="shared" si="8"/>
        <v>0.3</v>
      </c>
      <c r="F130">
        <f t="shared" si="11"/>
        <v>-0.3</v>
      </c>
      <c r="G130">
        <f t="shared" si="10"/>
        <v>0.09</v>
      </c>
    </row>
    <row r="131" spans="1:7">
      <c r="A131">
        <v>121</v>
      </c>
      <c r="B131">
        <f t="shared" si="9"/>
        <v>0</v>
      </c>
      <c r="C131" s="10"/>
      <c r="D131" s="10"/>
      <c r="E131">
        <f t="shared" si="8"/>
        <v>0.3</v>
      </c>
      <c r="F131">
        <f t="shared" si="11"/>
        <v>-0.3</v>
      </c>
      <c r="G131">
        <f t="shared" si="10"/>
        <v>0.09</v>
      </c>
    </row>
    <row r="132" spans="1:7">
      <c r="A132">
        <v>122</v>
      </c>
      <c r="B132">
        <f t="shared" si="9"/>
        <v>0</v>
      </c>
      <c r="C132" s="10"/>
      <c r="D132" s="10"/>
      <c r="E132">
        <f t="shared" si="8"/>
        <v>0.3</v>
      </c>
      <c r="F132">
        <f t="shared" si="11"/>
        <v>-0.3</v>
      </c>
      <c r="G132">
        <f t="shared" si="10"/>
        <v>0.09</v>
      </c>
    </row>
    <row r="133" spans="1:7">
      <c r="A133">
        <v>123</v>
      </c>
      <c r="B133">
        <f t="shared" si="9"/>
        <v>0</v>
      </c>
      <c r="C133" s="10"/>
      <c r="D133" s="10"/>
      <c r="E133">
        <f t="shared" si="8"/>
        <v>0.3</v>
      </c>
      <c r="F133">
        <f t="shared" si="11"/>
        <v>-0.3</v>
      </c>
      <c r="G133">
        <f t="shared" si="10"/>
        <v>0.09</v>
      </c>
    </row>
    <row r="134" spans="1:7">
      <c r="A134">
        <v>124</v>
      </c>
      <c r="B134">
        <f t="shared" si="9"/>
        <v>0</v>
      </c>
      <c r="C134" s="10"/>
      <c r="D134" s="10"/>
      <c r="E134">
        <f t="shared" si="8"/>
        <v>0.3</v>
      </c>
      <c r="F134">
        <f t="shared" si="11"/>
        <v>-0.3</v>
      </c>
      <c r="G134">
        <f t="shared" si="10"/>
        <v>0.09</v>
      </c>
    </row>
    <row r="135" spans="1:7">
      <c r="A135">
        <v>125</v>
      </c>
      <c r="B135">
        <f t="shared" si="9"/>
        <v>0</v>
      </c>
      <c r="C135" s="10"/>
      <c r="D135" s="10"/>
      <c r="E135">
        <f t="shared" si="8"/>
        <v>0.3</v>
      </c>
      <c r="F135">
        <f t="shared" si="11"/>
        <v>-0.3</v>
      </c>
      <c r="G135">
        <f t="shared" si="10"/>
        <v>0.09</v>
      </c>
    </row>
    <row r="136" spans="1:7">
      <c r="A136">
        <v>126</v>
      </c>
      <c r="B136">
        <f t="shared" si="9"/>
        <v>0</v>
      </c>
      <c r="C136" s="10"/>
      <c r="D136" s="10"/>
      <c r="E136">
        <f t="shared" si="8"/>
        <v>0.3</v>
      </c>
      <c r="F136">
        <f t="shared" si="11"/>
        <v>-0.3</v>
      </c>
      <c r="G136">
        <f t="shared" si="10"/>
        <v>0.09</v>
      </c>
    </row>
    <row r="137" spans="1:7">
      <c r="A137">
        <v>127</v>
      </c>
      <c r="B137">
        <f t="shared" si="9"/>
        <v>0</v>
      </c>
      <c r="C137" s="10"/>
      <c r="D137" s="10"/>
      <c r="E137">
        <f t="shared" si="8"/>
        <v>0.3</v>
      </c>
      <c r="F137">
        <f t="shared" si="11"/>
        <v>-0.3</v>
      </c>
      <c r="G137">
        <f t="shared" si="10"/>
        <v>0.09</v>
      </c>
    </row>
    <row r="138" spans="1:7">
      <c r="A138">
        <v>128</v>
      </c>
      <c r="B138">
        <f t="shared" si="9"/>
        <v>0</v>
      </c>
      <c r="C138" s="10"/>
      <c r="D138" s="10"/>
      <c r="E138">
        <f t="shared" si="8"/>
        <v>0.3</v>
      </c>
      <c r="F138">
        <f t="shared" si="11"/>
        <v>-0.3</v>
      </c>
      <c r="G138">
        <f t="shared" si="10"/>
        <v>0.09</v>
      </c>
    </row>
    <row r="139" spans="1:7">
      <c r="A139">
        <v>129</v>
      </c>
      <c r="B139">
        <f t="shared" si="9"/>
        <v>0</v>
      </c>
      <c r="C139" s="10"/>
      <c r="D139" s="10"/>
      <c r="E139">
        <f t="shared" ref="E139:E202" si="12">CumOffset+fcoh*EXP(-2*GammaBar*C139+mutwo*C139^2+muthree*C139^3+mufour*C139^4)</f>
        <v>0.3</v>
      </c>
      <c r="F139">
        <f t="shared" si="11"/>
        <v>-0.3</v>
      </c>
      <c r="G139">
        <f t="shared" si="10"/>
        <v>0.09</v>
      </c>
    </row>
    <row r="140" spans="1:7">
      <c r="A140">
        <v>130</v>
      </c>
      <c r="B140">
        <f t="shared" ref="B140:B203" si="13">C140/1000</f>
        <v>0</v>
      </c>
      <c r="C140" s="10"/>
      <c r="D140" s="10"/>
      <c r="E140">
        <f t="shared" si="12"/>
        <v>0.3</v>
      </c>
      <c r="F140">
        <f t="shared" si="11"/>
        <v>-0.3</v>
      </c>
      <c r="G140">
        <f t="shared" ref="G140:G203" si="14">F140*F140</f>
        <v>0.09</v>
      </c>
    </row>
    <row r="141" spans="1:7">
      <c r="A141">
        <v>131</v>
      </c>
      <c r="B141">
        <f t="shared" si="13"/>
        <v>0</v>
      </c>
      <c r="C141" s="10"/>
      <c r="D141" s="10"/>
      <c r="E141">
        <f t="shared" si="12"/>
        <v>0.3</v>
      </c>
      <c r="F141">
        <f t="shared" si="11"/>
        <v>-0.3</v>
      </c>
      <c r="G141">
        <f t="shared" si="14"/>
        <v>0.09</v>
      </c>
    </row>
    <row r="142" spans="1:7">
      <c r="A142">
        <v>132</v>
      </c>
      <c r="B142">
        <f t="shared" si="13"/>
        <v>0</v>
      </c>
      <c r="C142" s="10"/>
      <c r="D142" s="10"/>
      <c r="E142">
        <f t="shared" si="12"/>
        <v>0.3</v>
      </c>
      <c r="F142">
        <f t="shared" si="11"/>
        <v>-0.3</v>
      </c>
      <c r="G142">
        <f t="shared" si="14"/>
        <v>0.09</v>
      </c>
    </row>
    <row r="143" spans="1:7">
      <c r="A143">
        <v>133</v>
      </c>
      <c r="B143">
        <f t="shared" si="13"/>
        <v>0</v>
      </c>
      <c r="C143" s="10"/>
      <c r="D143" s="10"/>
      <c r="E143">
        <f t="shared" si="12"/>
        <v>0.3</v>
      </c>
      <c r="F143">
        <f t="shared" ref="F143:F206" si="15">D143-E143</f>
        <v>-0.3</v>
      </c>
      <c r="G143">
        <f t="shared" si="14"/>
        <v>0.09</v>
      </c>
    </row>
    <row r="144" spans="1:7">
      <c r="A144">
        <v>134</v>
      </c>
      <c r="B144">
        <f t="shared" si="13"/>
        <v>0</v>
      </c>
      <c r="C144" s="10"/>
      <c r="D144" s="10"/>
      <c r="E144">
        <f t="shared" si="12"/>
        <v>0.3</v>
      </c>
      <c r="F144">
        <f t="shared" si="15"/>
        <v>-0.3</v>
      </c>
      <c r="G144">
        <f t="shared" si="14"/>
        <v>0.09</v>
      </c>
    </row>
    <row r="145" spans="1:7">
      <c r="A145">
        <v>135</v>
      </c>
      <c r="B145">
        <f t="shared" si="13"/>
        <v>0</v>
      </c>
      <c r="C145" s="10"/>
      <c r="D145" s="10"/>
      <c r="E145">
        <f t="shared" si="12"/>
        <v>0.3</v>
      </c>
      <c r="F145">
        <f t="shared" si="15"/>
        <v>-0.3</v>
      </c>
      <c r="G145">
        <f t="shared" si="14"/>
        <v>0.09</v>
      </c>
    </row>
    <row r="146" spans="1:7">
      <c r="A146">
        <v>136</v>
      </c>
      <c r="B146">
        <f t="shared" si="13"/>
        <v>0</v>
      </c>
      <c r="C146" s="10"/>
      <c r="D146" s="10"/>
      <c r="E146">
        <f t="shared" si="12"/>
        <v>0.3</v>
      </c>
      <c r="F146">
        <f t="shared" si="15"/>
        <v>-0.3</v>
      </c>
      <c r="G146">
        <f t="shared" si="14"/>
        <v>0.09</v>
      </c>
    </row>
    <row r="147" spans="1:7">
      <c r="A147">
        <v>137</v>
      </c>
      <c r="B147">
        <f t="shared" si="13"/>
        <v>0</v>
      </c>
      <c r="C147" s="10"/>
      <c r="D147" s="10"/>
      <c r="E147">
        <f t="shared" si="12"/>
        <v>0.3</v>
      </c>
      <c r="F147">
        <f t="shared" si="15"/>
        <v>-0.3</v>
      </c>
      <c r="G147">
        <f t="shared" si="14"/>
        <v>0.09</v>
      </c>
    </row>
    <row r="148" spans="1:7">
      <c r="A148">
        <v>138</v>
      </c>
      <c r="B148">
        <f t="shared" si="13"/>
        <v>0</v>
      </c>
      <c r="C148" s="10"/>
      <c r="D148" s="10"/>
      <c r="E148">
        <f t="shared" si="12"/>
        <v>0.3</v>
      </c>
      <c r="F148">
        <f t="shared" si="15"/>
        <v>-0.3</v>
      </c>
      <c r="G148">
        <f t="shared" si="14"/>
        <v>0.09</v>
      </c>
    </row>
    <row r="149" spans="1:7">
      <c r="A149">
        <v>139</v>
      </c>
      <c r="B149">
        <f t="shared" si="13"/>
        <v>0</v>
      </c>
      <c r="C149" s="10"/>
      <c r="D149" s="10"/>
      <c r="E149">
        <f t="shared" si="12"/>
        <v>0.3</v>
      </c>
      <c r="F149">
        <f t="shared" si="15"/>
        <v>-0.3</v>
      </c>
      <c r="G149">
        <f t="shared" si="14"/>
        <v>0.09</v>
      </c>
    </row>
    <row r="150" spans="1:7">
      <c r="A150">
        <v>140</v>
      </c>
      <c r="B150">
        <f t="shared" si="13"/>
        <v>0</v>
      </c>
      <c r="C150" s="10"/>
      <c r="D150" s="10"/>
      <c r="E150">
        <f t="shared" si="12"/>
        <v>0.3</v>
      </c>
      <c r="F150">
        <f t="shared" si="15"/>
        <v>-0.3</v>
      </c>
      <c r="G150">
        <f t="shared" si="14"/>
        <v>0.09</v>
      </c>
    </row>
    <row r="151" spans="1:7">
      <c r="A151">
        <v>141</v>
      </c>
      <c r="B151">
        <f t="shared" si="13"/>
        <v>0</v>
      </c>
      <c r="C151" s="10"/>
      <c r="D151" s="10"/>
      <c r="E151">
        <f t="shared" si="12"/>
        <v>0.3</v>
      </c>
      <c r="F151">
        <f t="shared" si="15"/>
        <v>-0.3</v>
      </c>
      <c r="G151">
        <f t="shared" si="14"/>
        <v>0.09</v>
      </c>
    </row>
    <row r="152" spans="1:7">
      <c r="A152">
        <v>142</v>
      </c>
      <c r="B152">
        <f t="shared" si="13"/>
        <v>0</v>
      </c>
      <c r="C152" s="10"/>
      <c r="D152" s="10"/>
      <c r="E152">
        <f t="shared" si="12"/>
        <v>0.3</v>
      </c>
      <c r="F152">
        <f t="shared" si="15"/>
        <v>-0.3</v>
      </c>
      <c r="G152">
        <f t="shared" si="14"/>
        <v>0.09</v>
      </c>
    </row>
    <row r="153" spans="1:7">
      <c r="A153">
        <v>143</v>
      </c>
      <c r="B153">
        <f t="shared" si="13"/>
        <v>0</v>
      </c>
      <c r="C153" s="10"/>
      <c r="D153" s="10"/>
      <c r="E153">
        <f t="shared" si="12"/>
        <v>0.3</v>
      </c>
      <c r="F153">
        <f t="shared" si="15"/>
        <v>-0.3</v>
      </c>
      <c r="G153">
        <f t="shared" si="14"/>
        <v>0.09</v>
      </c>
    </row>
    <row r="154" spans="1:7">
      <c r="A154">
        <v>144</v>
      </c>
      <c r="B154">
        <f t="shared" si="13"/>
        <v>0</v>
      </c>
      <c r="C154" s="10"/>
      <c r="D154" s="10"/>
      <c r="E154">
        <f t="shared" si="12"/>
        <v>0.3</v>
      </c>
      <c r="F154">
        <f t="shared" si="15"/>
        <v>-0.3</v>
      </c>
      <c r="G154">
        <f t="shared" si="14"/>
        <v>0.09</v>
      </c>
    </row>
    <row r="155" spans="1:7">
      <c r="A155">
        <v>145</v>
      </c>
      <c r="B155">
        <f t="shared" si="13"/>
        <v>0</v>
      </c>
      <c r="C155" s="10"/>
      <c r="D155" s="10"/>
      <c r="E155">
        <f t="shared" si="12"/>
        <v>0.3</v>
      </c>
      <c r="F155">
        <f t="shared" si="15"/>
        <v>-0.3</v>
      </c>
      <c r="G155">
        <f t="shared" si="14"/>
        <v>0.09</v>
      </c>
    </row>
    <row r="156" spans="1:7">
      <c r="A156">
        <v>146</v>
      </c>
      <c r="B156">
        <f t="shared" si="13"/>
        <v>0</v>
      </c>
      <c r="C156" s="10"/>
      <c r="D156" s="10"/>
      <c r="E156">
        <f t="shared" si="12"/>
        <v>0.3</v>
      </c>
      <c r="F156">
        <f t="shared" si="15"/>
        <v>-0.3</v>
      </c>
      <c r="G156">
        <f t="shared" si="14"/>
        <v>0.09</v>
      </c>
    </row>
    <row r="157" spans="1:7">
      <c r="A157">
        <v>147</v>
      </c>
      <c r="B157">
        <f t="shared" si="13"/>
        <v>0</v>
      </c>
      <c r="C157" s="10"/>
      <c r="D157" s="10"/>
      <c r="E157">
        <f t="shared" si="12"/>
        <v>0.3</v>
      </c>
      <c r="F157">
        <f t="shared" si="15"/>
        <v>-0.3</v>
      </c>
      <c r="G157">
        <f t="shared" si="14"/>
        <v>0.09</v>
      </c>
    </row>
    <row r="158" spans="1:7">
      <c r="A158">
        <v>148</v>
      </c>
      <c r="B158">
        <f t="shared" si="13"/>
        <v>0</v>
      </c>
      <c r="C158" s="10"/>
      <c r="D158" s="10"/>
      <c r="E158">
        <f t="shared" si="12"/>
        <v>0.3</v>
      </c>
      <c r="F158">
        <f t="shared" si="15"/>
        <v>-0.3</v>
      </c>
      <c r="G158">
        <f t="shared" si="14"/>
        <v>0.09</v>
      </c>
    </row>
    <row r="159" spans="1:7">
      <c r="A159">
        <v>149</v>
      </c>
      <c r="B159">
        <f t="shared" si="13"/>
        <v>0</v>
      </c>
      <c r="C159" s="10"/>
      <c r="D159" s="10"/>
      <c r="E159">
        <f t="shared" si="12"/>
        <v>0.3</v>
      </c>
      <c r="F159">
        <f t="shared" si="15"/>
        <v>-0.3</v>
      </c>
      <c r="G159">
        <f t="shared" si="14"/>
        <v>0.09</v>
      </c>
    </row>
    <row r="160" spans="1:7">
      <c r="A160">
        <v>150</v>
      </c>
      <c r="B160">
        <f t="shared" si="13"/>
        <v>0</v>
      </c>
      <c r="C160" s="10"/>
      <c r="D160" s="10"/>
      <c r="E160">
        <f t="shared" si="12"/>
        <v>0.3</v>
      </c>
      <c r="F160">
        <f t="shared" si="15"/>
        <v>-0.3</v>
      </c>
      <c r="G160">
        <f t="shared" si="14"/>
        <v>0.09</v>
      </c>
    </row>
    <row r="161" spans="1:7">
      <c r="A161">
        <v>151</v>
      </c>
      <c r="B161">
        <f t="shared" si="13"/>
        <v>0</v>
      </c>
      <c r="C161" s="10"/>
      <c r="D161" s="10"/>
      <c r="E161">
        <f t="shared" si="12"/>
        <v>0.3</v>
      </c>
      <c r="F161">
        <f t="shared" si="15"/>
        <v>-0.3</v>
      </c>
      <c r="G161">
        <f t="shared" si="14"/>
        <v>0.09</v>
      </c>
    </row>
    <row r="162" spans="1:7">
      <c r="A162">
        <v>152</v>
      </c>
      <c r="B162">
        <f t="shared" si="13"/>
        <v>0</v>
      </c>
      <c r="C162" s="10"/>
      <c r="D162" s="10"/>
      <c r="E162">
        <f t="shared" si="12"/>
        <v>0.3</v>
      </c>
      <c r="F162">
        <f t="shared" si="15"/>
        <v>-0.3</v>
      </c>
      <c r="G162">
        <f t="shared" si="14"/>
        <v>0.09</v>
      </c>
    </row>
    <row r="163" spans="1:7">
      <c r="A163">
        <v>153</v>
      </c>
      <c r="B163">
        <f t="shared" si="13"/>
        <v>0</v>
      </c>
      <c r="C163" s="10"/>
      <c r="D163" s="10"/>
      <c r="E163">
        <f t="shared" si="12"/>
        <v>0.3</v>
      </c>
      <c r="F163">
        <f t="shared" si="15"/>
        <v>-0.3</v>
      </c>
      <c r="G163">
        <f t="shared" si="14"/>
        <v>0.09</v>
      </c>
    </row>
    <row r="164" spans="1:7">
      <c r="A164">
        <v>154</v>
      </c>
      <c r="B164">
        <f t="shared" si="13"/>
        <v>0</v>
      </c>
      <c r="C164" s="10"/>
      <c r="D164" s="10"/>
      <c r="E164">
        <f t="shared" si="12"/>
        <v>0.3</v>
      </c>
      <c r="F164">
        <f t="shared" si="15"/>
        <v>-0.3</v>
      </c>
      <c r="G164">
        <f t="shared" si="14"/>
        <v>0.09</v>
      </c>
    </row>
    <row r="165" spans="1:7">
      <c r="A165">
        <v>155</v>
      </c>
      <c r="B165">
        <f t="shared" si="13"/>
        <v>0</v>
      </c>
      <c r="C165" s="10"/>
      <c r="D165" s="10"/>
      <c r="E165">
        <f t="shared" si="12"/>
        <v>0.3</v>
      </c>
      <c r="F165">
        <f t="shared" si="15"/>
        <v>-0.3</v>
      </c>
      <c r="G165">
        <f t="shared" si="14"/>
        <v>0.09</v>
      </c>
    </row>
    <row r="166" spans="1:7">
      <c r="A166">
        <v>156</v>
      </c>
      <c r="B166">
        <f t="shared" si="13"/>
        <v>0</v>
      </c>
      <c r="C166" s="10"/>
      <c r="D166" s="10"/>
      <c r="E166">
        <f t="shared" si="12"/>
        <v>0.3</v>
      </c>
      <c r="F166">
        <f t="shared" si="15"/>
        <v>-0.3</v>
      </c>
      <c r="G166">
        <f t="shared" si="14"/>
        <v>0.09</v>
      </c>
    </row>
    <row r="167" spans="1:7">
      <c r="A167">
        <v>157</v>
      </c>
      <c r="B167">
        <f t="shared" si="13"/>
        <v>0</v>
      </c>
      <c r="C167" s="10"/>
      <c r="D167" s="10"/>
      <c r="E167">
        <f t="shared" si="12"/>
        <v>0.3</v>
      </c>
      <c r="F167">
        <f t="shared" si="15"/>
        <v>-0.3</v>
      </c>
      <c r="G167">
        <f t="shared" si="14"/>
        <v>0.09</v>
      </c>
    </row>
    <row r="168" spans="1:7">
      <c r="A168">
        <v>158</v>
      </c>
      <c r="B168">
        <f t="shared" si="13"/>
        <v>0</v>
      </c>
      <c r="C168" s="10"/>
      <c r="D168" s="10"/>
      <c r="E168">
        <f t="shared" si="12"/>
        <v>0.3</v>
      </c>
      <c r="F168">
        <f t="shared" si="15"/>
        <v>-0.3</v>
      </c>
      <c r="G168">
        <f t="shared" si="14"/>
        <v>0.09</v>
      </c>
    </row>
    <row r="169" spans="1:7">
      <c r="A169">
        <v>159</v>
      </c>
      <c r="B169">
        <f t="shared" si="13"/>
        <v>0</v>
      </c>
      <c r="C169" s="10"/>
      <c r="D169" s="10"/>
      <c r="E169">
        <f t="shared" si="12"/>
        <v>0.3</v>
      </c>
      <c r="F169">
        <f t="shared" si="15"/>
        <v>-0.3</v>
      </c>
      <c r="G169">
        <f t="shared" si="14"/>
        <v>0.09</v>
      </c>
    </row>
    <row r="170" spans="1:7">
      <c r="A170">
        <v>160</v>
      </c>
      <c r="B170">
        <f t="shared" si="13"/>
        <v>0</v>
      </c>
      <c r="C170" s="10"/>
      <c r="D170" s="10"/>
      <c r="E170">
        <f t="shared" si="12"/>
        <v>0.3</v>
      </c>
      <c r="F170">
        <f t="shared" si="15"/>
        <v>-0.3</v>
      </c>
      <c r="G170">
        <f t="shared" si="14"/>
        <v>0.09</v>
      </c>
    </row>
    <row r="171" spans="1:7">
      <c r="A171">
        <v>161</v>
      </c>
      <c r="B171">
        <f t="shared" si="13"/>
        <v>0</v>
      </c>
      <c r="C171" s="10"/>
      <c r="D171" s="10"/>
      <c r="E171">
        <f t="shared" si="12"/>
        <v>0.3</v>
      </c>
      <c r="F171">
        <f t="shared" si="15"/>
        <v>-0.3</v>
      </c>
      <c r="G171">
        <f t="shared" si="14"/>
        <v>0.09</v>
      </c>
    </row>
    <row r="172" spans="1:7">
      <c r="A172">
        <v>162</v>
      </c>
      <c r="B172">
        <f t="shared" si="13"/>
        <v>0</v>
      </c>
      <c r="C172" s="10"/>
      <c r="D172" s="10"/>
      <c r="E172">
        <f t="shared" si="12"/>
        <v>0.3</v>
      </c>
      <c r="F172">
        <f t="shared" si="15"/>
        <v>-0.3</v>
      </c>
      <c r="G172">
        <f t="shared" si="14"/>
        <v>0.09</v>
      </c>
    </row>
    <row r="173" spans="1:7">
      <c r="A173">
        <v>163</v>
      </c>
      <c r="B173">
        <f t="shared" si="13"/>
        <v>0</v>
      </c>
      <c r="C173" s="10"/>
      <c r="D173" s="10"/>
      <c r="E173">
        <f t="shared" si="12"/>
        <v>0.3</v>
      </c>
      <c r="F173">
        <f t="shared" si="15"/>
        <v>-0.3</v>
      </c>
      <c r="G173">
        <f t="shared" si="14"/>
        <v>0.09</v>
      </c>
    </row>
    <row r="174" spans="1:7">
      <c r="A174">
        <v>164</v>
      </c>
      <c r="B174">
        <f t="shared" si="13"/>
        <v>0</v>
      </c>
      <c r="C174" s="10"/>
      <c r="D174" s="10"/>
      <c r="E174">
        <f t="shared" si="12"/>
        <v>0.3</v>
      </c>
      <c r="F174">
        <f t="shared" si="15"/>
        <v>-0.3</v>
      </c>
      <c r="G174">
        <f t="shared" si="14"/>
        <v>0.09</v>
      </c>
    </row>
    <row r="175" spans="1:7">
      <c r="A175">
        <v>165</v>
      </c>
      <c r="B175">
        <f t="shared" si="13"/>
        <v>0</v>
      </c>
      <c r="C175" s="10"/>
      <c r="D175" s="10"/>
      <c r="E175">
        <f t="shared" si="12"/>
        <v>0.3</v>
      </c>
      <c r="F175">
        <f t="shared" si="15"/>
        <v>-0.3</v>
      </c>
      <c r="G175">
        <f t="shared" si="14"/>
        <v>0.09</v>
      </c>
    </row>
    <row r="176" spans="1:7">
      <c r="A176">
        <v>166</v>
      </c>
      <c r="B176">
        <f t="shared" si="13"/>
        <v>0</v>
      </c>
      <c r="C176" s="10"/>
      <c r="D176" s="10"/>
      <c r="E176">
        <f t="shared" si="12"/>
        <v>0.3</v>
      </c>
      <c r="F176">
        <f t="shared" si="15"/>
        <v>-0.3</v>
      </c>
      <c r="G176">
        <f t="shared" si="14"/>
        <v>0.09</v>
      </c>
    </row>
    <row r="177" spans="1:7">
      <c r="A177">
        <v>167</v>
      </c>
      <c r="B177">
        <f t="shared" si="13"/>
        <v>0</v>
      </c>
      <c r="C177" s="10"/>
      <c r="D177" s="10"/>
      <c r="E177">
        <f t="shared" si="12"/>
        <v>0.3</v>
      </c>
      <c r="F177">
        <f t="shared" si="15"/>
        <v>-0.3</v>
      </c>
      <c r="G177">
        <f t="shared" si="14"/>
        <v>0.09</v>
      </c>
    </row>
    <row r="178" spans="1:7">
      <c r="A178">
        <v>168</v>
      </c>
      <c r="B178">
        <f t="shared" si="13"/>
        <v>0</v>
      </c>
      <c r="C178" s="10"/>
      <c r="D178" s="10"/>
      <c r="E178">
        <f t="shared" si="12"/>
        <v>0.3</v>
      </c>
      <c r="F178">
        <f t="shared" si="15"/>
        <v>-0.3</v>
      </c>
      <c r="G178">
        <f t="shared" si="14"/>
        <v>0.09</v>
      </c>
    </row>
    <row r="179" spans="1:7">
      <c r="A179">
        <v>169</v>
      </c>
      <c r="B179">
        <f t="shared" si="13"/>
        <v>0</v>
      </c>
      <c r="C179" s="10"/>
      <c r="D179" s="10"/>
      <c r="E179">
        <f t="shared" si="12"/>
        <v>0.3</v>
      </c>
      <c r="F179">
        <f t="shared" si="15"/>
        <v>-0.3</v>
      </c>
      <c r="G179">
        <f t="shared" si="14"/>
        <v>0.09</v>
      </c>
    </row>
    <row r="180" spans="1:7">
      <c r="A180">
        <v>170</v>
      </c>
      <c r="B180">
        <f t="shared" si="13"/>
        <v>0</v>
      </c>
      <c r="C180" s="10"/>
      <c r="D180" s="10"/>
      <c r="E180">
        <f t="shared" si="12"/>
        <v>0.3</v>
      </c>
      <c r="F180">
        <f t="shared" si="15"/>
        <v>-0.3</v>
      </c>
      <c r="G180">
        <f t="shared" si="14"/>
        <v>0.09</v>
      </c>
    </row>
    <row r="181" spans="1:7">
      <c r="A181">
        <v>171</v>
      </c>
      <c r="B181">
        <f t="shared" si="13"/>
        <v>0</v>
      </c>
      <c r="C181" s="10"/>
      <c r="D181" s="10"/>
      <c r="E181">
        <f t="shared" si="12"/>
        <v>0.3</v>
      </c>
      <c r="F181">
        <f t="shared" si="15"/>
        <v>-0.3</v>
      </c>
      <c r="G181">
        <f t="shared" si="14"/>
        <v>0.09</v>
      </c>
    </row>
    <row r="182" spans="1:7">
      <c r="A182">
        <v>172</v>
      </c>
      <c r="B182">
        <f t="shared" si="13"/>
        <v>0</v>
      </c>
      <c r="C182" s="10"/>
      <c r="D182" s="10"/>
      <c r="E182">
        <f t="shared" si="12"/>
        <v>0.3</v>
      </c>
      <c r="F182">
        <f t="shared" si="15"/>
        <v>-0.3</v>
      </c>
      <c r="G182">
        <f t="shared" si="14"/>
        <v>0.09</v>
      </c>
    </row>
    <row r="183" spans="1:7">
      <c r="A183">
        <v>173</v>
      </c>
      <c r="B183">
        <f t="shared" si="13"/>
        <v>0</v>
      </c>
      <c r="C183" s="10"/>
      <c r="D183" s="10"/>
      <c r="E183">
        <f t="shared" si="12"/>
        <v>0.3</v>
      </c>
      <c r="F183">
        <f t="shared" si="15"/>
        <v>-0.3</v>
      </c>
      <c r="G183">
        <f t="shared" si="14"/>
        <v>0.09</v>
      </c>
    </row>
    <row r="184" spans="1:7">
      <c r="A184">
        <v>174</v>
      </c>
      <c r="B184">
        <f t="shared" si="13"/>
        <v>0</v>
      </c>
      <c r="C184" s="10"/>
      <c r="D184" s="10"/>
      <c r="E184">
        <f t="shared" si="12"/>
        <v>0.3</v>
      </c>
      <c r="F184">
        <f t="shared" si="15"/>
        <v>-0.3</v>
      </c>
      <c r="G184">
        <f t="shared" si="14"/>
        <v>0.09</v>
      </c>
    </row>
    <row r="185" spans="1:7">
      <c r="A185">
        <v>175</v>
      </c>
      <c r="B185">
        <f t="shared" si="13"/>
        <v>0</v>
      </c>
      <c r="C185" s="10"/>
      <c r="D185" s="10"/>
      <c r="E185">
        <f t="shared" si="12"/>
        <v>0.3</v>
      </c>
      <c r="F185">
        <f t="shared" si="15"/>
        <v>-0.3</v>
      </c>
      <c r="G185">
        <f t="shared" si="14"/>
        <v>0.09</v>
      </c>
    </row>
    <row r="186" spans="1:7">
      <c r="A186">
        <v>176</v>
      </c>
      <c r="B186">
        <f t="shared" si="13"/>
        <v>0</v>
      </c>
      <c r="C186" s="10"/>
      <c r="D186" s="10"/>
      <c r="E186">
        <f t="shared" si="12"/>
        <v>0.3</v>
      </c>
      <c r="F186">
        <f t="shared" si="15"/>
        <v>-0.3</v>
      </c>
      <c r="G186">
        <f t="shared" si="14"/>
        <v>0.09</v>
      </c>
    </row>
    <row r="187" spans="1:7">
      <c r="A187">
        <v>177</v>
      </c>
      <c r="B187">
        <f t="shared" si="13"/>
        <v>0</v>
      </c>
      <c r="C187" s="10"/>
      <c r="D187" s="10"/>
      <c r="E187">
        <f t="shared" si="12"/>
        <v>0.3</v>
      </c>
      <c r="F187">
        <f t="shared" si="15"/>
        <v>-0.3</v>
      </c>
      <c r="G187">
        <f t="shared" si="14"/>
        <v>0.09</v>
      </c>
    </row>
    <row r="188" spans="1:7">
      <c r="A188">
        <v>178</v>
      </c>
      <c r="B188">
        <f t="shared" si="13"/>
        <v>0</v>
      </c>
      <c r="C188" s="10"/>
      <c r="D188" s="10"/>
      <c r="E188">
        <f t="shared" si="12"/>
        <v>0.3</v>
      </c>
      <c r="F188">
        <f t="shared" si="15"/>
        <v>-0.3</v>
      </c>
      <c r="G188">
        <f t="shared" si="14"/>
        <v>0.09</v>
      </c>
    </row>
    <row r="189" spans="1:7">
      <c r="A189">
        <v>179</v>
      </c>
      <c r="B189">
        <f t="shared" si="13"/>
        <v>0</v>
      </c>
      <c r="C189" s="10"/>
      <c r="D189" s="10"/>
      <c r="E189">
        <f t="shared" si="12"/>
        <v>0.3</v>
      </c>
      <c r="F189">
        <f t="shared" si="15"/>
        <v>-0.3</v>
      </c>
      <c r="G189">
        <f t="shared" si="14"/>
        <v>0.09</v>
      </c>
    </row>
    <row r="190" spans="1:7">
      <c r="A190">
        <v>180</v>
      </c>
      <c r="B190">
        <f t="shared" si="13"/>
        <v>0</v>
      </c>
      <c r="C190" s="10"/>
      <c r="D190" s="10"/>
      <c r="E190">
        <f t="shared" si="12"/>
        <v>0.3</v>
      </c>
      <c r="F190">
        <f t="shared" si="15"/>
        <v>-0.3</v>
      </c>
      <c r="G190">
        <f t="shared" si="14"/>
        <v>0.09</v>
      </c>
    </row>
    <row r="191" spans="1:7">
      <c r="A191">
        <v>181</v>
      </c>
      <c r="B191">
        <f t="shared" si="13"/>
        <v>0</v>
      </c>
      <c r="C191" s="10"/>
      <c r="D191" s="10"/>
      <c r="E191">
        <f t="shared" si="12"/>
        <v>0.3</v>
      </c>
      <c r="F191">
        <f t="shared" si="15"/>
        <v>-0.3</v>
      </c>
      <c r="G191">
        <f t="shared" si="14"/>
        <v>0.09</v>
      </c>
    </row>
    <row r="192" spans="1:7">
      <c r="A192">
        <v>182</v>
      </c>
      <c r="B192">
        <f t="shared" si="13"/>
        <v>0</v>
      </c>
      <c r="C192" s="10"/>
      <c r="D192" s="10"/>
      <c r="E192">
        <f t="shared" si="12"/>
        <v>0.3</v>
      </c>
      <c r="F192">
        <f t="shared" si="15"/>
        <v>-0.3</v>
      </c>
      <c r="G192">
        <f t="shared" si="14"/>
        <v>0.09</v>
      </c>
    </row>
    <row r="193" spans="1:7">
      <c r="A193">
        <v>183</v>
      </c>
      <c r="B193">
        <f t="shared" si="13"/>
        <v>0</v>
      </c>
      <c r="C193" s="10"/>
      <c r="D193" s="10"/>
      <c r="E193">
        <f t="shared" si="12"/>
        <v>0.3</v>
      </c>
      <c r="F193">
        <f t="shared" si="15"/>
        <v>-0.3</v>
      </c>
      <c r="G193">
        <f t="shared" si="14"/>
        <v>0.09</v>
      </c>
    </row>
    <row r="194" spans="1:7">
      <c r="A194">
        <v>184</v>
      </c>
      <c r="B194">
        <f t="shared" si="13"/>
        <v>0</v>
      </c>
      <c r="C194" s="10"/>
      <c r="D194" s="10"/>
      <c r="E194">
        <f t="shared" si="12"/>
        <v>0.3</v>
      </c>
      <c r="F194">
        <f t="shared" si="15"/>
        <v>-0.3</v>
      </c>
      <c r="G194">
        <f t="shared" si="14"/>
        <v>0.09</v>
      </c>
    </row>
    <row r="195" spans="1:7">
      <c r="A195">
        <v>185</v>
      </c>
      <c r="B195">
        <f t="shared" si="13"/>
        <v>0</v>
      </c>
      <c r="C195" s="10"/>
      <c r="D195" s="10"/>
      <c r="E195">
        <f t="shared" si="12"/>
        <v>0.3</v>
      </c>
      <c r="F195">
        <f t="shared" si="15"/>
        <v>-0.3</v>
      </c>
      <c r="G195">
        <f t="shared" si="14"/>
        <v>0.09</v>
      </c>
    </row>
    <row r="196" spans="1:7">
      <c r="A196">
        <v>186</v>
      </c>
      <c r="B196">
        <f t="shared" si="13"/>
        <v>0</v>
      </c>
      <c r="C196" s="10"/>
      <c r="D196" s="10"/>
      <c r="E196">
        <f t="shared" si="12"/>
        <v>0.3</v>
      </c>
      <c r="F196">
        <f t="shared" si="15"/>
        <v>-0.3</v>
      </c>
      <c r="G196">
        <f t="shared" si="14"/>
        <v>0.09</v>
      </c>
    </row>
    <row r="197" spans="1:7">
      <c r="A197">
        <v>187</v>
      </c>
      <c r="B197">
        <f t="shared" si="13"/>
        <v>0</v>
      </c>
      <c r="C197" s="10"/>
      <c r="D197" s="10"/>
      <c r="E197">
        <f t="shared" si="12"/>
        <v>0.3</v>
      </c>
      <c r="F197">
        <f t="shared" si="15"/>
        <v>-0.3</v>
      </c>
      <c r="G197">
        <f t="shared" si="14"/>
        <v>0.09</v>
      </c>
    </row>
    <row r="198" spans="1:7">
      <c r="A198">
        <v>188</v>
      </c>
      <c r="B198">
        <f t="shared" si="13"/>
        <v>0</v>
      </c>
      <c r="C198" s="10"/>
      <c r="D198" s="10"/>
      <c r="E198">
        <f t="shared" si="12"/>
        <v>0.3</v>
      </c>
      <c r="F198">
        <f t="shared" si="15"/>
        <v>-0.3</v>
      </c>
      <c r="G198">
        <f t="shared" si="14"/>
        <v>0.09</v>
      </c>
    </row>
    <row r="199" spans="1:7">
      <c r="A199">
        <v>189</v>
      </c>
      <c r="B199">
        <f t="shared" si="13"/>
        <v>0</v>
      </c>
      <c r="C199" s="10"/>
      <c r="D199" s="10"/>
      <c r="E199">
        <f t="shared" si="12"/>
        <v>0.3</v>
      </c>
      <c r="F199">
        <f t="shared" si="15"/>
        <v>-0.3</v>
      </c>
      <c r="G199">
        <f t="shared" si="14"/>
        <v>0.09</v>
      </c>
    </row>
    <row r="200" spans="1:7">
      <c r="A200">
        <v>190</v>
      </c>
      <c r="B200">
        <f t="shared" si="13"/>
        <v>0</v>
      </c>
      <c r="C200" s="10"/>
      <c r="D200" s="10"/>
      <c r="E200">
        <f t="shared" si="12"/>
        <v>0.3</v>
      </c>
      <c r="F200">
        <f t="shared" si="15"/>
        <v>-0.3</v>
      </c>
      <c r="G200">
        <f t="shared" si="14"/>
        <v>0.09</v>
      </c>
    </row>
    <row r="201" spans="1:7">
      <c r="A201">
        <v>191</v>
      </c>
      <c r="B201">
        <f t="shared" si="13"/>
        <v>0</v>
      </c>
      <c r="C201" s="10"/>
      <c r="D201" s="10"/>
      <c r="E201">
        <f t="shared" si="12"/>
        <v>0.3</v>
      </c>
      <c r="F201">
        <f t="shared" si="15"/>
        <v>-0.3</v>
      </c>
      <c r="G201">
        <f t="shared" si="14"/>
        <v>0.09</v>
      </c>
    </row>
    <row r="202" spans="1:7">
      <c r="A202">
        <v>192</v>
      </c>
      <c r="B202">
        <f t="shared" si="13"/>
        <v>0</v>
      </c>
      <c r="C202" s="10"/>
      <c r="D202" s="10"/>
      <c r="E202">
        <f t="shared" si="12"/>
        <v>0.3</v>
      </c>
      <c r="F202">
        <f t="shared" si="15"/>
        <v>-0.3</v>
      </c>
      <c r="G202">
        <f t="shared" si="14"/>
        <v>0.09</v>
      </c>
    </row>
    <row r="203" spans="1:7">
      <c r="A203">
        <v>193</v>
      </c>
      <c r="B203">
        <f t="shared" si="13"/>
        <v>0</v>
      </c>
      <c r="C203" s="10"/>
      <c r="D203" s="10"/>
      <c r="E203">
        <f t="shared" ref="E203:E266" si="16">CumOffset+fcoh*EXP(-2*GammaBar*C203+mutwo*C203^2+muthree*C203^3+mufour*C203^4)</f>
        <v>0.3</v>
      </c>
      <c r="F203">
        <f t="shared" si="15"/>
        <v>-0.3</v>
      </c>
      <c r="G203">
        <f t="shared" si="14"/>
        <v>0.09</v>
      </c>
    </row>
    <row r="204" spans="1:7">
      <c r="A204">
        <v>194</v>
      </c>
      <c r="B204">
        <f t="shared" ref="B204:B267" si="17">C204/1000</f>
        <v>0</v>
      </c>
      <c r="C204" s="10"/>
      <c r="D204" s="10"/>
      <c r="E204">
        <f t="shared" si="16"/>
        <v>0.3</v>
      </c>
      <c r="F204">
        <f t="shared" si="15"/>
        <v>-0.3</v>
      </c>
      <c r="G204">
        <f t="shared" ref="G204:G267" si="18">F204*F204</f>
        <v>0.09</v>
      </c>
    </row>
    <row r="205" spans="1:7">
      <c r="A205">
        <v>195</v>
      </c>
      <c r="B205">
        <f t="shared" si="17"/>
        <v>0</v>
      </c>
      <c r="C205" s="10"/>
      <c r="D205" s="10"/>
      <c r="E205">
        <f t="shared" si="16"/>
        <v>0.3</v>
      </c>
      <c r="F205">
        <f t="shared" si="15"/>
        <v>-0.3</v>
      </c>
      <c r="G205">
        <f t="shared" si="18"/>
        <v>0.09</v>
      </c>
    </row>
    <row r="206" spans="1:7">
      <c r="A206">
        <v>196</v>
      </c>
      <c r="B206">
        <f t="shared" si="17"/>
        <v>0</v>
      </c>
      <c r="C206" s="10"/>
      <c r="D206" s="10"/>
      <c r="E206">
        <f t="shared" si="16"/>
        <v>0.3</v>
      </c>
      <c r="F206">
        <f t="shared" si="15"/>
        <v>-0.3</v>
      </c>
      <c r="G206">
        <f t="shared" si="18"/>
        <v>0.09</v>
      </c>
    </row>
    <row r="207" spans="1:7">
      <c r="A207">
        <v>197</v>
      </c>
      <c r="B207">
        <f t="shared" si="17"/>
        <v>0</v>
      </c>
      <c r="C207" s="10"/>
      <c r="D207" s="10"/>
      <c r="E207">
        <f t="shared" si="16"/>
        <v>0.3</v>
      </c>
      <c r="F207">
        <f t="shared" ref="F207:F270" si="19">D207-E207</f>
        <v>-0.3</v>
      </c>
      <c r="G207">
        <f t="shared" si="18"/>
        <v>0.09</v>
      </c>
    </row>
    <row r="208" spans="1:7">
      <c r="A208">
        <v>198</v>
      </c>
      <c r="B208">
        <f t="shared" si="17"/>
        <v>0</v>
      </c>
      <c r="C208" s="10"/>
      <c r="D208" s="10"/>
      <c r="E208">
        <f t="shared" si="16"/>
        <v>0.3</v>
      </c>
      <c r="F208">
        <f t="shared" si="19"/>
        <v>-0.3</v>
      </c>
      <c r="G208">
        <f t="shared" si="18"/>
        <v>0.09</v>
      </c>
    </row>
    <row r="209" spans="1:7">
      <c r="A209">
        <v>199</v>
      </c>
      <c r="B209">
        <f t="shared" si="17"/>
        <v>0</v>
      </c>
      <c r="C209" s="10"/>
      <c r="D209" s="10"/>
      <c r="E209">
        <f t="shared" si="16"/>
        <v>0.3</v>
      </c>
      <c r="F209">
        <f t="shared" si="19"/>
        <v>-0.3</v>
      </c>
      <c r="G209">
        <f t="shared" si="18"/>
        <v>0.09</v>
      </c>
    </row>
    <row r="210" spans="1:7">
      <c r="A210">
        <v>200</v>
      </c>
      <c r="B210">
        <f t="shared" si="17"/>
        <v>0</v>
      </c>
      <c r="C210" s="10"/>
      <c r="D210" s="10"/>
      <c r="E210">
        <f t="shared" si="16"/>
        <v>0.3</v>
      </c>
      <c r="F210">
        <f t="shared" si="19"/>
        <v>-0.3</v>
      </c>
      <c r="G210">
        <f t="shared" si="18"/>
        <v>0.09</v>
      </c>
    </row>
    <row r="211" spans="1:7">
      <c r="A211">
        <v>201</v>
      </c>
      <c r="B211">
        <f t="shared" si="17"/>
        <v>0</v>
      </c>
      <c r="C211" s="10"/>
      <c r="D211" s="10"/>
      <c r="E211">
        <f t="shared" si="16"/>
        <v>0.3</v>
      </c>
      <c r="F211">
        <f t="shared" si="19"/>
        <v>-0.3</v>
      </c>
      <c r="G211">
        <f t="shared" si="18"/>
        <v>0.09</v>
      </c>
    </row>
    <row r="212" spans="1:7">
      <c r="A212">
        <v>202</v>
      </c>
      <c r="B212">
        <f t="shared" si="17"/>
        <v>0</v>
      </c>
      <c r="C212" s="10"/>
      <c r="D212" s="10"/>
      <c r="E212">
        <f t="shared" si="16"/>
        <v>0.3</v>
      </c>
      <c r="F212">
        <f t="shared" si="19"/>
        <v>-0.3</v>
      </c>
      <c r="G212">
        <f t="shared" si="18"/>
        <v>0.09</v>
      </c>
    </row>
    <row r="213" spans="1:7">
      <c r="A213">
        <v>203</v>
      </c>
      <c r="B213">
        <f t="shared" si="17"/>
        <v>0</v>
      </c>
      <c r="C213" s="10"/>
      <c r="D213" s="10"/>
      <c r="E213">
        <f t="shared" si="16"/>
        <v>0.3</v>
      </c>
      <c r="F213">
        <f t="shared" si="19"/>
        <v>-0.3</v>
      </c>
      <c r="G213">
        <f t="shared" si="18"/>
        <v>0.09</v>
      </c>
    </row>
    <row r="214" spans="1:7">
      <c r="A214">
        <v>204</v>
      </c>
      <c r="B214">
        <f t="shared" si="17"/>
        <v>0</v>
      </c>
      <c r="C214" s="10"/>
      <c r="D214" s="10"/>
      <c r="E214">
        <f t="shared" si="16"/>
        <v>0.3</v>
      </c>
      <c r="F214">
        <f t="shared" si="19"/>
        <v>-0.3</v>
      </c>
      <c r="G214">
        <f t="shared" si="18"/>
        <v>0.09</v>
      </c>
    </row>
    <row r="215" spans="1:7">
      <c r="A215">
        <v>205</v>
      </c>
      <c r="B215">
        <f t="shared" si="17"/>
        <v>0</v>
      </c>
      <c r="C215" s="10"/>
      <c r="D215" s="10"/>
      <c r="E215">
        <f t="shared" si="16"/>
        <v>0.3</v>
      </c>
      <c r="F215">
        <f t="shared" si="19"/>
        <v>-0.3</v>
      </c>
      <c r="G215">
        <f t="shared" si="18"/>
        <v>0.09</v>
      </c>
    </row>
    <row r="216" spans="1:7">
      <c r="A216">
        <v>206</v>
      </c>
      <c r="B216">
        <f t="shared" si="17"/>
        <v>0</v>
      </c>
      <c r="C216" s="10"/>
      <c r="D216" s="10"/>
      <c r="E216">
        <f t="shared" si="16"/>
        <v>0.3</v>
      </c>
      <c r="F216">
        <f t="shared" si="19"/>
        <v>-0.3</v>
      </c>
      <c r="G216">
        <f t="shared" si="18"/>
        <v>0.09</v>
      </c>
    </row>
    <row r="217" spans="1:7">
      <c r="A217">
        <v>207</v>
      </c>
      <c r="B217">
        <f t="shared" si="17"/>
        <v>0</v>
      </c>
      <c r="C217" s="10"/>
      <c r="D217" s="10"/>
      <c r="E217">
        <f t="shared" si="16"/>
        <v>0.3</v>
      </c>
      <c r="F217">
        <f t="shared" si="19"/>
        <v>-0.3</v>
      </c>
      <c r="G217">
        <f t="shared" si="18"/>
        <v>0.09</v>
      </c>
    </row>
    <row r="218" spans="1:7">
      <c r="A218">
        <v>208</v>
      </c>
      <c r="B218">
        <f t="shared" si="17"/>
        <v>0</v>
      </c>
      <c r="C218" s="10"/>
      <c r="D218" s="10"/>
      <c r="E218">
        <f t="shared" si="16"/>
        <v>0.3</v>
      </c>
      <c r="F218">
        <f t="shared" si="19"/>
        <v>-0.3</v>
      </c>
      <c r="G218">
        <f t="shared" si="18"/>
        <v>0.09</v>
      </c>
    </row>
    <row r="219" spans="1:7">
      <c r="A219">
        <v>209</v>
      </c>
      <c r="B219">
        <f t="shared" si="17"/>
        <v>0</v>
      </c>
      <c r="C219" s="10"/>
      <c r="D219" s="10"/>
      <c r="E219">
        <f t="shared" si="16"/>
        <v>0.3</v>
      </c>
      <c r="F219">
        <f t="shared" si="19"/>
        <v>-0.3</v>
      </c>
      <c r="G219">
        <f t="shared" si="18"/>
        <v>0.09</v>
      </c>
    </row>
    <row r="220" spans="1:7">
      <c r="A220">
        <v>210</v>
      </c>
      <c r="B220">
        <f t="shared" si="17"/>
        <v>0</v>
      </c>
      <c r="C220" s="10"/>
      <c r="D220" s="10"/>
      <c r="E220">
        <f t="shared" si="16"/>
        <v>0.3</v>
      </c>
      <c r="F220">
        <f t="shared" si="19"/>
        <v>-0.3</v>
      </c>
      <c r="G220">
        <f t="shared" si="18"/>
        <v>0.09</v>
      </c>
    </row>
    <row r="221" spans="1:7">
      <c r="A221">
        <v>211</v>
      </c>
      <c r="B221">
        <f t="shared" si="17"/>
        <v>0</v>
      </c>
      <c r="C221" s="10"/>
      <c r="D221" s="10"/>
      <c r="E221">
        <f t="shared" si="16"/>
        <v>0.3</v>
      </c>
      <c r="F221">
        <f t="shared" si="19"/>
        <v>-0.3</v>
      </c>
      <c r="G221">
        <f t="shared" si="18"/>
        <v>0.09</v>
      </c>
    </row>
    <row r="222" spans="1:7">
      <c r="A222">
        <v>212</v>
      </c>
      <c r="B222">
        <f t="shared" si="17"/>
        <v>0</v>
      </c>
      <c r="C222" s="10"/>
      <c r="D222" s="10"/>
      <c r="E222">
        <f t="shared" si="16"/>
        <v>0.3</v>
      </c>
      <c r="F222">
        <f t="shared" si="19"/>
        <v>-0.3</v>
      </c>
      <c r="G222">
        <f t="shared" si="18"/>
        <v>0.09</v>
      </c>
    </row>
    <row r="223" spans="1:7">
      <c r="A223">
        <v>213</v>
      </c>
      <c r="B223">
        <f t="shared" si="17"/>
        <v>0</v>
      </c>
      <c r="C223" s="10"/>
      <c r="D223" s="10"/>
      <c r="E223">
        <f t="shared" si="16"/>
        <v>0.3</v>
      </c>
      <c r="F223">
        <f t="shared" si="19"/>
        <v>-0.3</v>
      </c>
      <c r="G223">
        <f t="shared" si="18"/>
        <v>0.09</v>
      </c>
    </row>
    <row r="224" spans="1:7">
      <c r="A224">
        <v>214</v>
      </c>
      <c r="B224">
        <f t="shared" si="17"/>
        <v>0</v>
      </c>
      <c r="C224" s="10"/>
      <c r="D224" s="10"/>
      <c r="E224">
        <f t="shared" si="16"/>
        <v>0.3</v>
      </c>
      <c r="F224">
        <f t="shared" si="19"/>
        <v>-0.3</v>
      </c>
      <c r="G224">
        <f t="shared" si="18"/>
        <v>0.09</v>
      </c>
    </row>
    <row r="225" spans="1:7">
      <c r="A225">
        <v>215</v>
      </c>
      <c r="B225">
        <f t="shared" si="17"/>
        <v>0</v>
      </c>
      <c r="C225" s="10"/>
      <c r="D225" s="10"/>
      <c r="E225">
        <f t="shared" si="16"/>
        <v>0.3</v>
      </c>
      <c r="F225">
        <f t="shared" si="19"/>
        <v>-0.3</v>
      </c>
      <c r="G225">
        <f t="shared" si="18"/>
        <v>0.09</v>
      </c>
    </row>
    <row r="226" spans="1:7">
      <c r="A226">
        <v>216</v>
      </c>
      <c r="B226">
        <f t="shared" si="17"/>
        <v>0</v>
      </c>
      <c r="C226" s="10"/>
      <c r="D226" s="10"/>
      <c r="E226">
        <f t="shared" si="16"/>
        <v>0.3</v>
      </c>
      <c r="F226">
        <f t="shared" si="19"/>
        <v>-0.3</v>
      </c>
      <c r="G226">
        <f t="shared" si="18"/>
        <v>0.09</v>
      </c>
    </row>
    <row r="227" spans="1:7">
      <c r="A227">
        <v>217</v>
      </c>
      <c r="B227">
        <f t="shared" si="17"/>
        <v>0</v>
      </c>
      <c r="C227" s="10"/>
      <c r="D227" s="10"/>
      <c r="E227">
        <f t="shared" si="16"/>
        <v>0.3</v>
      </c>
      <c r="F227">
        <f t="shared" si="19"/>
        <v>-0.3</v>
      </c>
      <c r="G227">
        <f t="shared" si="18"/>
        <v>0.09</v>
      </c>
    </row>
    <row r="228" spans="1:7">
      <c r="A228">
        <v>218</v>
      </c>
      <c r="B228">
        <f t="shared" si="17"/>
        <v>0</v>
      </c>
      <c r="C228" s="10"/>
      <c r="D228" s="10"/>
      <c r="E228">
        <f t="shared" si="16"/>
        <v>0.3</v>
      </c>
      <c r="F228">
        <f t="shared" si="19"/>
        <v>-0.3</v>
      </c>
      <c r="G228">
        <f t="shared" si="18"/>
        <v>0.09</v>
      </c>
    </row>
    <row r="229" spans="1:7">
      <c r="A229">
        <v>219</v>
      </c>
      <c r="B229">
        <f t="shared" si="17"/>
        <v>0</v>
      </c>
      <c r="C229" s="10"/>
      <c r="D229" s="10"/>
      <c r="E229">
        <f t="shared" si="16"/>
        <v>0.3</v>
      </c>
      <c r="F229">
        <f t="shared" si="19"/>
        <v>-0.3</v>
      </c>
      <c r="G229">
        <f t="shared" si="18"/>
        <v>0.09</v>
      </c>
    </row>
    <row r="230" spans="1:7">
      <c r="A230">
        <v>220</v>
      </c>
      <c r="B230">
        <f t="shared" si="17"/>
        <v>0</v>
      </c>
      <c r="C230" s="10"/>
      <c r="D230" s="10"/>
      <c r="E230">
        <f t="shared" si="16"/>
        <v>0.3</v>
      </c>
      <c r="F230">
        <f t="shared" si="19"/>
        <v>-0.3</v>
      </c>
      <c r="G230">
        <f t="shared" si="18"/>
        <v>0.09</v>
      </c>
    </row>
    <row r="231" spans="1:7">
      <c r="A231">
        <v>221</v>
      </c>
      <c r="B231">
        <f t="shared" si="17"/>
        <v>0</v>
      </c>
      <c r="C231" s="10"/>
      <c r="D231" s="10"/>
      <c r="E231">
        <f t="shared" si="16"/>
        <v>0.3</v>
      </c>
      <c r="F231">
        <f t="shared" si="19"/>
        <v>-0.3</v>
      </c>
      <c r="G231">
        <f t="shared" si="18"/>
        <v>0.09</v>
      </c>
    </row>
    <row r="232" spans="1:7">
      <c r="A232">
        <v>222</v>
      </c>
      <c r="B232">
        <f t="shared" si="17"/>
        <v>0</v>
      </c>
      <c r="C232" s="10"/>
      <c r="D232" s="10"/>
      <c r="E232">
        <f t="shared" si="16"/>
        <v>0.3</v>
      </c>
      <c r="F232">
        <f t="shared" si="19"/>
        <v>-0.3</v>
      </c>
      <c r="G232">
        <f t="shared" si="18"/>
        <v>0.09</v>
      </c>
    </row>
    <row r="233" spans="1:7">
      <c r="A233">
        <v>223</v>
      </c>
      <c r="B233">
        <f t="shared" si="17"/>
        <v>0</v>
      </c>
      <c r="C233" s="10"/>
      <c r="D233" s="10"/>
      <c r="E233">
        <f t="shared" si="16"/>
        <v>0.3</v>
      </c>
      <c r="F233">
        <f t="shared" si="19"/>
        <v>-0.3</v>
      </c>
      <c r="G233">
        <f t="shared" si="18"/>
        <v>0.09</v>
      </c>
    </row>
    <row r="234" spans="1:7">
      <c r="A234">
        <v>224</v>
      </c>
      <c r="B234">
        <f t="shared" si="17"/>
        <v>0</v>
      </c>
      <c r="C234" s="10"/>
      <c r="D234" s="10"/>
      <c r="E234">
        <f t="shared" si="16"/>
        <v>0.3</v>
      </c>
      <c r="F234">
        <f t="shared" si="19"/>
        <v>-0.3</v>
      </c>
      <c r="G234">
        <f t="shared" si="18"/>
        <v>0.09</v>
      </c>
    </row>
    <row r="235" spans="1:7">
      <c r="A235">
        <v>225</v>
      </c>
      <c r="B235">
        <f t="shared" si="17"/>
        <v>0</v>
      </c>
      <c r="C235" s="10"/>
      <c r="D235" s="10"/>
      <c r="E235">
        <f t="shared" si="16"/>
        <v>0.3</v>
      </c>
      <c r="F235">
        <f t="shared" si="19"/>
        <v>-0.3</v>
      </c>
      <c r="G235">
        <f t="shared" si="18"/>
        <v>0.09</v>
      </c>
    </row>
    <row r="236" spans="1:7">
      <c r="A236">
        <v>226</v>
      </c>
      <c r="B236">
        <f t="shared" si="17"/>
        <v>0</v>
      </c>
      <c r="C236" s="10"/>
      <c r="D236" s="10"/>
      <c r="E236">
        <f t="shared" si="16"/>
        <v>0.3</v>
      </c>
      <c r="F236">
        <f t="shared" si="19"/>
        <v>-0.3</v>
      </c>
      <c r="G236">
        <f t="shared" si="18"/>
        <v>0.09</v>
      </c>
    </row>
    <row r="237" spans="1:7">
      <c r="A237">
        <v>227</v>
      </c>
      <c r="B237">
        <f t="shared" si="17"/>
        <v>0</v>
      </c>
      <c r="C237" s="10"/>
      <c r="D237" s="10"/>
      <c r="E237">
        <f t="shared" si="16"/>
        <v>0.3</v>
      </c>
      <c r="F237">
        <f t="shared" si="19"/>
        <v>-0.3</v>
      </c>
      <c r="G237">
        <f t="shared" si="18"/>
        <v>0.09</v>
      </c>
    </row>
    <row r="238" spans="1:7">
      <c r="A238">
        <v>228</v>
      </c>
      <c r="B238">
        <f t="shared" si="17"/>
        <v>0</v>
      </c>
      <c r="C238" s="10"/>
      <c r="D238" s="10"/>
      <c r="E238">
        <f t="shared" si="16"/>
        <v>0.3</v>
      </c>
      <c r="F238">
        <f t="shared" si="19"/>
        <v>-0.3</v>
      </c>
      <c r="G238">
        <f t="shared" si="18"/>
        <v>0.09</v>
      </c>
    </row>
    <row r="239" spans="1:7">
      <c r="A239">
        <v>229</v>
      </c>
      <c r="B239">
        <f t="shared" si="17"/>
        <v>0</v>
      </c>
      <c r="C239" s="10"/>
      <c r="D239" s="10"/>
      <c r="E239">
        <f t="shared" si="16"/>
        <v>0.3</v>
      </c>
      <c r="F239">
        <f t="shared" si="19"/>
        <v>-0.3</v>
      </c>
      <c r="G239">
        <f t="shared" si="18"/>
        <v>0.09</v>
      </c>
    </row>
    <row r="240" spans="1:7">
      <c r="A240">
        <v>230</v>
      </c>
      <c r="B240">
        <f t="shared" si="17"/>
        <v>0</v>
      </c>
      <c r="C240" s="10"/>
      <c r="D240" s="10"/>
      <c r="E240">
        <f t="shared" si="16"/>
        <v>0.3</v>
      </c>
      <c r="F240">
        <f t="shared" si="19"/>
        <v>-0.3</v>
      </c>
      <c r="G240">
        <f t="shared" si="18"/>
        <v>0.09</v>
      </c>
    </row>
    <row r="241" spans="1:7">
      <c r="A241">
        <v>231</v>
      </c>
      <c r="B241">
        <f t="shared" si="17"/>
        <v>0</v>
      </c>
      <c r="C241" s="10"/>
      <c r="D241" s="10"/>
      <c r="E241">
        <f t="shared" si="16"/>
        <v>0.3</v>
      </c>
      <c r="F241">
        <f t="shared" si="19"/>
        <v>-0.3</v>
      </c>
      <c r="G241">
        <f t="shared" si="18"/>
        <v>0.09</v>
      </c>
    </row>
    <row r="242" spans="1:7">
      <c r="A242">
        <v>232</v>
      </c>
      <c r="B242">
        <f t="shared" si="17"/>
        <v>0</v>
      </c>
      <c r="C242" s="10"/>
      <c r="D242" s="10"/>
      <c r="E242">
        <f t="shared" si="16"/>
        <v>0.3</v>
      </c>
      <c r="F242">
        <f t="shared" si="19"/>
        <v>-0.3</v>
      </c>
      <c r="G242">
        <f t="shared" si="18"/>
        <v>0.09</v>
      </c>
    </row>
    <row r="243" spans="1:7">
      <c r="A243">
        <v>233</v>
      </c>
      <c r="B243">
        <f t="shared" si="17"/>
        <v>0</v>
      </c>
      <c r="C243" s="10"/>
      <c r="D243" s="10"/>
      <c r="E243">
        <f t="shared" si="16"/>
        <v>0.3</v>
      </c>
      <c r="F243">
        <f t="shared" si="19"/>
        <v>-0.3</v>
      </c>
      <c r="G243">
        <f t="shared" si="18"/>
        <v>0.09</v>
      </c>
    </row>
    <row r="244" spans="1:7">
      <c r="A244">
        <v>234</v>
      </c>
      <c r="B244">
        <f t="shared" si="17"/>
        <v>0</v>
      </c>
      <c r="C244" s="10"/>
      <c r="D244" s="10"/>
      <c r="E244">
        <f t="shared" si="16"/>
        <v>0.3</v>
      </c>
      <c r="F244">
        <f t="shared" si="19"/>
        <v>-0.3</v>
      </c>
      <c r="G244">
        <f t="shared" si="18"/>
        <v>0.09</v>
      </c>
    </row>
    <row r="245" spans="1:7">
      <c r="A245">
        <v>235</v>
      </c>
      <c r="B245">
        <f t="shared" si="17"/>
        <v>0</v>
      </c>
      <c r="C245" s="10"/>
      <c r="D245" s="10"/>
      <c r="E245">
        <f t="shared" si="16"/>
        <v>0.3</v>
      </c>
      <c r="F245">
        <f t="shared" si="19"/>
        <v>-0.3</v>
      </c>
      <c r="G245">
        <f t="shared" si="18"/>
        <v>0.09</v>
      </c>
    </row>
    <row r="246" spans="1:7">
      <c r="A246">
        <v>236</v>
      </c>
      <c r="B246">
        <f t="shared" si="17"/>
        <v>0</v>
      </c>
      <c r="C246" s="10"/>
      <c r="D246" s="10"/>
      <c r="E246">
        <f t="shared" si="16"/>
        <v>0.3</v>
      </c>
      <c r="F246">
        <f t="shared" si="19"/>
        <v>-0.3</v>
      </c>
      <c r="G246">
        <f t="shared" si="18"/>
        <v>0.09</v>
      </c>
    </row>
    <row r="247" spans="1:7">
      <c r="A247">
        <v>237</v>
      </c>
      <c r="B247">
        <f t="shared" si="17"/>
        <v>0</v>
      </c>
      <c r="C247" s="10"/>
      <c r="D247" s="10"/>
      <c r="E247">
        <f t="shared" si="16"/>
        <v>0.3</v>
      </c>
      <c r="F247">
        <f t="shared" si="19"/>
        <v>-0.3</v>
      </c>
      <c r="G247">
        <f t="shared" si="18"/>
        <v>0.09</v>
      </c>
    </row>
    <row r="248" spans="1:7">
      <c r="A248">
        <v>238</v>
      </c>
      <c r="B248">
        <f t="shared" si="17"/>
        <v>0</v>
      </c>
      <c r="C248" s="10"/>
      <c r="D248" s="10"/>
      <c r="E248">
        <f t="shared" si="16"/>
        <v>0.3</v>
      </c>
      <c r="F248">
        <f t="shared" si="19"/>
        <v>-0.3</v>
      </c>
      <c r="G248">
        <f t="shared" si="18"/>
        <v>0.09</v>
      </c>
    </row>
    <row r="249" spans="1:7">
      <c r="A249">
        <v>239</v>
      </c>
      <c r="B249">
        <f t="shared" si="17"/>
        <v>0</v>
      </c>
      <c r="C249" s="10"/>
      <c r="D249" s="10"/>
      <c r="E249">
        <f t="shared" si="16"/>
        <v>0.3</v>
      </c>
      <c r="F249">
        <f t="shared" si="19"/>
        <v>-0.3</v>
      </c>
      <c r="G249">
        <f t="shared" si="18"/>
        <v>0.09</v>
      </c>
    </row>
    <row r="250" spans="1:7">
      <c r="A250">
        <v>240</v>
      </c>
      <c r="B250">
        <f t="shared" si="17"/>
        <v>0</v>
      </c>
      <c r="C250" s="10"/>
      <c r="D250" s="10"/>
      <c r="E250">
        <f t="shared" si="16"/>
        <v>0.3</v>
      </c>
      <c r="F250">
        <f t="shared" si="19"/>
        <v>-0.3</v>
      </c>
      <c r="G250">
        <f t="shared" si="18"/>
        <v>0.09</v>
      </c>
    </row>
    <row r="251" spans="1:7">
      <c r="A251">
        <v>241</v>
      </c>
      <c r="B251">
        <f t="shared" si="17"/>
        <v>0</v>
      </c>
      <c r="C251" s="10"/>
      <c r="D251" s="10"/>
      <c r="E251">
        <f t="shared" si="16"/>
        <v>0.3</v>
      </c>
      <c r="F251">
        <f t="shared" si="19"/>
        <v>-0.3</v>
      </c>
      <c r="G251">
        <f t="shared" si="18"/>
        <v>0.09</v>
      </c>
    </row>
    <row r="252" spans="1:7">
      <c r="A252">
        <v>242</v>
      </c>
      <c r="B252">
        <f t="shared" si="17"/>
        <v>0</v>
      </c>
      <c r="C252" s="10"/>
      <c r="D252" s="10"/>
      <c r="E252">
        <f t="shared" si="16"/>
        <v>0.3</v>
      </c>
      <c r="F252">
        <f t="shared" si="19"/>
        <v>-0.3</v>
      </c>
      <c r="G252">
        <f t="shared" si="18"/>
        <v>0.09</v>
      </c>
    </row>
    <row r="253" spans="1:7">
      <c r="A253">
        <v>243</v>
      </c>
      <c r="B253">
        <f t="shared" si="17"/>
        <v>0</v>
      </c>
      <c r="C253" s="10"/>
      <c r="D253" s="10"/>
      <c r="E253">
        <f t="shared" si="16"/>
        <v>0.3</v>
      </c>
      <c r="F253">
        <f t="shared" si="19"/>
        <v>-0.3</v>
      </c>
      <c r="G253">
        <f t="shared" si="18"/>
        <v>0.09</v>
      </c>
    </row>
    <row r="254" spans="1:7">
      <c r="A254">
        <v>244</v>
      </c>
      <c r="B254">
        <f t="shared" si="17"/>
        <v>0</v>
      </c>
      <c r="C254" s="10"/>
      <c r="D254" s="10"/>
      <c r="E254">
        <f t="shared" si="16"/>
        <v>0.3</v>
      </c>
      <c r="F254">
        <f t="shared" si="19"/>
        <v>-0.3</v>
      </c>
      <c r="G254">
        <f t="shared" si="18"/>
        <v>0.09</v>
      </c>
    </row>
    <row r="255" spans="1:7">
      <c r="A255">
        <v>245</v>
      </c>
      <c r="B255">
        <f t="shared" si="17"/>
        <v>0</v>
      </c>
      <c r="C255" s="10"/>
      <c r="D255" s="10"/>
      <c r="E255">
        <f t="shared" si="16"/>
        <v>0.3</v>
      </c>
      <c r="F255">
        <f t="shared" si="19"/>
        <v>-0.3</v>
      </c>
      <c r="G255">
        <f t="shared" si="18"/>
        <v>0.09</v>
      </c>
    </row>
    <row r="256" spans="1:7">
      <c r="A256">
        <v>246</v>
      </c>
      <c r="B256">
        <f t="shared" si="17"/>
        <v>0</v>
      </c>
      <c r="C256" s="10"/>
      <c r="D256" s="10"/>
      <c r="E256">
        <f t="shared" si="16"/>
        <v>0.3</v>
      </c>
      <c r="F256">
        <f t="shared" si="19"/>
        <v>-0.3</v>
      </c>
      <c r="G256">
        <f t="shared" si="18"/>
        <v>0.09</v>
      </c>
    </row>
    <row r="257" spans="1:7">
      <c r="A257">
        <v>247</v>
      </c>
      <c r="B257">
        <f t="shared" si="17"/>
        <v>0</v>
      </c>
      <c r="C257" s="10"/>
      <c r="D257" s="10"/>
      <c r="E257">
        <f t="shared" si="16"/>
        <v>0.3</v>
      </c>
      <c r="F257">
        <f t="shared" si="19"/>
        <v>-0.3</v>
      </c>
      <c r="G257">
        <f t="shared" si="18"/>
        <v>0.09</v>
      </c>
    </row>
    <row r="258" spans="1:7">
      <c r="A258">
        <v>248</v>
      </c>
      <c r="B258">
        <f t="shared" si="17"/>
        <v>0</v>
      </c>
      <c r="C258" s="10"/>
      <c r="D258" s="10"/>
      <c r="E258">
        <f t="shared" si="16"/>
        <v>0.3</v>
      </c>
      <c r="F258">
        <f t="shared" si="19"/>
        <v>-0.3</v>
      </c>
      <c r="G258">
        <f t="shared" si="18"/>
        <v>0.09</v>
      </c>
    </row>
    <row r="259" spans="1:7">
      <c r="A259">
        <v>249</v>
      </c>
      <c r="B259">
        <f t="shared" si="17"/>
        <v>0</v>
      </c>
      <c r="C259" s="10"/>
      <c r="D259" s="10"/>
      <c r="E259">
        <f t="shared" si="16"/>
        <v>0.3</v>
      </c>
      <c r="F259">
        <f t="shared" si="19"/>
        <v>-0.3</v>
      </c>
      <c r="G259">
        <f t="shared" si="18"/>
        <v>0.09</v>
      </c>
    </row>
    <row r="260" spans="1:7">
      <c r="A260">
        <v>250</v>
      </c>
      <c r="B260">
        <f t="shared" si="17"/>
        <v>0</v>
      </c>
      <c r="C260" s="10"/>
      <c r="D260" s="10"/>
      <c r="E260">
        <f t="shared" si="16"/>
        <v>0.3</v>
      </c>
      <c r="F260">
        <f t="shared" si="19"/>
        <v>-0.3</v>
      </c>
      <c r="G260">
        <f t="shared" si="18"/>
        <v>0.09</v>
      </c>
    </row>
    <row r="261" spans="1:7">
      <c r="A261">
        <v>251</v>
      </c>
      <c r="B261">
        <f t="shared" si="17"/>
        <v>0</v>
      </c>
      <c r="C261" s="10"/>
      <c r="D261" s="10"/>
      <c r="E261">
        <f t="shared" si="16"/>
        <v>0.3</v>
      </c>
      <c r="F261">
        <f t="shared" si="19"/>
        <v>-0.3</v>
      </c>
      <c r="G261">
        <f t="shared" si="18"/>
        <v>0.09</v>
      </c>
    </row>
    <row r="262" spans="1:7">
      <c r="A262">
        <v>252</v>
      </c>
      <c r="B262">
        <f t="shared" si="17"/>
        <v>0</v>
      </c>
      <c r="C262" s="10"/>
      <c r="D262" s="10"/>
      <c r="E262">
        <f t="shared" si="16"/>
        <v>0.3</v>
      </c>
      <c r="F262">
        <f t="shared" si="19"/>
        <v>-0.3</v>
      </c>
      <c r="G262">
        <f t="shared" si="18"/>
        <v>0.09</v>
      </c>
    </row>
    <row r="263" spans="1:7">
      <c r="A263">
        <v>253</v>
      </c>
      <c r="B263">
        <f t="shared" si="17"/>
        <v>0</v>
      </c>
      <c r="C263" s="10"/>
      <c r="D263" s="10"/>
      <c r="E263">
        <f t="shared" si="16"/>
        <v>0.3</v>
      </c>
      <c r="F263">
        <f t="shared" si="19"/>
        <v>-0.3</v>
      </c>
      <c r="G263">
        <f t="shared" si="18"/>
        <v>0.09</v>
      </c>
    </row>
    <row r="264" spans="1:7">
      <c r="A264">
        <v>254</v>
      </c>
      <c r="B264">
        <f t="shared" si="17"/>
        <v>0</v>
      </c>
      <c r="C264" s="10"/>
      <c r="D264" s="10"/>
      <c r="E264">
        <f t="shared" si="16"/>
        <v>0.3</v>
      </c>
      <c r="F264">
        <f t="shared" si="19"/>
        <v>-0.3</v>
      </c>
      <c r="G264">
        <f t="shared" si="18"/>
        <v>0.09</v>
      </c>
    </row>
    <row r="265" spans="1:7">
      <c r="A265">
        <v>255</v>
      </c>
      <c r="B265">
        <f t="shared" si="17"/>
        <v>0</v>
      </c>
      <c r="C265" s="10"/>
      <c r="D265" s="10"/>
      <c r="E265">
        <f t="shared" si="16"/>
        <v>0.3</v>
      </c>
      <c r="F265">
        <f t="shared" si="19"/>
        <v>-0.3</v>
      </c>
      <c r="G265">
        <f t="shared" si="18"/>
        <v>0.09</v>
      </c>
    </row>
    <row r="266" spans="1:7">
      <c r="A266">
        <v>256</v>
      </c>
      <c r="B266">
        <f t="shared" si="17"/>
        <v>0</v>
      </c>
      <c r="C266" s="10"/>
      <c r="D266" s="10"/>
      <c r="E266">
        <f t="shared" si="16"/>
        <v>0.3</v>
      </c>
      <c r="F266">
        <f t="shared" si="19"/>
        <v>-0.3</v>
      </c>
      <c r="G266">
        <f t="shared" si="18"/>
        <v>0.09</v>
      </c>
    </row>
    <row r="267" spans="1:7">
      <c r="A267">
        <v>257</v>
      </c>
      <c r="B267">
        <f t="shared" si="17"/>
        <v>0</v>
      </c>
      <c r="C267" s="10"/>
      <c r="D267" s="10"/>
      <c r="E267">
        <f t="shared" ref="E267:E330" si="20">CumOffset+fcoh*EXP(-2*GammaBar*C267+mutwo*C267^2+muthree*C267^3+mufour*C267^4)</f>
        <v>0.3</v>
      </c>
      <c r="F267">
        <f t="shared" si="19"/>
        <v>-0.3</v>
      </c>
      <c r="G267">
        <f t="shared" si="18"/>
        <v>0.09</v>
      </c>
    </row>
    <row r="268" spans="1:7">
      <c r="A268">
        <v>258</v>
      </c>
      <c r="B268">
        <f t="shared" ref="B268:B331" si="21">C268/1000</f>
        <v>0</v>
      </c>
      <c r="C268" s="10"/>
      <c r="D268" s="10"/>
      <c r="E268">
        <f t="shared" si="20"/>
        <v>0.3</v>
      </c>
      <c r="F268">
        <f t="shared" si="19"/>
        <v>-0.3</v>
      </c>
      <c r="G268">
        <f t="shared" ref="G268:G331" si="22">F268*F268</f>
        <v>0.09</v>
      </c>
    </row>
    <row r="269" spans="1:7">
      <c r="A269">
        <v>259</v>
      </c>
      <c r="B269">
        <f t="shared" si="21"/>
        <v>0</v>
      </c>
      <c r="C269" s="10"/>
      <c r="D269" s="10"/>
      <c r="E269">
        <f t="shared" si="20"/>
        <v>0.3</v>
      </c>
      <c r="F269">
        <f t="shared" si="19"/>
        <v>-0.3</v>
      </c>
      <c r="G269">
        <f t="shared" si="22"/>
        <v>0.09</v>
      </c>
    </row>
    <row r="270" spans="1:7">
      <c r="A270">
        <v>260</v>
      </c>
      <c r="B270">
        <f t="shared" si="21"/>
        <v>0</v>
      </c>
      <c r="C270" s="10"/>
      <c r="D270" s="10"/>
      <c r="E270">
        <f t="shared" si="20"/>
        <v>0.3</v>
      </c>
      <c r="F270">
        <f t="shared" si="19"/>
        <v>-0.3</v>
      </c>
      <c r="G270">
        <f t="shared" si="22"/>
        <v>0.09</v>
      </c>
    </row>
    <row r="271" spans="1:7">
      <c r="A271">
        <v>261</v>
      </c>
      <c r="B271">
        <f t="shared" si="21"/>
        <v>0</v>
      </c>
      <c r="C271" s="10"/>
      <c r="D271" s="10"/>
      <c r="E271">
        <f t="shared" si="20"/>
        <v>0.3</v>
      </c>
      <c r="F271">
        <f t="shared" ref="F271:F334" si="23">D271-E271</f>
        <v>-0.3</v>
      </c>
      <c r="G271">
        <f t="shared" si="22"/>
        <v>0.09</v>
      </c>
    </row>
    <row r="272" spans="1:7">
      <c r="A272">
        <v>262</v>
      </c>
      <c r="B272">
        <f t="shared" si="21"/>
        <v>0</v>
      </c>
      <c r="C272" s="10"/>
      <c r="D272" s="10"/>
      <c r="E272">
        <f t="shared" si="20"/>
        <v>0.3</v>
      </c>
      <c r="F272">
        <f t="shared" si="23"/>
        <v>-0.3</v>
      </c>
      <c r="G272">
        <f t="shared" si="22"/>
        <v>0.09</v>
      </c>
    </row>
    <row r="273" spans="1:7">
      <c r="A273">
        <v>263</v>
      </c>
      <c r="B273">
        <f t="shared" si="21"/>
        <v>0</v>
      </c>
      <c r="C273" s="10"/>
      <c r="D273" s="10"/>
      <c r="E273">
        <f t="shared" si="20"/>
        <v>0.3</v>
      </c>
      <c r="F273">
        <f t="shared" si="23"/>
        <v>-0.3</v>
      </c>
      <c r="G273">
        <f t="shared" si="22"/>
        <v>0.09</v>
      </c>
    </row>
    <row r="274" spans="1:7">
      <c r="A274">
        <v>264</v>
      </c>
      <c r="B274">
        <f t="shared" si="21"/>
        <v>0</v>
      </c>
      <c r="C274" s="10"/>
      <c r="D274" s="10"/>
      <c r="E274">
        <f t="shared" si="20"/>
        <v>0.3</v>
      </c>
      <c r="F274">
        <f t="shared" si="23"/>
        <v>-0.3</v>
      </c>
      <c r="G274">
        <f t="shared" si="22"/>
        <v>0.09</v>
      </c>
    </row>
    <row r="275" spans="1:7">
      <c r="A275">
        <v>265</v>
      </c>
      <c r="B275">
        <f t="shared" si="21"/>
        <v>0</v>
      </c>
      <c r="C275" s="10"/>
      <c r="D275" s="10"/>
      <c r="E275">
        <f t="shared" si="20"/>
        <v>0.3</v>
      </c>
      <c r="F275">
        <f t="shared" si="23"/>
        <v>-0.3</v>
      </c>
      <c r="G275">
        <f t="shared" si="22"/>
        <v>0.09</v>
      </c>
    </row>
    <row r="276" spans="1:7">
      <c r="A276">
        <v>266</v>
      </c>
      <c r="B276">
        <f t="shared" si="21"/>
        <v>0</v>
      </c>
      <c r="C276" s="10"/>
      <c r="D276" s="10"/>
      <c r="E276">
        <f t="shared" si="20"/>
        <v>0.3</v>
      </c>
      <c r="F276">
        <f t="shared" si="23"/>
        <v>-0.3</v>
      </c>
      <c r="G276">
        <f t="shared" si="22"/>
        <v>0.09</v>
      </c>
    </row>
    <row r="277" spans="1:7">
      <c r="A277">
        <v>267</v>
      </c>
      <c r="B277">
        <f t="shared" si="21"/>
        <v>0</v>
      </c>
      <c r="C277" s="10"/>
      <c r="D277" s="10"/>
      <c r="E277">
        <f t="shared" si="20"/>
        <v>0.3</v>
      </c>
      <c r="F277">
        <f t="shared" si="23"/>
        <v>-0.3</v>
      </c>
      <c r="G277">
        <f t="shared" si="22"/>
        <v>0.09</v>
      </c>
    </row>
    <row r="278" spans="1:7">
      <c r="A278">
        <v>268</v>
      </c>
      <c r="B278">
        <f t="shared" si="21"/>
        <v>0</v>
      </c>
      <c r="C278" s="10"/>
      <c r="D278" s="10"/>
      <c r="E278">
        <f t="shared" si="20"/>
        <v>0.3</v>
      </c>
      <c r="F278">
        <f t="shared" si="23"/>
        <v>-0.3</v>
      </c>
      <c r="G278">
        <f t="shared" si="22"/>
        <v>0.09</v>
      </c>
    </row>
    <row r="279" spans="1:7">
      <c r="A279">
        <v>269</v>
      </c>
      <c r="B279">
        <f t="shared" si="21"/>
        <v>0</v>
      </c>
      <c r="C279" s="10"/>
      <c r="D279" s="10"/>
      <c r="E279">
        <f t="shared" si="20"/>
        <v>0.3</v>
      </c>
      <c r="F279">
        <f t="shared" si="23"/>
        <v>-0.3</v>
      </c>
      <c r="G279">
        <f t="shared" si="22"/>
        <v>0.09</v>
      </c>
    </row>
    <row r="280" spans="1:7">
      <c r="A280">
        <v>270</v>
      </c>
      <c r="B280">
        <f t="shared" si="21"/>
        <v>0</v>
      </c>
      <c r="C280" s="10"/>
      <c r="D280" s="10"/>
      <c r="E280">
        <f t="shared" si="20"/>
        <v>0.3</v>
      </c>
      <c r="F280">
        <f t="shared" si="23"/>
        <v>-0.3</v>
      </c>
      <c r="G280">
        <f t="shared" si="22"/>
        <v>0.09</v>
      </c>
    </row>
    <row r="281" spans="1:7">
      <c r="A281">
        <v>271</v>
      </c>
      <c r="B281">
        <f t="shared" si="21"/>
        <v>0</v>
      </c>
      <c r="C281" s="10"/>
      <c r="D281" s="10"/>
      <c r="E281">
        <f t="shared" si="20"/>
        <v>0.3</v>
      </c>
      <c r="F281">
        <f t="shared" si="23"/>
        <v>-0.3</v>
      </c>
      <c r="G281">
        <f t="shared" si="22"/>
        <v>0.09</v>
      </c>
    </row>
    <row r="282" spans="1:7">
      <c r="A282">
        <v>272</v>
      </c>
      <c r="B282">
        <f t="shared" si="21"/>
        <v>0</v>
      </c>
      <c r="C282" s="10"/>
      <c r="D282" s="10"/>
      <c r="E282">
        <f t="shared" si="20"/>
        <v>0.3</v>
      </c>
      <c r="F282">
        <f t="shared" si="23"/>
        <v>-0.3</v>
      </c>
      <c r="G282">
        <f t="shared" si="22"/>
        <v>0.09</v>
      </c>
    </row>
    <row r="283" spans="1:7">
      <c r="A283">
        <v>273</v>
      </c>
      <c r="B283">
        <f t="shared" si="21"/>
        <v>0</v>
      </c>
      <c r="C283" s="10"/>
      <c r="D283" s="10"/>
      <c r="E283">
        <f t="shared" si="20"/>
        <v>0.3</v>
      </c>
      <c r="F283">
        <f t="shared" si="23"/>
        <v>-0.3</v>
      </c>
      <c r="G283">
        <f t="shared" si="22"/>
        <v>0.09</v>
      </c>
    </row>
    <row r="284" spans="1:7">
      <c r="A284">
        <v>274</v>
      </c>
      <c r="B284">
        <f t="shared" si="21"/>
        <v>0</v>
      </c>
      <c r="C284" s="10"/>
      <c r="D284" s="10"/>
      <c r="E284">
        <f t="shared" si="20"/>
        <v>0.3</v>
      </c>
      <c r="F284">
        <f t="shared" si="23"/>
        <v>-0.3</v>
      </c>
      <c r="G284">
        <f t="shared" si="22"/>
        <v>0.09</v>
      </c>
    </row>
    <row r="285" spans="1:7">
      <c r="A285">
        <v>275</v>
      </c>
      <c r="B285">
        <f t="shared" si="21"/>
        <v>0</v>
      </c>
      <c r="C285" s="10"/>
      <c r="D285" s="10"/>
      <c r="E285">
        <f t="shared" si="20"/>
        <v>0.3</v>
      </c>
      <c r="F285">
        <f t="shared" si="23"/>
        <v>-0.3</v>
      </c>
      <c r="G285">
        <f t="shared" si="22"/>
        <v>0.09</v>
      </c>
    </row>
    <row r="286" spans="1:7">
      <c r="A286">
        <v>276</v>
      </c>
      <c r="B286">
        <f t="shared" si="21"/>
        <v>0</v>
      </c>
      <c r="C286" s="10"/>
      <c r="D286" s="10"/>
      <c r="E286">
        <f t="shared" si="20"/>
        <v>0.3</v>
      </c>
      <c r="F286">
        <f t="shared" si="23"/>
        <v>-0.3</v>
      </c>
      <c r="G286">
        <f t="shared" si="22"/>
        <v>0.09</v>
      </c>
    </row>
    <row r="287" spans="1:7">
      <c r="A287">
        <v>277</v>
      </c>
      <c r="B287">
        <f t="shared" si="21"/>
        <v>0</v>
      </c>
      <c r="C287" s="10"/>
      <c r="D287" s="10"/>
      <c r="E287">
        <f t="shared" si="20"/>
        <v>0.3</v>
      </c>
      <c r="F287">
        <f t="shared" si="23"/>
        <v>-0.3</v>
      </c>
      <c r="G287">
        <f t="shared" si="22"/>
        <v>0.09</v>
      </c>
    </row>
    <row r="288" spans="1:7">
      <c r="A288">
        <v>278</v>
      </c>
      <c r="B288">
        <f t="shared" si="21"/>
        <v>0</v>
      </c>
      <c r="C288" s="10"/>
      <c r="D288" s="10"/>
      <c r="E288">
        <f t="shared" si="20"/>
        <v>0.3</v>
      </c>
      <c r="F288">
        <f t="shared" si="23"/>
        <v>-0.3</v>
      </c>
      <c r="G288">
        <f t="shared" si="22"/>
        <v>0.09</v>
      </c>
    </row>
    <row r="289" spans="1:7">
      <c r="A289">
        <v>279</v>
      </c>
      <c r="B289">
        <f t="shared" si="21"/>
        <v>0</v>
      </c>
      <c r="C289" s="10"/>
      <c r="D289" s="10"/>
      <c r="E289">
        <f t="shared" si="20"/>
        <v>0.3</v>
      </c>
      <c r="F289">
        <f t="shared" si="23"/>
        <v>-0.3</v>
      </c>
      <c r="G289">
        <f t="shared" si="22"/>
        <v>0.09</v>
      </c>
    </row>
    <row r="290" spans="1:7">
      <c r="A290">
        <v>280</v>
      </c>
      <c r="B290">
        <f t="shared" si="21"/>
        <v>0</v>
      </c>
      <c r="C290" s="10"/>
      <c r="D290" s="10"/>
      <c r="E290">
        <f t="shared" si="20"/>
        <v>0.3</v>
      </c>
      <c r="F290">
        <f t="shared" si="23"/>
        <v>-0.3</v>
      </c>
      <c r="G290">
        <f t="shared" si="22"/>
        <v>0.09</v>
      </c>
    </row>
    <row r="291" spans="1:7">
      <c r="A291">
        <v>281</v>
      </c>
      <c r="B291">
        <f t="shared" si="21"/>
        <v>0</v>
      </c>
      <c r="C291" s="10"/>
      <c r="D291" s="10"/>
      <c r="E291">
        <f t="shared" si="20"/>
        <v>0.3</v>
      </c>
      <c r="F291">
        <f t="shared" si="23"/>
        <v>-0.3</v>
      </c>
      <c r="G291">
        <f t="shared" si="22"/>
        <v>0.09</v>
      </c>
    </row>
    <row r="292" spans="1:7">
      <c r="A292">
        <v>282</v>
      </c>
      <c r="B292">
        <f t="shared" si="21"/>
        <v>0</v>
      </c>
      <c r="C292" s="10"/>
      <c r="D292" s="10"/>
      <c r="E292">
        <f t="shared" si="20"/>
        <v>0.3</v>
      </c>
      <c r="F292">
        <f t="shared" si="23"/>
        <v>-0.3</v>
      </c>
      <c r="G292">
        <f t="shared" si="22"/>
        <v>0.09</v>
      </c>
    </row>
    <row r="293" spans="1:7">
      <c r="A293">
        <v>283</v>
      </c>
      <c r="B293">
        <f t="shared" si="21"/>
        <v>0</v>
      </c>
      <c r="C293" s="10"/>
      <c r="D293" s="10"/>
      <c r="E293">
        <f t="shared" si="20"/>
        <v>0.3</v>
      </c>
      <c r="F293">
        <f t="shared" si="23"/>
        <v>-0.3</v>
      </c>
      <c r="G293">
        <f t="shared" si="22"/>
        <v>0.09</v>
      </c>
    </row>
    <row r="294" spans="1:7">
      <c r="A294">
        <v>284</v>
      </c>
      <c r="B294">
        <f t="shared" si="21"/>
        <v>0</v>
      </c>
      <c r="C294" s="10"/>
      <c r="D294" s="10"/>
      <c r="E294">
        <f t="shared" si="20"/>
        <v>0.3</v>
      </c>
      <c r="F294">
        <f t="shared" si="23"/>
        <v>-0.3</v>
      </c>
      <c r="G294">
        <f t="shared" si="22"/>
        <v>0.09</v>
      </c>
    </row>
    <row r="295" spans="1:7">
      <c r="A295">
        <v>285</v>
      </c>
      <c r="B295">
        <f t="shared" si="21"/>
        <v>0</v>
      </c>
      <c r="C295" s="10"/>
      <c r="D295" s="10"/>
      <c r="E295">
        <f t="shared" si="20"/>
        <v>0.3</v>
      </c>
      <c r="F295">
        <f t="shared" si="23"/>
        <v>-0.3</v>
      </c>
      <c r="G295">
        <f t="shared" si="22"/>
        <v>0.09</v>
      </c>
    </row>
    <row r="296" spans="1:7">
      <c r="A296">
        <v>286</v>
      </c>
      <c r="B296">
        <f t="shared" si="21"/>
        <v>0</v>
      </c>
      <c r="C296" s="10"/>
      <c r="D296" s="10"/>
      <c r="E296">
        <f t="shared" si="20"/>
        <v>0.3</v>
      </c>
      <c r="F296">
        <f t="shared" si="23"/>
        <v>-0.3</v>
      </c>
      <c r="G296">
        <f t="shared" si="22"/>
        <v>0.09</v>
      </c>
    </row>
    <row r="297" spans="1:7">
      <c r="A297">
        <v>287</v>
      </c>
      <c r="B297">
        <f t="shared" si="21"/>
        <v>0</v>
      </c>
      <c r="C297" s="10"/>
      <c r="D297" s="10"/>
      <c r="E297">
        <f t="shared" si="20"/>
        <v>0.3</v>
      </c>
      <c r="F297">
        <f t="shared" si="23"/>
        <v>-0.3</v>
      </c>
      <c r="G297">
        <f t="shared" si="22"/>
        <v>0.09</v>
      </c>
    </row>
    <row r="298" spans="1:7">
      <c r="A298">
        <v>288</v>
      </c>
      <c r="B298">
        <f t="shared" si="21"/>
        <v>0</v>
      </c>
      <c r="C298" s="10"/>
      <c r="D298" s="10"/>
      <c r="E298">
        <f t="shared" si="20"/>
        <v>0.3</v>
      </c>
      <c r="F298">
        <f t="shared" si="23"/>
        <v>-0.3</v>
      </c>
      <c r="G298">
        <f t="shared" si="22"/>
        <v>0.09</v>
      </c>
    </row>
    <row r="299" spans="1:7">
      <c r="A299">
        <v>289</v>
      </c>
      <c r="B299">
        <f t="shared" si="21"/>
        <v>0</v>
      </c>
      <c r="C299" s="10"/>
      <c r="D299" s="10"/>
      <c r="E299">
        <f t="shared" si="20"/>
        <v>0.3</v>
      </c>
      <c r="F299">
        <f t="shared" si="23"/>
        <v>-0.3</v>
      </c>
      <c r="G299">
        <f t="shared" si="22"/>
        <v>0.09</v>
      </c>
    </row>
    <row r="300" spans="1:7">
      <c r="A300">
        <v>290</v>
      </c>
      <c r="B300">
        <f t="shared" si="21"/>
        <v>0</v>
      </c>
      <c r="C300" s="10"/>
      <c r="D300" s="10"/>
      <c r="E300">
        <f t="shared" si="20"/>
        <v>0.3</v>
      </c>
      <c r="F300">
        <f t="shared" si="23"/>
        <v>-0.3</v>
      </c>
      <c r="G300">
        <f t="shared" si="22"/>
        <v>0.09</v>
      </c>
    </row>
    <row r="301" spans="1:7">
      <c r="A301">
        <v>291</v>
      </c>
      <c r="B301">
        <f t="shared" si="21"/>
        <v>0</v>
      </c>
      <c r="C301" s="10"/>
      <c r="D301" s="10"/>
      <c r="E301">
        <f t="shared" si="20"/>
        <v>0.3</v>
      </c>
      <c r="F301">
        <f t="shared" si="23"/>
        <v>-0.3</v>
      </c>
      <c r="G301">
        <f t="shared" si="22"/>
        <v>0.09</v>
      </c>
    </row>
    <row r="302" spans="1:7">
      <c r="A302">
        <v>292</v>
      </c>
      <c r="B302">
        <f t="shared" si="21"/>
        <v>0</v>
      </c>
      <c r="C302" s="10"/>
      <c r="D302" s="10"/>
      <c r="E302">
        <f t="shared" si="20"/>
        <v>0.3</v>
      </c>
      <c r="F302">
        <f t="shared" si="23"/>
        <v>-0.3</v>
      </c>
      <c r="G302">
        <f t="shared" si="22"/>
        <v>0.09</v>
      </c>
    </row>
    <row r="303" spans="1:7">
      <c r="A303">
        <v>293</v>
      </c>
      <c r="B303">
        <f t="shared" si="21"/>
        <v>0</v>
      </c>
      <c r="C303" s="10"/>
      <c r="D303" s="10"/>
      <c r="E303">
        <f t="shared" si="20"/>
        <v>0.3</v>
      </c>
      <c r="F303">
        <f t="shared" si="23"/>
        <v>-0.3</v>
      </c>
      <c r="G303">
        <f t="shared" si="22"/>
        <v>0.09</v>
      </c>
    </row>
    <row r="304" spans="1:7">
      <c r="A304">
        <v>294</v>
      </c>
      <c r="B304">
        <f t="shared" si="21"/>
        <v>0</v>
      </c>
      <c r="C304" s="10"/>
      <c r="D304" s="10"/>
      <c r="E304">
        <f t="shared" si="20"/>
        <v>0.3</v>
      </c>
      <c r="F304">
        <f t="shared" si="23"/>
        <v>-0.3</v>
      </c>
      <c r="G304">
        <f t="shared" si="22"/>
        <v>0.09</v>
      </c>
    </row>
    <row r="305" spans="1:7">
      <c r="A305">
        <v>295</v>
      </c>
      <c r="B305">
        <f t="shared" si="21"/>
        <v>0</v>
      </c>
      <c r="C305" s="10"/>
      <c r="D305" s="10"/>
      <c r="E305">
        <f t="shared" si="20"/>
        <v>0.3</v>
      </c>
      <c r="F305">
        <f t="shared" si="23"/>
        <v>-0.3</v>
      </c>
      <c r="G305">
        <f t="shared" si="22"/>
        <v>0.09</v>
      </c>
    </row>
    <row r="306" spans="1:7">
      <c r="A306">
        <v>296</v>
      </c>
      <c r="B306">
        <f t="shared" si="21"/>
        <v>0</v>
      </c>
      <c r="C306" s="10"/>
      <c r="D306" s="10"/>
      <c r="E306">
        <f t="shared" si="20"/>
        <v>0.3</v>
      </c>
      <c r="F306">
        <f t="shared" si="23"/>
        <v>-0.3</v>
      </c>
      <c r="G306">
        <f t="shared" si="22"/>
        <v>0.09</v>
      </c>
    </row>
    <row r="307" spans="1:7">
      <c r="A307">
        <v>297</v>
      </c>
      <c r="B307">
        <f t="shared" si="21"/>
        <v>0</v>
      </c>
      <c r="C307" s="10"/>
      <c r="D307" s="10"/>
      <c r="E307">
        <f t="shared" si="20"/>
        <v>0.3</v>
      </c>
      <c r="F307">
        <f t="shared" si="23"/>
        <v>-0.3</v>
      </c>
      <c r="G307">
        <f t="shared" si="22"/>
        <v>0.09</v>
      </c>
    </row>
    <row r="308" spans="1:7">
      <c r="A308">
        <v>298</v>
      </c>
      <c r="B308">
        <f t="shared" si="21"/>
        <v>0</v>
      </c>
      <c r="C308" s="10"/>
      <c r="D308" s="10"/>
      <c r="E308">
        <f t="shared" si="20"/>
        <v>0.3</v>
      </c>
      <c r="F308">
        <f t="shared" si="23"/>
        <v>-0.3</v>
      </c>
      <c r="G308">
        <f t="shared" si="22"/>
        <v>0.09</v>
      </c>
    </row>
    <row r="309" spans="1:7">
      <c r="A309">
        <v>299</v>
      </c>
      <c r="B309">
        <f t="shared" si="21"/>
        <v>0</v>
      </c>
      <c r="C309" s="10"/>
      <c r="D309" s="10"/>
      <c r="E309">
        <f t="shared" si="20"/>
        <v>0.3</v>
      </c>
      <c r="F309">
        <f t="shared" si="23"/>
        <v>-0.3</v>
      </c>
      <c r="G309">
        <f t="shared" si="22"/>
        <v>0.09</v>
      </c>
    </row>
    <row r="310" spans="1:7">
      <c r="A310">
        <v>300</v>
      </c>
      <c r="B310">
        <f t="shared" si="21"/>
        <v>0</v>
      </c>
      <c r="C310" s="10"/>
      <c r="D310" s="10"/>
      <c r="E310">
        <f t="shared" si="20"/>
        <v>0.3</v>
      </c>
      <c r="F310">
        <f t="shared" si="23"/>
        <v>-0.3</v>
      </c>
      <c r="G310">
        <f t="shared" si="22"/>
        <v>0.09</v>
      </c>
    </row>
    <row r="311" spans="1:7">
      <c r="A311">
        <v>301</v>
      </c>
      <c r="B311">
        <f t="shared" si="21"/>
        <v>0</v>
      </c>
      <c r="C311" s="10"/>
      <c r="D311" s="10"/>
      <c r="E311">
        <f t="shared" si="20"/>
        <v>0.3</v>
      </c>
      <c r="F311">
        <f t="shared" si="23"/>
        <v>-0.3</v>
      </c>
      <c r="G311">
        <f t="shared" si="22"/>
        <v>0.09</v>
      </c>
    </row>
    <row r="312" spans="1:7">
      <c r="A312">
        <v>302</v>
      </c>
      <c r="B312">
        <f t="shared" si="21"/>
        <v>0</v>
      </c>
      <c r="C312" s="10"/>
      <c r="D312" s="10"/>
      <c r="E312">
        <f t="shared" si="20"/>
        <v>0.3</v>
      </c>
      <c r="F312">
        <f t="shared" si="23"/>
        <v>-0.3</v>
      </c>
      <c r="G312">
        <f t="shared" si="22"/>
        <v>0.09</v>
      </c>
    </row>
    <row r="313" spans="1:7">
      <c r="A313">
        <v>303</v>
      </c>
      <c r="B313">
        <f t="shared" si="21"/>
        <v>0</v>
      </c>
      <c r="C313" s="10"/>
      <c r="D313" s="10"/>
      <c r="E313">
        <f t="shared" si="20"/>
        <v>0.3</v>
      </c>
      <c r="F313">
        <f t="shared" si="23"/>
        <v>-0.3</v>
      </c>
      <c r="G313">
        <f t="shared" si="22"/>
        <v>0.09</v>
      </c>
    </row>
    <row r="314" spans="1:7">
      <c r="A314">
        <v>304</v>
      </c>
      <c r="B314">
        <f t="shared" si="21"/>
        <v>0</v>
      </c>
      <c r="C314" s="10"/>
      <c r="D314" s="10"/>
      <c r="E314">
        <f t="shared" si="20"/>
        <v>0.3</v>
      </c>
      <c r="F314">
        <f t="shared" si="23"/>
        <v>-0.3</v>
      </c>
      <c r="G314">
        <f t="shared" si="22"/>
        <v>0.09</v>
      </c>
    </row>
    <row r="315" spans="1:7">
      <c r="A315">
        <v>305</v>
      </c>
      <c r="B315">
        <f t="shared" si="21"/>
        <v>0</v>
      </c>
      <c r="C315" s="10"/>
      <c r="D315" s="10"/>
      <c r="E315">
        <f t="shared" si="20"/>
        <v>0.3</v>
      </c>
      <c r="F315">
        <f t="shared" si="23"/>
        <v>-0.3</v>
      </c>
      <c r="G315">
        <f t="shared" si="22"/>
        <v>0.09</v>
      </c>
    </row>
    <row r="316" spans="1:7">
      <c r="A316">
        <v>306</v>
      </c>
      <c r="B316">
        <f t="shared" si="21"/>
        <v>0</v>
      </c>
      <c r="C316" s="10"/>
      <c r="D316" s="10"/>
      <c r="E316">
        <f t="shared" si="20"/>
        <v>0.3</v>
      </c>
      <c r="F316">
        <f t="shared" si="23"/>
        <v>-0.3</v>
      </c>
      <c r="G316">
        <f t="shared" si="22"/>
        <v>0.09</v>
      </c>
    </row>
    <row r="317" spans="1:7">
      <c r="A317">
        <v>307</v>
      </c>
      <c r="B317">
        <f t="shared" si="21"/>
        <v>0</v>
      </c>
      <c r="C317" s="10"/>
      <c r="D317" s="10"/>
      <c r="E317">
        <f t="shared" si="20"/>
        <v>0.3</v>
      </c>
      <c r="F317">
        <f t="shared" si="23"/>
        <v>-0.3</v>
      </c>
      <c r="G317">
        <f t="shared" si="22"/>
        <v>0.09</v>
      </c>
    </row>
    <row r="318" spans="1:7">
      <c r="A318">
        <v>308</v>
      </c>
      <c r="B318">
        <f t="shared" si="21"/>
        <v>0</v>
      </c>
      <c r="C318" s="10"/>
      <c r="D318" s="10"/>
      <c r="E318">
        <f t="shared" si="20"/>
        <v>0.3</v>
      </c>
      <c r="F318">
        <f t="shared" si="23"/>
        <v>-0.3</v>
      </c>
      <c r="G318">
        <f t="shared" si="22"/>
        <v>0.09</v>
      </c>
    </row>
    <row r="319" spans="1:7">
      <c r="A319">
        <v>309</v>
      </c>
      <c r="B319">
        <f t="shared" si="21"/>
        <v>0</v>
      </c>
      <c r="C319" s="10"/>
      <c r="D319" s="10"/>
      <c r="E319">
        <f t="shared" si="20"/>
        <v>0.3</v>
      </c>
      <c r="F319">
        <f t="shared" si="23"/>
        <v>-0.3</v>
      </c>
      <c r="G319">
        <f t="shared" si="22"/>
        <v>0.09</v>
      </c>
    </row>
    <row r="320" spans="1:7">
      <c r="A320">
        <v>310</v>
      </c>
      <c r="B320">
        <f t="shared" si="21"/>
        <v>0</v>
      </c>
      <c r="C320" s="10"/>
      <c r="D320" s="10"/>
      <c r="E320">
        <f t="shared" si="20"/>
        <v>0.3</v>
      </c>
      <c r="F320">
        <f t="shared" si="23"/>
        <v>-0.3</v>
      </c>
      <c r="G320">
        <f t="shared" si="22"/>
        <v>0.09</v>
      </c>
    </row>
    <row r="321" spans="1:7">
      <c r="A321">
        <v>311</v>
      </c>
      <c r="B321">
        <f t="shared" si="21"/>
        <v>0</v>
      </c>
      <c r="C321" s="10"/>
      <c r="D321" s="10"/>
      <c r="E321">
        <f t="shared" si="20"/>
        <v>0.3</v>
      </c>
      <c r="F321">
        <f t="shared" si="23"/>
        <v>-0.3</v>
      </c>
      <c r="G321">
        <f t="shared" si="22"/>
        <v>0.09</v>
      </c>
    </row>
    <row r="322" spans="1:7">
      <c r="A322">
        <v>312</v>
      </c>
      <c r="B322">
        <f t="shared" si="21"/>
        <v>0</v>
      </c>
      <c r="C322" s="10"/>
      <c r="D322" s="10"/>
      <c r="E322">
        <f t="shared" si="20"/>
        <v>0.3</v>
      </c>
      <c r="F322">
        <f t="shared" si="23"/>
        <v>-0.3</v>
      </c>
      <c r="G322">
        <f t="shared" si="22"/>
        <v>0.09</v>
      </c>
    </row>
    <row r="323" spans="1:7">
      <c r="A323">
        <v>313</v>
      </c>
      <c r="B323">
        <f t="shared" si="21"/>
        <v>0</v>
      </c>
      <c r="C323" s="10"/>
      <c r="D323" s="10"/>
      <c r="E323">
        <f t="shared" si="20"/>
        <v>0.3</v>
      </c>
      <c r="F323">
        <f t="shared" si="23"/>
        <v>-0.3</v>
      </c>
      <c r="G323">
        <f t="shared" si="22"/>
        <v>0.09</v>
      </c>
    </row>
    <row r="324" spans="1:7">
      <c r="A324">
        <v>314</v>
      </c>
      <c r="B324">
        <f t="shared" si="21"/>
        <v>0</v>
      </c>
      <c r="C324" s="10"/>
      <c r="D324" s="10"/>
      <c r="E324">
        <f t="shared" si="20"/>
        <v>0.3</v>
      </c>
      <c r="F324">
        <f t="shared" si="23"/>
        <v>-0.3</v>
      </c>
      <c r="G324">
        <f t="shared" si="22"/>
        <v>0.09</v>
      </c>
    </row>
    <row r="325" spans="1:7">
      <c r="A325">
        <v>315</v>
      </c>
      <c r="B325">
        <f t="shared" si="21"/>
        <v>0</v>
      </c>
      <c r="C325" s="10"/>
      <c r="D325" s="10"/>
      <c r="E325">
        <f t="shared" si="20"/>
        <v>0.3</v>
      </c>
      <c r="F325">
        <f t="shared" si="23"/>
        <v>-0.3</v>
      </c>
      <c r="G325">
        <f t="shared" si="22"/>
        <v>0.09</v>
      </c>
    </row>
    <row r="326" spans="1:7">
      <c r="A326">
        <v>316</v>
      </c>
      <c r="B326">
        <f t="shared" si="21"/>
        <v>0</v>
      </c>
      <c r="C326" s="10"/>
      <c r="D326" s="10"/>
      <c r="E326">
        <f t="shared" si="20"/>
        <v>0.3</v>
      </c>
      <c r="F326">
        <f t="shared" si="23"/>
        <v>-0.3</v>
      </c>
      <c r="G326">
        <f t="shared" si="22"/>
        <v>0.09</v>
      </c>
    </row>
    <row r="327" spans="1:7">
      <c r="A327">
        <v>317</v>
      </c>
      <c r="B327">
        <f t="shared" si="21"/>
        <v>0</v>
      </c>
      <c r="C327" s="10"/>
      <c r="D327" s="10"/>
      <c r="E327">
        <f t="shared" si="20"/>
        <v>0.3</v>
      </c>
      <c r="F327">
        <f t="shared" si="23"/>
        <v>-0.3</v>
      </c>
      <c r="G327">
        <f t="shared" si="22"/>
        <v>0.09</v>
      </c>
    </row>
    <row r="328" spans="1:7">
      <c r="A328">
        <v>318</v>
      </c>
      <c r="B328">
        <f t="shared" si="21"/>
        <v>0</v>
      </c>
      <c r="C328" s="10"/>
      <c r="D328" s="10"/>
      <c r="E328">
        <f t="shared" si="20"/>
        <v>0.3</v>
      </c>
      <c r="F328">
        <f t="shared" si="23"/>
        <v>-0.3</v>
      </c>
      <c r="G328">
        <f t="shared" si="22"/>
        <v>0.09</v>
      </c>
    </row>
    <row r="329" spans="1:7">
      <c r="A329">
        <v>319</v>
      </c>
      <c r="B329">
        <f t="shared" si="21"/>
        <v>0</v>
      </c>
      <c r="C329" s="10"/>
      <c r="D329" s="10"/>
      <c r="E329">
        <f t="shared" si="20"/>
        <v>0.3</v>
      </c>
      <c r="F329">
        <f t="shared" si="23"/>
        <v>-0.3</v>
      </c>
      <c r="G329">
        <f t="shared" si="22"/>
        <v>0.09</v>
      </c>
    </row>
    <row r="330" spans="1:7">
      <c r="A330">
        <v>320</v>
      </c>
      <c r="B330">
        <f t="shared" si="21"/>
        <v>0</v>
      </c>
      <c r="C330" s="10"/>
      <c r="D330" s="10"/>
      <c r="E330">
        <f t="shared" si="20"/>
        <v>0.3</v>
      </c>
      <c r="F330">
        <f t="shared" si="23"/>
        <v>-0.3</v>
      </c>
      <c r="G330">
        <f t="shared" si="22"/>
        <v>0.09</v>
      </c>
    </row>
    <row r="331" spans="1:7">
      <c r="A331">
        <v>321</v>
      </c>
      <c r="B331">
        <f t="shared" si="21"/>
        <v>0</v>
      </c>
      <c r="C331" s="10"/>
      <c r="D331" s="10"/>
      <c r="E331">
        <f t="shared" ref="E331:E394" si="24">CumOffset+fcoh*EXP(-2*GammaBar*C331+mutwo*C331^2+muthree*C331^3+mufour*C331^4)</f>
        <v>0.3</v>
      </c>
      <c r="F331">
        <f t="shared" si="23"/>
        <v>-0.3</v>
      </c>
      <c r="G331">
        <f t="shared" si="22"/>
        <v>0.09</v>
      </c>
    </row>
    <row r="332" spans="1:7">
      <c r="A332">
        <v>322</v>
      </c>
      <c r="B332">
        <f t="shared" ref="B332:B395" si="25">C332/1000</f>
        <v>0</v>
      </c>
      <c r="C332" s="10"/>
      <c r="D332" s="10"/>
      <c r="E332">
        <f t="shared" si="24"/>
        <v>0.3</v>
      </c>
      <c r="F332">
        <f t="shared" si="23"/>
        <v>-0.3</v>
      </c>
      <c r="G332">
        <f t="shared" ref="G332:G395" si="26">F332*F332</f>
        <v>0.09</v>
      </c>
    </row>
    <row r="333" spans="1:7">
      <c r="A333">
        <v>323</v>
      </c>
      <c r="B333">
        <f t="shared" si="25"/>
        <v>0</v>
      </c>
      <c r="C333" s="10"/>
      <c r="D333" s="10"/>
      <c r="E333">
        <f t="shared" si="24"/>
        <v>0.3</v>
      </c>
      <c r="F333">
        <f t="shared" si="23"/>
        <v>-0.3</v>
      </c>
      <c r="G333">
        <f t="shared" si="26"/>
        <v>0.09</v>
      </c>
    </row>
    <row r="334" spans="1:7">
      <c r="A334">
        <v>324</v>
      </c>
      <c r="B334">
        <f t="shared" si="25"/>
        <v>0</v>
      </c>
      <c r="C334" s="10"/>
      <c r="D334" s="10"/>
      <c r="E334">
        <f t="shared" si="24"/>
        <v>0.3</v>
      </c>
      <c r="F334">
        <f t="shared" si="23"/>
        <v>-0.3</v>
      </c>
      <c r="G334">
        <f t="shared" si="26"/>
        <v>0.09</v>
      </c>
    </row>
    <row r="335" spans="1:7">
      <c r="A335">
        <v>325</v>
      </c>
      <c r="B335">
        <f t="shared" si="25"/>
        <v>0</v>
      </c>
      <c r="C335" s="10"/>
      <c r="D335" s="10"/>
      <c r="E335">
        <f t="shared" si="24"/>
        <v>0.3</v>
      </c>
      <c r="F335">
        <f t="shared" ref="F335:F398" si="27">D335-E335</f>
        <v>-0.3</v>
      </c>
      <c r="G335">
        <f t="shared" si="26"/>
        <v>0.09</v>
      </c>
    </row>
    <row r="336" spans="1:7">
      <c r="A336">
        <v>326</v>
      </c>
      <c r="B336">
        <f t="shared" si="25"/>
        <v>0</v>
      </c>
      <c r="C336" s="10"/>
      <c r="D336" s="10"/>
      <c r="E336">
        <f t="shared" si="24"/>
        <v>0.3</v>
      </c>
      <c r="F336">
        <f t="shared" si="27"/>
        <v>-0.3</v>
      </c>
      <c r="G336">
        <f t="shared" si="26"/>
        <v>0.09</v>
      </c>
    </row>
    <row r="337" spans="1:7">
      <c r="A337">
        <v>327</v>
      </c>
      <c r="B337">
        <f t="shared" si="25"/>
        <v>0</v>
      </c>
      <c r="C337" s="10"/>
      <c r="D337" s="10"/>
      <c r="E337">
        <f t="shared" si="24"/>
        <v>0.3</v>
      </c>
      <c r="F337">
        <f t="shared" si="27"/>
        <v>-0.3</v>
      </c>
      <c r="G337">
        <f t="shared" si="26"/>
        <v>0.09</v>
      </c>
    </row>
    <row r="338" spans="1:7">
      <c r="A338">
        <v>328</v>
      </c>
      <c r="B338">
        <f t="shared" si="25"/>
        <v>0</v>
      </c>
      <c r="C338" s="10"/>
      <c r="D338" s="10"/>
      <c r="E338">
        <f t="shared" si="24"/>
        <v>0.3</v>
      </c>
      <c r="F338">
        <f t="shared" si="27"/>
        <v>-0.3</v>
      </c>
      <c r="G338">
        <f t="shared" si="26"/>
        <v>0.09</v>
      </c>
    </row>
    <row r="339" spans="1:7">
      <c r="A339">
        <v>329</v>
      </c>
      <c r="B339">
        <f t="shared" si="25"/>
        <v>0</v>
      </c>
      <c r="C339" s="10"/>
      <c r="D339" s="10"/>
      <c r="E339">
        <f t="shared" si="24"/>
        <v>0.3</v>
      </c>
      <c r="F339">
        <f t="shared" si="27"/>
        <v>-0.3</v>
      </c>
      <c r="G339">
        <f t="shared" si="26"/>
        <v>0.09</v>
      </c>
    </row>
    <row r="340" spans="1:7">
      <c r="A340">
        <v>330</v>
      </c>
      <c r="B340">
        <f t="shared" si="25"/>
        <v>0</v>
      </c>
      <c r="C340" s="10"/>
      <c r="D340" s="10"/>
      <c r="E340">
        <f t="shared" si="24"/>
        <v>0.3</v>
      </c>
      <c r="F340">
        <f t="shared" si="27"/>
        <v>-0.3</v>
      </c>
      <c r="G340">
        <f t="shared" si="26"/>
        <v>0.09</v>
      </c>
    </row>
    <row r="341" spans="1:7">
      <c r="A341">
        <v>331</v>
      </c>
      <c r="B341">
        <f t="shared" si="25"/>
        <v>0</v>
      </c>
      <c r="C341" s="10"/>
      <c r="D341" s="10"/>
      <c r="E341">
        <f t="shared" si="24"/>
        <v>0.3</v>
      </c>
      <c r="F341">
        <f t="shared" si="27"/>
        <v>-0.3</v>
      </c>
      <c r="G341">
        <f t="shared" si="26"/>
        <v>0.09</v>
      </c>
    </row>
    <row r="342" spans="1:7">
      <c r="A342">
        <v>332</v>
      </c>
      <c r="B342">
        <f t="shared" si="25"/>
        <v>0</v>
      </c>
      <c r="C342" s="10"/>
      <c r="D342" s="10"/>
      <c r="E342">
        <f t="shared" si="24"/>
        <v>0.3</v>
      </c>
      <c r="F342">
        <f t="shared" si="27"/>
        <v>-0.3</v>
      </c>
      <c r="G342">
        <f t="shared" si="26"/>
        <v>0.09</v>
      </c>
    </row>
    <row r="343" spans="1:7">
      <c r="A343">
        <v>333</v>
      </c>
      <c r="B343">
        <f t="shared" si="25"/>
        <v>0</v>
      </c>
      <c r="C343" s="10"/>
      <c r="D343" s="10"/>
      <c r="E343">
        <f t="shared" si="24"/>
        <v>0.3</v>
      </c>
      <c r="F343">
        <f t="shared" si="27"/>
        <v>-0.3</v>
      </c>
      <c r="G343">
        <f t="shared" si="26"/>
        <v>0.09</v>
      </c>
    </row>
    <row r="344" spans="1:7">
      <c r="A344">
        <v>334</v>
      </c>
      <c r="B344">
        <f t="shared" si="25"/>
        <v>0</v>
      </c>
      <c r="C344" s="10"/>
      <c r="D344" s="10"/>
      <c r="E344">
        <f t="shared" si="24"/>
        <v>0.3</v>
      </c>
      <c r="F344">
        <f t="shared" si="27"/>
        <v>-0.3</v>
      </c>
      <c r="G344">
        <f t="shared" si="26"/>
        <v>0.09</v>
      </c>
    </row>
    <row r="345" spans="1:7">
      <c r="A345">
        <v>335</v>
      </c>
      <c r="B345">
        <f t="shared" si="25"/>
        <v>0</v>
      </c>
      <c r="C345" s="10"/>
      <c r="D345" s="10"/>
      <c r="E345">
        <f t="shared" si="24"/>
        <v>0.3</v>
      </c>
      <c r="F345">
        <f t="shared" si="27"/>
        <v>-0.3</v>
      </c>
      <c r="G345">
        <f t="shared" si="26"/>
        <v>0.09</v>
      </c>
    </row>
    <row r="346" spans="1:7">
      <c r="A346">
        <v>336</v>
      </c>
      <c r="B346">
        <f t="shared" si="25"/>
        <v>0</v>
      </c>
      <c r="C346" s="10"/>
      <c r="D346" s="10"/>
      <c r="E346">
        <f t="shared" si="24"/>
        <v>0.3</v>
      </c>
      <c r="F346">
        <f t="shared" si="27"/>
        <v>-0.3</v>
      </c>
      <c r="G346">
        <f t="shared" si="26"/>
        <v>0.09</v>
      </c>
    </row>
    <row r="347" spans="1:7">
      <c r="A347">
        <v>337</v>
      </c>
      <c r="B347">
        <f t="shared" si="25"/>
        <v>0</v>
      </c>
      <c r="C347" s="10"/>
      <c r="D347" s="10"/>
      <c r="E347">
        <f t="shared" si="24"/>
        <v>0.3</v>
      </c>
      <c r="F347">
        <f t="shared" si="27"/>
        <v>-0.3</v>
      </c>
      <c r="G347">
        <f t="shared" si="26"/>
        <v>0.09</v>
      </c>
    </row>
    <row r="348" spans="1:7">
      <c r="A348">
        <v>338</v>
      </c>
      <c r="B348">
        <f t="shared" si="25"/>
        <v>0</v>
      </c>
      <c r="C348" s="10"/>
      <c r="D348" s="10"/>
      <c r="E348">
        <f t="shared" si="24"/>
        <v>0.3</v>
      </c>
      <c r="F348">
        <f t="shared" si="27"/>
        <v>-0.3</v>
      </c>
      <c r="G348">
        <f t="shared" si="26"/>
        <v>0.09</v>
      </c>
    </row>
    <row r="349" spans="1:7">
      <c r="A349">
        <v>339</v>
      </c>
      <c r="B349">
        <f t="shared" si="25"/>
        <v>0</v>
      </c>
      <c r="C349" s="10"/>
      <c r="D349" s="10"/>
      <c r="E349">
        <f t="shared" si="24"/>
        <v>0.3</v>
      </c>
      <c r="F349">
        <f t="shared" si="27"/>
        <v>-0.3</v>
      </c>
      <c r="G349">
        <f t="shared" si="26"/>
        <v>0.09</v>
      </c>
    </row>
    <row r="350" spans="1:7">
      <c r="A350">
        <v>340</v>
      </c>
      <c r="B350">
        <f t="shared" si="25"/>
        <v>0</v>
      </c>
      <c r="C350" s="10"/>
      <c r="D350" s="10"/>
      <c r="E350">
        <f t="shared" si="24"/>
        <v>0.3</v>
      </c>
      <c r="F350">
        <f t="shared" si="27"/>
        <v>-0.3</v>
      </c>
      <c r="G350">
        <f t="shared" si="26"/>
        <v>0.09</v>
      </c>
    </row>
    <row r="351" spans="1:7">
      <c r="A351">
        <v>341</v>
      </c>
      <c r="B351">
        <f t="shared" si="25"/>
        <v>0</v>
      </c>
      <c r="C351" s="10"/>
      <c r="D351" s="10"/>
      <c r="E351">
        <f t="shared" si="24"/>
        <v>0.3</v>
      </c>
      <c r="F351">
        <f t="shared" si="27"/>
        <v>-0.3</v>
      </c>
      <c r="G351">
        <f t="shared" si="26"/>
        <v>0.09</v>
      </c>
    </row>
    <row r="352" spans="1:7">
      <c r="A352">
        <v>342</v>
      </c>
      <c r="B352">
        <f t="shared" si="25"/>
        <v>0</v>
      </c>
      <c r="C352" s="10"/>
      <c r="D352" s="10"/>
      <c r="E352">
        <f t="shared" si="24"/>
        <v>0.3</v>
      </c>
      <c r="F352">
        <f t="shared" si="27"/>
        <v>-0.3</v>
      </c>
      <c r="G352">
        <f t="shared" si="26"/>
        <v>0.09</v>
      </c>
    </row>
    <row r="353" spans="1:7">
      <c r="A353">
        <v>343</v>
      </c>
      <c r="B353">
        <f t="shared" si="25"/>
        <v>0</v>
      </c>
      <c r="C353" s="10"/>
      <c r="D353" s="10"/>
      <c r="E353">
        <f t="shared" si="24"/>
        <v>0.3</v>
      </c>
      <c r="F353">
        <f t="shared" si="27"/>
        <v>-0.3</v>
      </c>
      <c r="G353">
        <f t="shared" si="26"/>
        <v>0.09</v>
      </c>
    </row>
    <row r="354" spans="1:7">
      <c r="A354">
        <v>344</v>
      </c>
      <c r="B354">
        <f t="shared" si="25"/>
        <v>0</v>
      </c>
      <c r="C354" s="10"/>
      <c r="D354" s="10"/>
      <c r="E354">
        <f t="shared" si="24"/>
        <v>0.3</v>
      </c>
      <c r="F354">
        <f t="shared" si="27"/>
        <v>-0.3</v>
      </c>
      <c r="G354">
        <f t="shared" si="26"/>
        <v>0.09</v>
      </c>
    </row>
    <row r="355" spans="1:7">
      <c r="A355">
        <v>345</v>
      </c>
      <c r="B355">
        <f t="shared" si="25"/>
        <v>0</v>
      </c>
      <c r="C355" s="10"/>
      <c r="D355" s="10"/>
      <c r="E355">
        <f t="shared" si="24"/>
        <v>0.3</v>
      </c>
      <c r="F355">
        <f t="shared" si="27"/>
        <v>-0.3</v>
      </c>
      <c r="G355">
        <f t="shared" si="26"/>
        <v>0.09</v>
      </c>
    </row>
    <row r="356" spans="1:7">
      <c r="A356">
        <v>346</v>
      </c>
      <c r="B356">
        <f t="shared" si="25"/>
        <v>0</v>
      </c>
      <c r="C356" s="10"/>
      <c r="D356" s="10"/>
      <c r="E356">
        <f t="shared" si="24"/>
        <v>0.3</v>
      </c>
      <c r="F356">
        <f t="shared" si="27"/>
        <v>-0.3</v>
      </c>
      <c r="G356">
        <f t="shared" si="26"/>
        <v>0.09</v>
      </c>
    </row>
    <row r="357" spans="1:7">
      <c r="A357">
        <v>347</v>
      </c>
      <c r="B357">
        <f t="shared" si="25"/>
        <v>0</v>
      </c>
      <c r="C357" s="10"/>
      <c r="D357" s="10"/>
      <c r="E357">
        <f t="shared" si="24"/>
        <v>0.3</v>
      </c>
      <c r="F357">
        <f t="shared" si="27"/>
        <v>-0.3</v>
      </c>
      <c r="G357">
        <f t="shared" si="26"/>
        <v>0.09</v>
      </c>
    </row>
    <row r="358" spans="1:7">
      <c r="A358">
        <v>348</v>
      </c>
      <c r="B358">
        <f t="shared" si="25"/>
        <v>0</v>
      </c>
      <c r="C358" s="10"/>
      <c r="D358" s="10"/>
      <c r="E358">
        <f t="shared" si="24"/>
        <v>0.3</v>
      </c>
      <c r="F358">
        <f t="shared" si="27"/>
        <v>-0.3</v>
      </c>
      <c r="G358">
        <f t="shared" si="26"/>
        <v>0.09</v>
      </c>
    </row>
    <row r="359" spans="1:7">
      <c r="A359">
        <v>349</v>
      </c>
      <c r="B359">
        <f t="shared" si="25"/>
        <v>0</v>
      </c>
      <c r="C359" s="10"/>
      <c r="D359" s="10"/>
      <c r="E359">
        <f t="shared" si="24"/>
        <v>0.3</v>
      </c>
      <c r="F359">
        <f t="shared" si="27"/>
        <v>-0.3</v>
      </c>
      <c r="G359">
        <f t="shared" si="26"/>
        <v>0.09</v>
      </c>
    </row>
    <row r="360" spans="1:7">
      <c r="A360">
        <v>350</v>
      </c>
      <c r="B360">
        <f t="shared" si="25"/>
        <v>0</v>
      </c>
      <c r="C360" s="10"/>
      <c r="D360" s="10"/>
      <c r="E360">
        <f t="shared" si="24"/>
        <v>0.3</v>
      </c>
      <c r="F360">
        <f t="shared" si="27"/>
        <v>-0.3</v>
      </c>
      <c r="G360">
        <f t="shared" si="26"/>
        <v>0.09</v>
      </c>
    </row>
    <row r="361" spans="1:7">
      <c r="A361">
        <v>351</v>
      </c>
      <c r="B361">
        <f t="shared" si="25"/>
        <v>0</v>
      </c>
      <c r="C361" s="10"/>
      <c r="D361" s="10"/>
      <c r="E361">
        <f t="shared" si="24"/>
        <v>0.3</v>
      </c>
      <c r="F361">
        <f t="shared" si="27"/>
        <v>-0.3</v>
      </c>
      <c r="G361">
        <f t="shared" si="26"/>
        <v>0.09</v>
      </c>
    </row>
    <row r="362" spans="1:7">
      <c r="A362">
        <v>352</v>
      </c>
      <c r="B362">
        <f t="shared" si="25"/>
        <v>0</v>
      </c>
      <c r="C362" s="10"/>
      <c r="D362" s="10"/>
      <c r="E362">
        <f t="shared" si="24"/>
        <v>0.3</v>
      </c>
      <c r="F362">
        <f t="shared" si="27"/>
        <v>-0.3</v>
      </c>
      <c r="G362">
        <f t="shared" si="26"/>
        <v>0.09</v>
      </c>
    </row>
    <row r="363" spans="1:7">
      <c r="A363">
        <v>353</v>
      </c>
      <c r="B363">
        <f t="shared" si="25"/>
        <v>0</v>
      </c>
      <c r="C363" s="10"/>
      <c r="D363" s="10"/>
      <c r="E363">
        <f t="shared" si="24"/>
        <v>0.3</v>
      </c>
      <c r="F363">
        <f t="shared" si="27"/>
        <v>-0.3</v>
      </c>
      <c r="G363">
        <f t="shared" si="26"/>
        <v>0.09</v>
      </c>
    </row>
    <row r="364" spans="1:7">
      <c r="A364">
        <v>354</v>
      </c>
      <c r="B364">
        <f t="shared" si="25"/>
        <v>0</v>
      </c>
      <c r="C364" s="10"/>
      <c r="D364" s="10"/>
      <c r="E364">
        <f t="shared" si="24"/>
        <v>0.3</v>
      </c>
      <c r="F364">
        <f t="shared" si="27"/>
        <v>-0.3</v>
      </c>
      <c r="G364">
        <f t="shared" si="26"/>
        <v>0.09</v>
      </c>
    </row>
    <row r="365" spans="1:7">
      <c r="A365">
        <v>355</v>
      </c>
      <c r="B365">
        <f t="shared" si="25"/>
        <v>0</v>
      </c>
      <c r="C365" s="10"/>
      <c r="D365" s="10"/>
      <c r="E365">
        <f t="shared" si="24"/>
        <v>0.3</v>
      </c>
      <c r="F365">
        <f t="shared" si="27"/>
        <v>-0.3</v>
      </c>
      <c r="G365">
        <f t="shared" si="26"/>
        <v>0.09</v>
      </c>
    </row>
    <row r="366" spans="1:7">
      <c r="A366">
        <v>356</v>
      </c>
      <c r="B366">
        <f t="shared" si="25"/>
        <v>0</v>
      </c>
      <c r="C366" s="10"/>
      <c r="D366" s="10"/>
      <c r="E366">
        <f t="shared" si="24"/>
        <v>0.3</v>
      </c>
      <c r="F366">
        <f t="shared" si="27"/>
        <v>-0.3</v>
      </c>
      <c r="G366">
        <f t="shared" si="26"/>
        <v>0.09</v>
      </c>
    </row>
    <row r="367" spans="1:7">
      <c r="A367">
        <v>357</v>
      </c>
      <c r="B367">
        <f t="shared" si="25"/>
        <v>0</v>
      </c>
      <c r="C367" s="10"/>
      <c r="D367" s="10"/>
      <c r="E367">
        <f t="shared" si="24"/>
        <v>0.3</v>
      </c>
      <c r="F367">
        <f t="shared" si="27"/>
        <v>-0.3</v>
      </c>
      <c r="G367">
        <f t="shared" si="26"/>
        <v>0.09</v>
      </c>
    </row>
    <row r="368" spans="1:7">
      <c r="A368">
        <v>358</v>
      </c>
      <c r="B368">
        <f t="shared" si="25"/>
        <v>0</v>
      </c>
      <c r="C368" s="10"/>
      <c r="D368" s="10"/>
      <c r="E368">
        <f t="shared" si="24"/>
        <v>0.3</v>
      </c>
      <c r="F368">
        <f t="shared" si="27"/>
        <v>-0.3</v>
      </c>
      <c r="G368">
        <f t="shared" si="26"/>
        <v>0.09</v>
      </c>
    </row>
    <row r="369" spans="1:7">
      <c r="A369">
        <v>359</v>
      </c>
      <c r="B369">
        <f t="shared" si="25"/>
        <v>0</v>
      </c>
      <c r="C369" s="10"/>
      <c r="D369" s="10"/>
      <c r="E369">
        <f t="shared" si="24"/>
        <v>0.3</v>
      </c>
      <c r="F369">
        <f t="shared" si="27"/>
        <v>-0.3</v>
      </c>
      <c r="G369">
        <f t="shared" si="26"/>
        <v>0.09</v>
      </c>
    </row>
    <row r="370" spans="1:7">
      <c r="A370">
        <v>360</v>
      </c>
      <c r="B370">
        <f t="shared" si="25"/>
        <v>0</v>
      </c>
      <c r="C370" s="10"/>
      <c r="D370" s="10"/>
      <c r="E370">
        <f t="shared" si="24"/>
        <v>0.3</v>
      </c>
      <c r="F370">
        <f t="shared" si="27"/>
        <v>-0.3</v>
      </c>
      <c r="G370">
        <f t="shared" si="26"/>
        <v>0.09</v>
      </c>
    </row>
    <row r="371" spans="1:7">
      <c r="A371">
        <v>361</v>
      </c>
      <c r="B371">
        <f t="shared" si="25"/>
        <v>0</v>
      </c>
      <c r="C371" s="10"/>
      <c r="D371" s="10"/>
      <c r="E371">
        <f t="shared" si="24"/>
        <v>0.3</v>
      </c>
      <c r="F371">
        <f t="shared" si="27"/>
        <v>-0.3</v>
      </c>
      <c r="G371">
        <f t="shared" si="26"/>
        <v>0.09</v>
      </c>
    </row>
    <row r="372" spans="1:7">
      <c r="A372">
        <v>362</v>
      </c>
      <c r="B372">
        <f t="shared" si="25"/>
        <v>0</v>
      </c>
      <c r="C372" s="10"/>
      <c r="D372" s="10"/>
      <c r="E372">
        <f t="shared" si="24"/>
        <v>0.3</v>
      </c>
      <c r="F372">
        <f t="shared" si="27"/>
        <v>-0.3</v>
      </c>
      <c r="G372">
        <f t="shared" si="26"/>
        <v>0.09</v>
      </c>
    </row>
    <row r="373" spans="1:7">
      <c r="A373">
        <v>363</v>
      </c>
      <c r="B373">
        <f t="shared" si="25"/>
        <v>0</v>
      </c>
      <c r="C373" s="10"/>
      <c r="D373" s="10"/>
      <c r="E373">
        <f t="shared" si="24"/>
        <v>0.3</v>
      </c>
      <c r="F373">
        <f t="shared" si="27"/>
        <v>-0.3</v>
      </c>
      <c r="G373">
        <f t="shared" si="26"/>
        <v>0.09</v>
      </c>
    </row>
    <row r="374" spans="1:7">
      <c r="A374">
        <v>364</v>
      </c>
      <c r="B374">
        <f t="shared" si="25"/>
        <v>0</v>
      </c>
      <c r="C374" s="10"/>
      <c r="D374" s="10"/>
      <c r="E374">
        <f t="shared" si="24"/>
        <v>0.3</v>
      </c>
      <c r="F374">
        <f t="shared" si="27"/>
        <v>-0.3</v>
      </c>
      <c r="G374">
        <f t="shared" si="26"/>
        <v>0.09</v>
      </c>
    </row>
    <row r="375" spans="1:7">
      <c r="A375">
        <v>365</v>
      </c>
      <c r="B375">
        <f t="shared" si="25"/>
        <v>0</v>
      </c>
      <c r="C375" s="10"/>
      <c r="D375" s="10"/>
      <c r="E375">
        <f t="shared" si="24"/>
        <v>0.3</v>
      </c>
      <c r="F375">
        <f t="shared" si="27"/>
        <v>-0.3</v>
      </c>
      <c r="G375">
        <f t="shared" si="26"/>
        <v>0.09</v>
      </c>
    </row>
    <row r="376" spans="1:7">
      <c r="A376">
        <v>366</v>
      </c>
      <c r="B376">
        <f t="shared" si="25"/>
        <v>0</v>
      </c>
      <c r="C376" s="10"/>
      <c r="D376" s="10"/>
      <c r="E376">
        <f t="shared" si="24"/>
        <v>0.3</v>
      </c>
      <c r="F376">
        <f t="shared" si="27"/>
        <v>-0.3</v>
      </c>
      <c r="G376">
        <f t="shared" si="26"/>
        <v>0.09</v>
      </c>
    </row>
    <row r="377" spans="1:7">
      <c r="A377">
        <v>367</v>
      </c>
      <c r="B377">
        <f t="shared" si="25"/>
        <v>0</v>
      </c>
      <c r="C377" s="10"/>
      <c r="D377" s="10"/>
      <c r="E377">
        <f t="shared" si="24"/>
        <v>0.3</v>
      </c>
      <c r="F377">
        <f t="shared" si="27"/>
        <v>-0.3</v>
      </c>
      <c r="G377">
        <f t="shared" si="26"/>
        <v>0.09</v>
      </c>
    </row>
    <row r="378" spans="1:7">
      <c r="A378">
        <v>368</v>
      </c>
      <c r="B378">
        <f t="shared" si="25"/>
        <v>0</v>
      </c>
      <c r="C378" s="10"/>
      <c r="D378" s="10"/>
      <c r="E378">
        <f t="shared" si="24"/>
        <v>0.3</v>
      </c>
      <c r="F378">
        <f t="shared" si="27"/>
        <v>-0.3</v>
      </c>
      <c r="G378">
        <f t="shared" si="26"/>
        <v>0.09</v>
      </c>
    </row>
    <row r="379" spans="1:7">
      <c r="A379">
        <v>369</v>
      </c>
      <c r="B379">
        <f t="shared" si="25"/>
        <v>0</v>
      </c>
      <c r="C379" s="10"/>
      <c r="D379" s="10"/>
      <c r="E379">
        <f t="shared" si="24"/>
        <v>0.3</v>
      </c>
      <c r="F379">
        <f t="shared" si="27"/>
        <v>-0.3</v>
      </c>
      <c r="G379">
        <f t="shared" si="26"/>
        <v>0.09</v>
      </c>
    </row>
    <row r="380" spans="1:7">
      <c r="A380">
        <v>370</v>
      </c>
      <c r="B380">
        <f t="shared" si="25"/>
        <v>0</v>
      </c>
      <c r="C380" s="10"/>
      <c r="D380" s="10"/>
      <c r="E380">
        <f t="shared" si="24"/>
        <v>0.3</v>
      </c>
      <c r="F380">
        <f t="shared" si="27"/>
        <v>-0.3</v>
      </c>
      <c r="G380">
        <f t="shared" si="26"/>
        <v>0.09</v>
      </c>
    </row>
    <row r="381" spans="1:7">
      <c r="A381">
        <v>371</v>
      </c>
      <c r="B381">
        <f t="shared" si="25"/>
        <v>0</v>
      </c>
      <c r="C381" s="10"/>
      <c r="D381" s="10"/>
      <c r="E381">
        <f t="shared" si="24"/>
        <v>0.3</v>
      </c>
      <c r="F381">
        <f t="shared" si="27"/>
        <v>-0.3</v>
      </c>
      <c r="G381">
        <f t="shared" si="26"/>
        <v>0.09</v>
      </c>
    </row>
    <row r="382" spans="1:7">
      <c r="A382">
        <v>372</v>
      </c>
      <c r="B382">
        <f t="shared" si="25"/>
        <v>0</v>
      </c>
      <c r="C382" s="10"/>
      <c r="D382" s="10"/>
      <c r="E382">
        <f t="shared" si="24"/>
        <v>0.3</v>
      </c>
      <c r="F382">
        <f t="shared" si="27"/>
        <v>-0.3</v>
      </c>
      <c r="G382">
        <f t="shared" si="26"/>
        <v>0.09</v>
      </c>
    </row>
    <row r="383" spans="1:7">
      <c r="A383">
        <v>373</v>
      </c>
      <c r="B383">
        <f t="shared" si="25"/>
        <v>0</v>
      </c>
      <c r="C383" s="10"/>
      <c r="D383" s="10"/>
      <c r="E383">
        <f t="shared" si="24"/>
        <v>0.3</v>
      </c>
      <c r="F383">
        <f t="shared" si="27"/>
        <v>-0.3</v>
      </c>
      <c r="G383">
        <f t="shared" si="26"/>
        <v>0.09</v>
      </c>
    </row>
    <row r="384" spans="1:7">
      <c r="A384">
        <v>374</v>
      </c>
      <c r="B384">
        <f t="shared" si="25"/>
        <v>0</v>
      </c>
      <c r="C384" s="10"/>
      <c r="D384" s="10"/>
      <c r="E384">
        <f t="shared" si="24"/>
        <v>0.3</v>
      </c>
      <c r="F384">
        <f t="shared" si="27"/>
        <v>-0.3</v>
      </c>
      <c r="G384">
        <f t="shared" si="26"/>
        <v>0.09</v>
      </c>
    </row>
    <row r="385" spans="1:7">
      <c r="A385">
        <v>375</v>
      </c>
      <c r="B385">
        <f t="shared" si="25"/>
        <v>0</v>
      </c>
      <c r="C385" s="10"/>
      <c r="D385" s="10"/>
      <c r="E385">
        <f t="shared" si="24"/>
        <v>0.3</v>
      </c>
      <c r="F385">
        <f t="shared" si="27"/>
        <v>-0.3</v>
      </c>
      <c r="G385">
        <f t="shared" si="26"/>
        <v>0.09</v>
      </c>
    </row>
    <row r="386" spans="1:7">
      <c r="A386">
        <v>376</v>
      </c>
      <c r="B386">
        <f t="shared" si="25"/>
        <v>0</v>
      </c>
      <c r="C386" s="10"/>
      <c r="D386" s="10"/>
      <c r="E386">
        <f t="shared" si="24"/>
        <v>0.3</v>
      </c>
      <c r="F386">
        <f t="shared" si="27"/>
        <v>-0.3</v>
      </c>
      <c r="G386">
        <f t="shared" si="26"/>
        <v>0.09</v>
      </c>
    </row>
    <row r="387" spans="1:7">
      <c r="A387">
        <v>377</v>
      </c>
      <c r="B387">
        <f t="shared" si="25"/>
        <v>0</v>
      </c>
      <c r="C387" s="10"/>
      <c r="D387" s="10"/>
      <c r="E387">
        <f t="shared" si="24"/>
        <v>0.3</v>
      </c>
      <c r="F387">
        <f t="shared" si="27"/>
        <v>-0.3</v>
      </c>
      <c r="G387">
        <f t="shared" si="26"/>
        <v>0.09</v>
      </c>
    </row>
    <row r="388" spans="1:7">
      <c r="A388">
        <v>378</v>
      </c>
      <c r="B388">
        <f t="shared" si="25"/>
        <v>0</v>
      </c>
      <c r="C388" s="10"/>
      <c r="D388" s="10"/>
      <c r="E388">
        <f t="shared" si="24"/>
        <v>0.3</v>
      </c>
      <c r="F388">
        <f t="shared" si="27"/>
        <v>-0.3</v>
      </c>
      <c r="G388">
        <f t="shared" si="26"/>
        <v>0.09</v>
      </c>
    </row>
    <row r="389" spans="1:7">
      <c r="A389">
        <v>379</v>
      </c>
      <c r="B389">
        <f t="shared" si="25"/>
        <v>0</v>
      </c>
      <c r="C389" s="10"/>
      <c r="D389" s="10"/>
      <c r="E389">
        <f t="shared" si="24"/>
        <v>0.3</v>
      </c>
      <c r="F389">
        <f t="shared" si="27"/>
        <v>-0.3</v>
      </c>
      <c r="G389">
        <f t="shared" si="26"/>
        <v>0.09</v>
      </c>
    </row>
    <row r="390" spans="1:7">
      <c r="A390">
        <v>380</v>
      </c>
      <c r="B390">
        <f t="shared" si="25"/>
        <v>0</v>
      </c>
      <c r="C390" s="10"/>
      <c r="D390" s="10"/>
      <c r="E390">
        <f t="shared" si="24"/>
        <v>0.3</v>
      </c>
      <c r="F390">
        <f t="shared" si="27"/>
        <v>-0.3</v>
      </c>
      <c r="G390">
        <f t="shared" si="26"/>
        <v>0.09</v>
      </c>
    </row>
    <row r="391" spans="1:7">
      <c r="A391">
        <v>381</v>
      </c>
      <c r="B391">
        <f t="shared" si="25"/>
        <v>0</v>
      </c>
      <c r="C391" s="10"/>
      <c r="D391" s="10"/>
      <c r="E391">
        <f t="shared" si="24"/>
        <v>0.3</v>
      </c>
      <c r="F391">
        <f t="shared" si="27"/>
        <v>-0.3</v>
      </c>
      <c r="G391">
        <f t="shared" si="26"/>
        <v>0.09</v>
      </c>
    </row>
    <row r="392" spans="1:7">
      <c r="A392">
        <v>382</v>
      </c>
      <c r="B392">
        <f t="shared" si="25"/>
        <v>0</v>
      </c>
      <c r="C392" s="10"/>
      <c r="D392" s="10"/>
      <c r="E392">
        <f t="shared" si="24"/>
        <v>0.3</v>
      </c>
      <c r="F392">
        <f t="shared" si="27"/>
        <v>-0.3</v>
      </c>
      <c r="G392">
        <f t="shared" si="26"/>
        <v>0.09</v>
      </c>
    </row>
    <row r="393" spans="1:7">
      <c r="A393">
        <v>383</v>
      </c>
      <c r="B393">
        <f t="shared" si="25"/>
        <v>0</v>
      </c>
      <c r="C393" s="10"/>
      <c r="D393" s="10"/>
      <c r="E393">
        <f t="shared" si="24"/>
        <v>0.3</v>
      </c>
      <c r="F393">
        <f t="shared" si="27"/>
        <v>-0.3</v>
      </c>
      <c r="G393">
        <f t="shared" si="26"/>
        <v>0.09</v>
      </c>
    </row>
    <row r="394" spans="1:7">
      <c r="A394">
        <v>384</v>
      </c>
      <c r="B394">
        <f t="shared" si="25"/>
        <v>0</v>
      </c>
      <c r="C394" s="10"/>
      <c r="D394" s="10"/>
      <c r="E394">
        <f t="shared" si="24"/>
        <v>0.3</v>
      </c>
      <c r="F394">
        <f t="shared" si="27"/>
        <v>-0.3</v>
      </c>
      <c r="G394">
        <f t="shared" si="26"/>
        <v>0.09</v>
      </c>
    </row>
    <row r="395" spans="1:7">
      <c r="A395">
        <v>385</v>
      </c>
      <c r="B395">
        <f t="shared" si="25"/>
        <v>0</v>
      </c>
      <c r="C395" s="10"/>
      <c r="D395" s="10"/>
      <c r="E395">
        <f t="shared" ref="E395:E458" si="28">CumOffset+fcoh*EXP(-2*GammaBar*C395+mutwo*C395^2+muthree*C395^3+mufour*C395^4)</f>
        <v>0.3</v>
      </c>
      <c r="F395">
        <f t="shared" si="27"/>
        <v>-0.3</v>
      </c>
      <c r="G395">
        <f t="shared" si="26"/>
        <v>0.09</v>
      </c>
    </row>
    <row r="396" spans="1:7">
      <c r="A396">
        <v>386</v>
      </c>
      <c r="B396">
        <f t="shared" ref="B396:B459" si="29">C396/1000</f>
        <v>0</v>
      </c>
      <c r="C396" s="10"/>
      <c r="D396" s="10"/>
      <c r="E396">
        <f t="shared" si="28"/>
        <v>0.3</v>
      </c>
      <c r="F396">
        <f t="shared" si="27"/>
        <v>-0.3</v>
      </c>
      <c r="G396">
        <f t="shared" ref="G396:G459" si="30">F396*F396</f>
        <v>0.09</v>
      </c>
    </row>
    <row r="397" spans="1:7">
      <c r="A397">
        <v>387</v>
      </c>
      <c r="B397">
        <f t="shared" si="29"/>
        <v>0</v>
      </c>
      <c r="C397" s="10"/>
      <c r="D397" s="10"/>
      <c r="E397">
        <f t="shared" si="28"/>
        <v>0.3</v>
      </c>
      <c r="F397">
        <f t="shared" si="27"/>
        <v>-0.3</v>
      </c>
      <c r="G397">
        <f t="shared" si="30"/>
        <v>0.09</v>
      </c>
    </row>
    <row r="398" spans="1:7">
      <c r="A398">
        <v>388</v>
      </c>
      <c r="B398">
        <f t="shared" si="29"/>
        <v>0</v>
      </c>
      <c r="C398" s="10"/>
      <c r="D398" s="10"/>
      <c r="E398">
        <f t="shared" si="28"/>
        <v>0.3</v>
      </c>
      <c r="F398">
        <f t="shared" si="27"/>
        <v>-0.3</v>
      </c>
      <c r="G398">
        <f t="shared" si="30"/>
        <v>0.09</v>
      </c>
    </row>
    <row r="399" spans="1:7">
      <c r="A399">
        <v>389</v>
      </c>
      <c r="B399">
        <f t="shared" si="29"/>
        <v>0</v>
      </c>
      <c r="C399" s="10"/>
      <c r="D399" s="10"/>
      <c r="E399">
        <f t="shared" si="28"/>
        <v>0.3</v>
      </c>
      <c r="F399">
        <f t="shared" ref="F399:F462" si="31">D399-E399</f>
        <v>-0.3</v>
      </c>
      <c r="G399">
        <f t="shared" si="30"/>
        <v>0.09</v>
      </c>
    </row>
    <row r="400" spans="1:7">
      <c r="A400">
        <v>390</v>
      </c>
      <c r="B400">
        <f t="shared" si="29"/>
        <v>0</v>
      </c>
      <c r="C400" s="10"/>
      <c r="D400" s="10"/>
      <c r="E400">
        <f t="shared" si="28"/>
        <v>0.3</v>
      </c>
      <c r="F400">
        <f t="shared" si="31"/>
        <v>-0.3</v>
      </c>
      <c r="G400">
        <f t="shared" si="30"/>
        <v>0.09</v>
      </c>
    </row>
    <row r="401" spans="1:7">
      <c r="A401">
        <v>391</v>
      </c>
      <c r="B401">
        <f t="shared" si="29"/>
        <v>0</v>
      </c>
      <c r="C401" s="10"/>
      <c r="D401" s="10"/>
      <c r="E401">
        <f t="shared" si="28"/>
        <v>0.3</v>
      </c>
      <c r="F401">
        <f t="shared" si="31"/>
        <v>-0.3</v>
      </c>
      <c r="G401">
        <f t="shared" si="30"/>
        <v>0.09</v>
      </c>
    </row>
    <row r="402" spans="1:7">
      <c r="A402">
        <v>392</v>
      </c>
      <c r="B402">
        <f t="shared" si="29"/>
        <v>0</v>
      </c>
      <c r="C402" s="10"/>
      <c r="D402" s="10"/>
      <c r="E402">
        <f t="shared" si="28"/>
        <v>0.3</v>
      </c>
      <c r="F402">
        <f t="shared" si="31"/>
        <v>-0.3</v>
      </c>
      <c r="G402">
        <f t="shared" si="30"/>
        <v>0.09</v>
      </c>
    </row>
    <row r="403" spans="1:7">
      <c r="A403">
        <v>393</v>
      </c>
      <c r="B403">
        <f t="shared" si="29"/>
        <v>0</v>
      </c>
      <c r="C403" s="10"/>
      <c r="D403" s="10"/>
      <c r="E403">
        <f t="shared" si="28"/>
        <v>0.3</v>
      </c>
      <c r="F403">
        <f t="shared" si="31"/>
        <v>-0.3</v>
      </c>
      <c r="G403">
        <f t="shared" si="30"/>
        <v>0.09</v>
      </c>
    </row>
    <row r="404" spans="1:7">
      <c r="A404">
        <v>394</v>
      </c>
      <c r="B404">
        <f t="shared" si="29"/>
        <v>0</v>
      </c>
      <c r="C404" s="10"/>
      <c r="D404" s="10"/>
      <c r="E404">
        <f t="shared" si="28"/>
        <v>0.3</v>
      </c>
      <c r="F404">
        <f t="shared" si="31"/>
        <v>-0.3</v>
      </c>
      <c r="G404">
        <f t="shared" si="30"/>
        <v>0.09</v>
      </c>
    </row>
    <row r="405" spans="1:7">
      <c r="A405">
        <v>395</v>
      </c>
      <c r="B405">
        <f t="shared" si="29"/>
        <v>0</v>
      </c>
      <c r="C405" s="10"/>
      <c r="D405" s="10"/>
      <c r="E405">
        <f t="shared" si="28"/>
        <v>0.3</v>
      </c>
      <c r="F405">
        <f t="shared" si="31"/>
        <v>-0.3</v>
      </c>
      <c r="G405">
        <f t="shared" si="30"/>
        <v>0.09</v>
      </c>
    </row>
    <row r="406" spans="1:7">
      <c r="A406">
        <v>396</v>
      </c>
      <c r="B406">
        <f t="shared" si="29"/>
        <v>0</v>
      </c>
      <c r="C406" s="10"/>
      <c r="D406" s="10"/>
      <c r="E406">
        <f t="shared" si="28"/>
        <v>0.3</v>
      </c>
      <c r="F406">
        <f t="shared" si="31"/>
        <v>-0.3</v>
      </c>
      <c r="G406">
        <f t="shared" si="30"/>
        <v>0.09</v>
      </c>
    </row>
    <row r="407" spans="1:7">
      <c r="A407">
        <v>397</v>
      </c>
      <c r="B407">
        <f t="shared" si="29"/>
        <v>0</v>
      </c>
      <c r="C407" s="10"/>
      <c r="D407" s="10"/>
      <c r="E407">
        <f t="shared" si="28"/>
        <v>0.3</v>
      </c>
      <c r="F407">
        <f t="shared" si="31"/>
        <v>-0.3</v>
      </c>
      <c r="G407">
        <f t="shared" si="30"/>
        <v>0.09</v>
      </c>
    </row>
    <row r="408" spans="1:7">
      <c r="A408">
        <v>398</v>
      </c>
      <c r="B408">
        <f t="shared" si="29"/>
        <v>0</v>
      </c>
      <c r="C408" s="10"/>
      <c r="D408" s="10"/>
      <c r="E408">
        <f t="shared" si="28"/>
        <v>0.3</v>
      </c>
      <c r="F408">
        <f t="shared" si="31"/>
        <v>-0.3</v>
      </c>
      <c r="G408">
        <f t="shared" si="30"/>
        <v>0.09</v>
      </c>
    </row>
    <row r="409" spans="1:7">
      <c r="A409">
        <v>399</v>
      </c>
      <c r="B409">
        <f t="shared" si="29"/>
        <v>0</v>
      </c>
      <c r="C409" s="10"/>
      <c r="D409" s="10"/>
      <c r="E409">
        <f t="shared" si="28"/>
        <v>0.3</v>
      </c>
      <c r="F409">
        <f t="shared" si="31"/>
        <v>-0.3</v>
      </c>
      <c r="G409">
        <f t="shared" si="30"/>
        <v>0.09</v>
      </c>
    </row>
    <row r="410" spans="1:7">
      <c r="A410">
        <v>400</v>
      </c>
      <c r="B410">
        <f t="shared" si="29"/>
        <v>0</v>
      </c>
      <c r="C410" s="10"/>
      <c r="D410" s="10"/>
      <c r="E410">
        <f t="shared" si="28"/>
        <v>0.3</v>
      </c>
      <c r="F410">
        <f t="shared" si="31"/>
        <v>-0.3</v>
      </c>
      <c r="G410">
        <f t="shared" si="30"/>
        <v>0.09</v>
      </c>
    </row>
    <row r="411" spans="1:7">
      <c r="A411">
        <v>401</v>
      </c>
      <c r="B411">
        <f t="shared" si="29"/>
        <v>0</v>
      </c>
      <c r="C411" s="10"/>
      <c r="D411" s="10"/>
      <c r="E411">
        <f t="shared" si="28"/>
        <v>0.3</v>
      </c>
      <c r="F411">
        <f t="shared" si="31"/>
        <v>-0.3</v>
      </c>
      <c r="G411">
        <f t="shared" si="30"/>
        <v>0.09</v>
      </c>
    </row>
    <row r="412" spans="1:7">
      <c r="A412">
        <v>402</v>
      </c>
      <c r="B412">
        <f t="shared" si="29"/>
        <v>0</v>
      </c>
      <c r="C412" s="10"/>
      <c r="D412" s="10"/>
      <c r="E412">
        <f t="shared" si="28"/>
        <v>0.3</v>
      </c>
      <c r="F412">
        <f t="shared" si="31"/>
        <v>-0.3</v>
      </c>
      <c r="G412">
        <f t="shared" si="30"/>
        <v>0.09</v>
      </c>
    </row>
    <row r="413" spans="1:7">
      <c r="A413">
        <v>403</v>
      </c>
      <c r="B413">
        <f t="shared" si="29"/>
        <v>0</v>
      </c>
      <c r="C413" s="10"/>
      <c r="D413" s="10"/>
      <c r="E413">
        <f t="shared" si="28"/>
        <v>0.3</v>
      </c>
      <c r="F413">
        <f t="shared" si="31"/>
        <v>-0.3</v>
      </c>
      <c r="G413">
        <f t="shared" si="30"/>
        <v>0.09</v>
      </c>
    </row>
    <row r="414" spans="1:7">
      <c r="A414">
        <v>404</v>
      </c>
      <c r="B414">
        <f t="shared" si="29"/>
        <v>0</v>
      </c>
      <c r="C414" s="10"/>
      <c r="D414" s="10"/>
      <c r="E414">
        <f t="shared" si="28"/>
        <v>0.3</v>
      </c>
      <c r="F414">
        <f t="shared" si="31"/>
        <v>-0.3</v>
      </c>
      <c r="G414">
        <f t="shared" si="30"/>
        <v>0.09</v>
      </c>
    </row>
    <row r="415" spans="1:7">
      <c r="A415">
        <v>405</v>
      </c>
      <c r="B415">
        <f t="shared" si="29"/>
        <v>0</v>
      </c>
      <c r="C415" s="10"/>
      <c r="D415" s="10"/>
      <c r="E415">
        <f t="shared" si="28"/>
        <v>0.3</v>
      </c>
      <c r="F415">
        <f t="shared" si="31"/>
        <v>-0.3</v>
      </c>
      <c r="G415">
        <f t="shared" si="30"/>
        <v>0.09</v>
      </c>
    </row>
    <row r="416" spans="1:7">
      <c r="A416">
        <v>406</v>
      </c>
      <c r="B416">
        <f t="shared" si="29"/>
        <v>0</v>
      </c>
      <c r="C416" s="10"/>
      <c r="D416" s="10"/>
      <c r="E416">
        <f t="shared" si="28"/>
        <v>0.3</v>
      </c>
      <c r="F416">
        <f t="shared" si="31"/>
        <v>-0.3</v>
      </c>
      <c r="G416">
        <f t="shared" si="30"/>
        <v>0.09</v>
      </c>
    </row>
    <row r="417" spans="1:7">
      <c r="A417">
        <v>407</v>
      </c>
      <c r="B417">
        <f t="shared" si="29"/>
        <v>0</v>
      </c>
      <c r="C417" s="10"/>
      <c r="D417" s="10"/>
      <c r="E417">
        <f t="shared" si="28"/>
        <v>0.3</v>
      </c>
      <c r="F417">
        <f t="shared" si="31"/>
        <v>-0.3</v>
      </c>
      <c r="G417">
        <f t="shared" si="30"/>
        <v>0.09</v>
      </c>
    </row>
    <row r="418" spans="1:7">
      <c r="A418">
        <v>408</v>
      </c>
      <c r="B418">
        <f t="shared" si="29"/>
        <v>0</v>
      </c>
      <c r="C418" s="10"/>
      <c r="D418" s="10"/>
      <c r="E418">
        <f t="shared" si="28"/>
        <v>0.3</v>
      </c>
      <c r="F418">
        <f t="shared" si="31"/>
        <v>-0.3</v>
      </c>
      <c r="G418">
        <f t="shared" si="30"/>
        <v>0.09</v>
      </c>
    </row>
    <row r="419" spans="1:7">
      <c r="A419">
        <v>409</v>
      </c>
      <c r="B419">
        <f t="shared" si="29"/>
        <v>0</v>
      </c>
      <c r="C419" s="10"/>
      <c r="D419" s="10"/>
      <c r="E419">
        <f t="shared" si="28"/>
        <v>0.3</v>
      </c>
      <c r="F419">
        <f t="shared" si="31"/>
        <v>-0.3</v>
      </c>
      <c r="G419">
        <f t="shared" si="30"/>
        <v>0.09</v>
      </c>
    </row>
    <row r="420" spans="1:7">
      <c r="A420">
        <v>410</v>
      </c>
      <c r="B420">
        <f t="shared" si="29"/>
        <v>0</v>
      </c>
      <c r="C420" s="10"/>
      <c r="D420" s="10"/>
      <c r="E420">
        <f t="shared" si="28"/>
        <v>0.3</v>
      </c>
      <c r="F420">
        <f t="shared" si="31"/>
        <v>-0.3</v>
      </c>
      <c r="G420">
        <f t="shared" si="30"/>
        <v>0.09</v>
      </c>
    </row>
    <row r="421" spans="1:7">
      <c r="A421">
        <v>411</v>
      </c>
      <c r="B421">
        <f t="shared" si="29"/>
        <v>0</v>
      </c>
      <c r="C421" s="10"/>
      <c r="D421" s="10"/>
      <c r="E421">
        <f t="shared" si="28"/>
        <v>0.3</v>
      </c>
      <c r="F421">
        <f t="shared" si="31"/>
        <v>-0.3</v>
      </c>
      <c r="G421">
        <f t="shared" si="30"/>
        <v>0.09</v>
      </c>
    </row>
    <row r="422" spans="1:7">
      <c r="A422">
        <v>412</v>
      </c>
      <c r="B422">
        <f t="shared" si="29"/>
        <v>0</v>
      </c>
      <c r="C422" s="10"/>
      <c r="D422" s="10"/>
      <c r="E422">
        <f t="shared" si="28"/>
        <v>0.3</v>
      </c>
      <c r="F422">
        <f t="shared" si="31"/>
        <v>-0.3</v>
      </c>
      <c r="G422">
        <f t="shared" si="30"/>
        <v>0.09</v>
      </c>
    </row>
    <row r="423" spans="1:7">
      <c r="A423">
        <v>413</v>
      </c>
      <c r="B423">
        <f t="shared" si="29"/>
        <v>0</v>
      </c>
      <c r="C423" s="10"/>
      <c r="D423" s="10"/>
      <c r="E423">
        <f t="shared" si="28"/>
        <v>0.3</v>
      </c>
      <c r="F423">
        <f t="shared" si="31"/>
        <v>-0.3</v>
      </c>
      <c r="G423">
        <f t="shared" si="30"/>
        <v>0.09</v>
      </c>
    </row>
    <row r="424" spans="1:7">
      <c r="A424">
        <v>414</v>
      </c>
      <c r="B424">
        <f t="shared" si="29"/>
        <v>0</v>
      </c>
      <c r="C424" s="10"/>
      <c r="D424" s="10"/>
      <c r="E424">
        <f t="shared" si="28"/>
        <v>0.3</v>
      </c>
      <c r="F424">
        <f t="shared" si="31"/>
        <v>-0.3</v>
      </c>
      <c r="G424">
        <f t="shared" si="30"/>
        <v>0.09</v>
      </c>
    </row>
    <row r="425" spans="1:7">
      <c r="A425">
        <v>415</v>
      </c>
      <c r="B425">
        <f t="shared" si="29"/>
        <v>0</v>
      </c>
      <c r="C425" s="10"/>
      <c r="D425" s="10"/>
      <c r="E425">
        <f t="shared" si="28"/>
        <v>0.3</v>
      </c>
      <c r="F425">
        <f t="shared" si="31"/>
        <v>-0.3</v>
      </c>
      <c r="G425">
        <f t="shared" si="30"/>
        <v>0.09</v>
      </c>
    </row>
    <row r="426" spans="1:7">
      <c r="A426">
        <v>416</v>
      </c>
      <c r="B426">
        <f t="shared" si="29"/>
        <v>0</v>
      </c>
      <c r="C426" s="10"/>
      <c r="D426" s="10"/>
      <c r="E426">
        <f t="shared" si="28"/>
        <v>0.3</v>
      </c>
      <c r="F426">
        <f t="shared" si="31"/>
        <v>-0.3</v>
      </c>
      <c r="G426">
        <f t="shared" si="30"/>
        <v>0.09</v>
      </c>
    </row>
    <row r="427" spans="1:7">
      <c r="A427">
        <v>417</v>
      </c>
      <c r="B427">
        <f t="shared" si="29"/>
        <v>0</v>
      </c>
      <c r="C427" s="10"/>
      <c r="D427" s="10"/>
      <c r="E427">
        <f t="shared" si="28"/>
        <v>0.3</v>
      </c>
      <c r="F427">
        <f t="shared" si="31"/>
        <v>-0.3</v>
      </c>
      <c r="G427">
        <f t="shared" si="30"/>
        <v>0.09</v>
      </c>
    </row>
    <row r="428" spans="1:7">
      <c r="A428">
        <v>418</v>
      </c>
      <c r="B428">
        <f t="shared" si="29"/>
        <v>0</v>
      </c>
      <c r="C428" s="10"/>
      <c r="D428" s="10"/>
      <c r="E428">
        <f t="shared" si="28"/>
        <v>0.3</v>
      </c>
      <c r="F428">
        <f t="shared" si="31"/>
        <v>-0.3</v>
      </c>
      <c r="G428">
        <f t="shared" si="30"/>
        <v>0.09</v>
      </c>
    </row>
    <row r="429" spans="1:7">
      <c r="A429">
        <v>419</v>
      </c>
      <c r="B429">
        <f t="shared" si="29"/>
        <v>0</v>
      </c>
      <c r="C429" s="10"/>
      <c r="D429" s="10"/>
      <c r="E429">
        <f t="shared" si="28"/>
        <v>0.3</v>
      </c>
      <c r="F429">
        <f t="shared" si="31"/>
        <v>-0.3</v>
      </c>
      <c r="G429">
        <f t="shared" si="30"/>
        <v>0.09</v>
      </c>
    </row>
    <row r="430" spans="1:7">
      <c r="A430">
        <v>420</v>
      </c>
      <c r="B430">
        <f t="shared" si="29"/>
        <v>0</v>
      </c>
      <c r="C430" s="10"/>
      <c r="D430" s="10"/>
      <c r="E430">
        <f t="shared" si="28"/>
        <v>0.3</v>
      </c>
      <c r="F430">
        <f t="shared" si="31"/>
        <v>-0.3</v>
      </c>
      <c r="G430">
        <f t="shared" si="30"/>
        <v>0.09</v>
      </c>
    </row>
    <row r="431" spans="1:7">
      <c r="A431">
        <v>421</v>
      </c>
      <c r="B431">
        <f t="shared" si="29"/>
        <v>0</v>
      </c>
      <c r="C431" s="10"/>
      <c r="D431" s="10"/>
      <c r="E431">
        <f t="shared" si="28"/>
        <v>0.3</v>
      </c>
      <c r="F431">
        <f t="shared" si="31"/>
        <v>-0.3</v>
      </c>
      <c r="G431">
        <f t="shared" si="30"/>
        <v>0.09</v>
      </c>
    </row>
    <row r="432" spans="1:7">
      <c r="A432">
        <v>422</v>
      </c>
      <c r="B432">
        <f t="shared" si="29"/>
        <v>0</v>
      </c>
      <c r="C432" s="10"/>
      <c r="D432" s="10"/>
      <c r="E432">
        <f t="shared" si="28"/>
        <v>0.3</v>
      </c>
      <c r="F432">
        <f t="shared" si="31"/>
        <v>-0.3</v>
      </c>
      <c r="G432">
        <f t="shared" si="30"/>
        <v>0.09</v>
      </c>
    </row>
    <row r="433" spans="1:7">
      <c r="A433">
        <v>423</v>
      </c>
      <c r="B433">
        <f t="shared" si="29"/>
        <v>0</v>
      </c>
      <c r="C433" s="10"/>
      <c r="D433" s="10"/>
      <c r="E433">
        <f t="shared" si="28"/>
        <v>0.3</v>
      </c>
      <c r="F433">
        <f t="shared" si="31"/>
        <v>-0.3</v>
      </c>
      <c r="G433">
        <f t="shared" si="30"/>
        <v>0.09</v>
      </c>
    </row>
    <row r="434" spans="1:7">
      <c r="A434">
        <v>424</v>
      </c>
      <c r="B434">
        <f t="shared" si="29"/>
        <v>0</v>
      </c>
      <c r="C434" s="10"/>
      <c r="D434" s="10"/>
      <c r="E434">
        <f t="shared" si="28"/>
        <v>0.3</v>
      </c>
      <c r="F434">
        <f t="shared" si="31"/>
        <v>-0.3</v>
      </c>
      <c r="G434">
        <f t="shared" si="30"/>
        <v>0.09</v>
      </c>
    </row>
    <row r="435" spans="1:7">
      <c r="A435">
        <v>425</v>
      </c>
      <c r="B435">
        <f t="shared" si="29"/>
        <v>0</v>
      </c>
      <c r="C435" s="10"/>
      <c r="D435" s="10"/>
      <c r="E435">
        <f t="shared" si="28"/>
        <v>0.3</v>
      </c>
      <c r="F435">
        <f t="shared" si="31"/>
        <v>-0.3</v>
      </c>
      <c r="G435">
        <f t="shared" si="30"/>
        <v>0.09</v>
      </c>
    </row>
    <row r="436" spans="1:7">
      <c r="A436">
        <v>426</v>
      </c>
      <c r="B436">
        <f t="shared" si="29"/>
        <v>0</v>
      </c>
      <c r="C436" s="10"/>
      <c r="D436" s="10"/>
      <c r="E436">
        <f t="shared" si="28"/>
        <v>0.3</v>
      </c>
      <c r="F436">
        <f t="shared" si="31"/>
        <v>-0.3</v>
      </c>
      <c r="G436">
        <f t="shared" si="30"/>
        <v>0.09</v>
      </c>
    </row>
    <row r="437" spans="1:7">
      <c r="A437">
        <v>427</v>
      </c>
      <c r="B437">
        <f t="shared" si="29"/>
        <v>0</v>
      </c>
      <c r="C437" s="10"/>
      <c r="D437" s="10"/>
      <c r="E437">
        <f t="shared" si="28"/>
        <v>0.3</v>
      </c>
      <c r="F437">
        <f t="shared" si="31"/>
        <v>-0.3</v>
      </c>
      <c r="G437">
        <f t="shared" si="30"/>
        <v>0.09</v>
      </c>
    </row>
    <row r="438" spans="1:7">
      <c r="A438">
        <v>428</v>
      </c>
      <c r="B438">
        <f t="shared" si="29"/>
        <v>0</v>
      </c>
      <c r="C438" s="10"/>
      <c r="D438" s="10"/>
      <c r="E438">
        <f t="shared" si="28"/>
        <v>0.3</v>
      </c>
      <c r="F438">
        <f t="shared" si="31"/>
        <v>-0.3</v>
      </c>
      <c r="G438">
        <f t="shared" si="30"/>
        <v>0.09</v>
      </c>
    </row>
    <row r="439" spans="1:7">
      <c r="A439">
        <v>429</v>
      </c>
      <c r="B439">
        <f t="shared" si="29"/>
        <v>0</v>
      </c>
      <c r="C439" s="10"/>
      <c r="D439" s="10"/>
      <c r="E439">
        <f t="shared" si="28"/>
        <v>0.3</v>
      </c>
      <c r="F439">
        <f t="shared" si="31"/>
        <v>-0.3</v>
      </c>
      <c r="G439">
        <f t="shared" si="30"/>
        <v>0.09</v>
      </c>
    </row>
    <row r="440" spans="1:7">
      <c r="A440">
        <v>430</v>
      </c>
      <c r="B440">
        <f t="shared" si="29"/>
        <v>0</v>
      </c>
      <c r="C440" s="10"/>
      <c r="D440" s="10"/>
      <c r="E440">
        <f t="shared" si="28"/>
        <v>0.3</v>
      </c>
      <c r="F440">
        <f t="shared" si="31"/>
        <v>-0.3</v>
      </c>
      <c r="G440">
        <f t="shared" si="30"/>
        <v>0.09</v>
      </c>
    </row>
    <row r="441" spans="1:7">
      <c r="A441">
        <v>431</v>
      </c>
      <c r="B441">
        <f t="shared" si="29"/>
        <v>0</v>
      </c>
      <c r="C441" s="10"/>
      <c r="D441" s="10"/>
      <c r="E441">
        <f t="shared" si="28"/>
        <v>0.3</v>
      </c>
      <c r="F441">
        <f t="shared" si="31"/>
        <v>-0.3</v>
      </c>
      <c r="G441">
        <f t="shared" si="30"/>
        <v>0.09</v>
      </c>
    </row>
    <row r="442" spans="1:7">
      <c r="A442">
        <v>432</v>
      </c>
      <c r="B442">
        <f t="shared" si="29"/>
        <v>0</v>
      </c>
      <c r="C442" s="10"/>
      <c r="D442" s="10"/>
      <c r="E442">
        <f t="shared" si="28"/>
        <v>0.3</v>
      </c>
      <c r="F442">
        <f t="shared" si="31"/>
        <v>-0.3</v>
      </c>
      <c r="G442">
        <f t="shared" si="30"/>
        <v>0.09</v>
      </c>
    </row>
    <row r="443" spans="1:7">
      <c r="A443">
        <v>433</v>
      </c>
      <c r="B443">
        <f t="shared" si="29"/>
        <v>0</v>
      </c>
      <c r="C443" s="10"/>
      <c r="D443" s="10"/>
      <c r="E443">
        <f t="shared" si="28"/>
        <v>0.3</v>
      </c>
      <c r="F443">
        <f t="shared" si="31"/>
        <v>-0.3</v>
      </c>
      <c r="G443">
        <f t="shared" si="30"/>
        <v>0.09</v>
      </c>
    </row>
    <row r="444" spans="1:7">
      <c r="A444">
        <v>434</v>
      </c>
      <c r="B444">
        <f t="shared" si="29"/>
        <v>0</v>
      </c>
      <c r="C444" s="10"/>
      <c r="D444" s="10"/>
      <c r="E444">
        <f t="shared" si="28"/>
        <v>0.3</v>
      </c>
      <c r="F444">
        <f t="shared" si="31"/>
        <v>-0.3</v>
      </c>
      <c r="G444">
        <f t="shared" si="30"/>
        <v>0.09</v>
      </c>
    </row>
    <row r="445" spans="1:7">
      <c r="A445">
        <v>435</v>
      </c>
      <c r="B445">
        <f t="shared" si="29"/>
        <v>0</v>
      </c>
      <c r="C445" s="10"/>
      <c r="D445" s="10"/>
      <c r="E445">
        <f t="shared" si="28"/>
        <v>0.3</v>
      </c>
      <c r="F445">
        <f t="shared" si="31"/>
        <v>-0.3</v>
      </c>
      <c r="G445">
        <f t="shared" si="30"/>
        <v>0.09</v>
      </c>
    </row>
    <row r="446" spans="1:7">
      <c r="A446">
        <v>436</v>
      </c>
      <c r="B446">
        <f t="shared" si="29"/>
        <v>0</v>
      </c>
      <c r="C446" s="10"/>
      <c r="D446" s="10"/>
      <c r="E446">
        <f t="shared" si="28"/>
        <v>0.3</v>
      </c>
      <c r="F446">
        <f t="shared" si="31"/>
        <v>-0.3</v>
      </c>
      <c r="G446">
        <f t="shared" si="30"/>
        <v>0.09</v>
      </c>
    </row>
    <row r="447" spans="1:7">
      <c r="A447">
        <v>437</v>
      </c>
      <c r="B447">
        <f t="shared" si="29"/>
        <v>0</v>
      </c>
      <c r="C447" s="10"/>
      <c r="D447" s="10"/>
      <c r="E447">
        <f t="shared" si="28"/>
        <v>0.3</v>
      </c>
      <c r="F447">
        <f t="shared" si="31"/>
        <v>-0.3</v>
      </c>
      <c r="G447">
        <f t="shared" si="30"/>
        <v>0.09</v>
      </c>
    </row>
    <row r="448" spans="1:7">
      <c r="A448">
        <v>438</v>
      </c>
      <c r="B448">
        <f t="shared" si="29"/>
        <v>0</v>
      </c>
      <c r="C448" s="10"/>
      <c r="D448" s="10"/>
      <c r="E448">
        <f t="shared" si="28"/>
        <v>0.3</v>
      </c>
      <c r="F448">
        <f t="shared" si="31"/>
        <v>-0.3</v>
      </c>
      <c r="G448">
        <f t="shared" si="30"/>
        <v>0.09</v>
      </c>
    </row>
    <row r="449" spans="1:7">
      <c r="A449">
        <v>439</v>
      </c>
      <c r="B449">
        <f t="shared" si="29"/>
        <v>0</v>
      </c>
      <c r="C449" s="10"/>
      <c r="D449" s="10"/>
      <c r="E449">
        <f t="shared" si="28"/>
        <v>0.3</v>
      </c>
      <c r="F449">
        <f t="shared" si="31"/>
        <v>-0.3</v>
      </c>
      <c r="G449">
        <f t="shared" si="30"/>
        <v>0.09</v>
      </c>
    </row>
    <row r="450" spans="1:7">
      <c r="A450">
        <v>440</v>
      </c>
      <c r="B450">
        <f t="shared" si="29"/>
        <v>0</v>
      </c>
      <c r="C450" s="10"/>
      <c r="D450" s="10"/>
      <c r="E450">
        <f t="shared" si="28"/>
        <v>0.3</v>
      </c>
      <c r="F450">
        <f t="shared" si="31"/>
        <v>-0.3</v>
      </c>
      <c r="G450">
        <f t="shared" si="30"/>
        <v>0.09</v>
      </c>
    </row>
    <row r="451" spans="1:7">
      <c r="A451">
        <v>441</v>
      </c>
      <c r="B451">
        <f t="shared" si="29"/>
        <v>0</v>
      </c>
      <c r="C451" s="10"/>
      <c r="D451" s="10"/>
      <c r="E451">
        <f t="shared" si="28"/>
        <v>0.3</v>
      </c>
      <c r="F451">
        <f t="shared" si="31"/>
        <v>-0.3</v>
      </c>
      <c r="G451">
        <f t="shared" si="30"/>
        <v>0.09</v>
      </c>
    </row>
    <row r="452" spans="1:7">
      <c r="A452">
        <v>442</v>
      </c>
      <c r="B452">
        <f t="shared" si="29"/>
        <v>0</v>
      </c>
      <c r="C452" s="10"/>
      <c r="D452" s="10"/>
      <c r="E452">
        <f t="shared" si="28"/>
        <v>0.3</v>
      </c>
      <c r="F452">
        <f t="shared" si="31"/>
        <v>-0.3</v>
      </c>
      <c r="G452">
        <f t="shared" si="30"/>
        <v>0.09</v>
      </c>
    </row>
    <row r="453" spans="1:7">
      <c r="A453">
        <v>443</v>
      </c>
      <c r="B453">
        <f t="shared" si="29"/>
        <v>0</v>
      </c>
      <c r="C453" s="10"/>
      <c r="D453" s="10"/>
      <c r="E453">
        <f t="shared" si="28"/>
        <v>0.3</v>
      </c>
      <c r="F453">
        <f t="shared" si="31"/>
        <v>-0.3</v>
      </c>
      <c r="G453">
        <f t="shared" si="30"/>
        <v>0.09</v>
      </c>
    </row>
    <row r="454" spans="1:7">
      <c r="A454">
        <v>444</v>
      </c>
      <c r="B454">
        <f t="shared" si="29"/>
        <v>0</v>
      </c>
      <c r="C454" s="10"/>
      <c r="D454" s="10"/>
      <c r="E454">
        <f t="shared" si="28"/>
        <v>0.3</v>
      </c>
      <c r="F454">
        <f t="shared" si="31"/>
        <v>-0.3</v>
      </c>
      <c r="G454">
        <f t="shared" si="30"/>
        <v>0.09</v>
      </c>
    </row>
    <row r="455" spans="1:7">
      <c r="A455">
        <v>445</v>
      </c>
      <c r="B455">
        <f t="shared" si="29"/>
        <v>0</v>
      </c>
      <c r="C455" s="10"/>
      <c r="D455" s="10"/>
      <c r="E455">
        <f t="shared" si="28"/>
        <v>0.3</v>
      </c>
      <c r="F455">
        <f t="shared" si="31"/>
        <v>-0.3</v>
      </c>
      <c r="G455">
        <f t="shared" si="30"/>
        <v>0.09</v>
      </c>
    </row>
    <row r="456" spans="1:7">
      <c r="A456">
        <v>446</v>
      </c>
      <c r="B456">
        <f t="shared" si="29"/>
        <v>0</v>
      </c>
      <c r="C456" s="10"/>
      <c r="D456" s="10"/>
      <c r="E456">
        <f t="shared" si="28"/>
        <v>0.3</v>
      </c>
      <c r="F456">
        <f t="shared" si="31"/>
        <v>-0.3</v>
      </c>
      <c r="G456">
        <f t="shared" si="30"/>
        <v>0.09</v>
      </c>
    </row>
    <row r="457" spans="1:7">
      <c r="A457">
        <v>447</v>
      </c>
      <c r="B457">
        <f t="shared" si="29"/>
        <v>0</v>
      </c>
      <c r="C457" s="10"/>
      <c r="D457" s="10"/>
      <c r="E457">
        <f t="shared" si="28"/>
        <v>0.3</v>
      </c>
      <c r="F457">
        <f t="shared" si="31"/>
        <v>-0.3</v>
      </c>
      <c r="G457">
        <f t="shared" si="30"/>
        <v>0.09</v>
      </c>
    </row>
    <row r="458" spans="1:7">
      <c r="A458">
        <v>448</v>
      </c>
      <c r="B458">
        <f t="shared" si="29"/>
        <v>0</v>
      </c>
      <c r="C458" s="10"/>
      <c r="D458" s="10"/>
      <c r="E458">
        <f t="shared" si="28"/>
        <v>0.3</v>
      </c>
      <c r="F458">
        <f t="shared" si="31"/>
        <v>-0.3</v>
      </c>
      <c r="G458">
        <f t="shared" si="30"/>
        <v>0.09</v>
      </c>
    </row>
    <row r="459" spans="1:7">
      <c r="A459">
        <v>449</v>
      </c>
      <c r="B459">
        <f t="shared" si="29"/>
        <v>0</v>
      </c>
      <c r="C459" s="10"/>
      <c r="D459" s="10"/>
      <c r="E459">
        <f t="shared" ref="E459:E522" si="32">CumOffset+fcoh*EXP(-2*GammaBar*C459+mutwo*C459^2+muthree*C459^3+mufour*C459^4)</f>
        <v>0.3</v>
      </c>
      <c r="F459">
        <f t="shared" si="31"/>
        <v>-0.3</v>
      </c>
      <c r="G459">
        <f t="shared" si="30"/>
        <v>0.09</v>
      </c>
    </row>
    <row r="460" spans="1:7">
      <c r="A460">
        <v>450</v>
      </c>
      <c r="B460">
        <f t="shared" ref="B460:B523" si="33">C460/1000</f>
        <v>0</v>
      </c>
      <c r="C460" s="10"/>
      <c r="D460" s="10"/>
      <c r="E460">
        <f t="shared" si="32"/>
        <v>0.3</v>
      </c>
      <c r="F460">
        <f t="shared" si="31"/>
        <v>-0.3</v>
      </c>
      <c r="G460">
        <f t="shared" ref="G460:G523" si="34">F460*F460</f>
        <v>0.09</v>
      </c>
    </row>
    <row r="461" spans="1:7">
      <c r="A461">
        <v>451</v>
      </c>
      <c r="B461">
        <f t="shared" si="33"/>
        <v>0</v>
      </c>
      <c r="C461" s="10"/>
      <c r="D461" s="10"/>
      <c r="E461">
        <f t="shared" si="32"/>
        <v>0.3</v>
      </c>
      <c r="F461">
        <f t="shared" si="31"/>
        <v>-0.3</v>
      </c>
      <c r="G461">
        <f t="shared" si="34"/>
        <v>0.09</v>
      </c>
    </row>
    <row r="462" spans="1:7">
      <c r="A462">
        <v>452</v>
      </c>
      <c r="B462">
        <f t="shared" si="33"/>
        <v>0</v>
      </c>
      <c r="C462" s="10"/>
      <c r="D462" s="10"/>
      <c r="E462">
        <f t="shared" si="32"/>
        <v>0.3</v>
      </c>
      <c r="F462">
        <f t="shared" si="31"/>
        <v>-0.3</v>
      </c>
      <c r="G462">
        <f t="shared" si="34"/>
        <v>0.09</v>
      </c>
    </row>
    <row r="463" spans="1:7">
      <c r="A463">
        <v>453</v>
      </c>
      <c r="B463">
        <f t="shared" si="33"/>
        <v>0</v>
      </c>
      <c r="C463" s="10"/>
      <c r="D463" s="10"/>
      <c r="E463">
        <f t="shared" si="32"/>
        <v>0.3</v>
      </c>
      <c r="F463">
        <f t="shared" ref="F463:F526" si="35">D463-E463</f>
        <v>-0.3</v>
      </c>
      <c r="G463">
        <f t="shared" si="34"/>
        <v>0.09</v>
      </c>
    </row>
    <row r="464" spans="1:7">
      <c r="A464">
        <v>454</v>
      </c>
      <c r="B464">
        <f t="shared" si="33"/>
        <v>0</v>
      </c>
      <c r="C464" s="10"/>
      <c r="D464" s="10"/>
      <c r="E464">
        <f t="shared" si="32"/>
        <v>0.3</v>
      </c>
      <c r="F464">
        <f t="shared" si="35"/>
        <v>-0.3</v>
      </c>
      <c r="G464">
        <f t="shared" si="34"/>
        <v>0.09</v>
      </c>
    </row>
    <row r="465" spans="1:7">
      <c r="A465">
        <v>455</v>
      </c>
      <c r="B465">
        <f t="shared" si="33"/>
        <v>0</v>
      </c>
      <c r="C465" s="10"/>
      <c r="D465" s="10"/>
      <c r="E465">
        <f t="shared" si="32"/>
        <v>0.3</v>
      </c>
      <c r="F465">
        <f t="shared" si="35"/>
        <v>-0.3</v>
      </c>
      <c r="G465">
        <f t="shared" si="34"/>
        <v>0.09</v>
      </c>
    </row>
    <row r="466" spans="1:7">
      <c r="A466">
        <v>456</v>
      </c>
      <c r="B466">
        <f t="shared" si="33"/>
        <v>0</v>
      </c>
      <c r="C466" s="10"/>
      <c r="D466" s="10"/>
      <c r="E466">
        <f t="shared" si="32"/>
        <v>0.3</v>
      </c>
      <c r="F466">
        <f t="shared" si="35"/>
        <v>-0.3</v>
      </c>
      <c r="G466">
        <f t="shared" si="34"/>
        <v>0.09</v>
      </c>
    </row>
    <row r="467" spans="1:7">
      <c r="A467">
        <v>457</v>
      </c>
      <c r="B467">
        <f t="shared" si="33"/>
        <v>0</v>
      </c>
      <c r="C467" s="10"/>
      <c r="D467" s="10"/>
      <c r="E467">
        <f t="shared" si="32"/>
        <v>0.3</v>
      </c>
      <c r="F467">
        <f t="shared" si="35"/>
        <v>-0.3</v>
      </c>
      <c r="G467">
        <f t="shared" si="34"/>
        <v>0.09</v>
      </c>
    </row>
    <row r="468" spans="1:7">
      <c r="A468">
        <v>458</v>
      </c>
      <c r="B468">
        <f t="shared" si="33"/>
        <v>0</v>
      </c>
      <c r="C468" s="10"/>
      <c r="D468" s="10"/>
      <c r="E468">
        <f t="shared" si="32"/>
        <v>0.3</v>
      </c>
      <c r="F468">
        <f t="shared" si="35"/>
        <v>-0.3</v>
      </c>
      <c r="G468">
        <f t="shared" si="34"/>
        <v>0.09</v>
      </c>
    </row>
    <row r="469" spans="1:7">
      <c r="A469">
        <v>459</v>
      </c>
      <c r="B469">
        <f t="shared" si="33"/>
        <v>0</v>
      </c>
      <c r="C469" s="10"/>
      <c r="D469" s="10"/>
      <c r="E469">
        <f t="shared" si="32"/>
        <v>0.3</v>
      </c>
      <c r="F469">
        <f t="shared" si="35"/>
        <v>-0.3</v>
      </c>
      <c r="G469">
        <f t="shared" si="34"/>
        <v>0.09</v>
      </c>
    </row>
    <row r="470" spans="1:7">
      <c r="A470">
        <v>460</v>
      </c>
      <c r="B470">
        <f t="shared" si="33"/>
        <v>0</v>
      </c>
      <c r="C470" s="10"/>
      <c r="D470" s="10"/>
      <c r="E470">
        <f t="shared" si="32"/>
        <v>0.3</v>
      </c>
      <c r="F470">
        <f t="shared" si="35"/>
        <v>-0.3</v>
      </c>
      <c r="G470">
        <f t="shared" si="34"/>
        <v>0.09</v>
      </c>
    </row>
    <row r="471" spans="1:7">
      <c r="A471">
        <v>461</v>
      </c>
      <c r="B471">
        <f t="shared" si="33"/>
        <v>0</v>
      </c>
      <c r="C471" s="10"/>
      <c r="D471" s="10"/>
      <c r="E471">
        <f t="shared" si="32"/>
        <v>0.3</v>
      </c>
      <c r="F471">
        <f t="shared" si="35"/>
        <v>-0.3</v>
      </c>
      <c r="G471">
        <f t="shared" si="34"/>
        <v>0.09</v>
      </c>
    </row>
    <row r="472" spans="1:7">
      <c r="A472">
        <v>462</v>
      </c>
      <c r="B472">
        <f t="shared" si="33"/>
        <v>0</v>
      </c>
      <c r="C472" s="10"/>
      <c r="D472" s="10"/>
      <c r="E472">
        <f t="shared" si="32"/>
        <v>0.3</v>
      </c>
      <c r="F472">
        <f t="shared" si="35"/>
        <v>-0.3</v>
      </c>
      <c r="G472">
        <f t="shared" si="34"/>
        <v>0.09</v>
      </c>
    </row>
    <row r="473" spans="1:7">
      <c r="A473">
        <v>463</v>
      </c>
      <c r="B473">
        <f t="shared" si="33"/>
        <v>0</v>
      </c>
      <c r="C473" s="10"/>
      <c r="D473" s="10"/>
      <c r="E473">
        <f t="shared" si="32"/>
        <v>0.3</v>
      </c>
      <c r="F473">
        <f t="shared" si="35"/>
        <v>-0.3</v>
      </c>
      <c r="G473">
        <f t="shared" si="34"/>
        <v>0.09</v>
      </c>
    </row>
    <row r="474" spans="1:7">
      <c r="A474">
        <v>464</v>
      </c>
      <c r="B474">
        <f t="shared" si="33"/>
        <v>0</v>
      </c>
      <c r="C474" s="10"/>
      <c r="D474" s="10"/>
      <c r="E474">
        <f t="shared" si="32"/>
        <v>0.3</v>
      </c>
      <c r="F474">
        <f t="shared" si="35"/>
        <v>-0.3</v>
      </c>
      <c r="G474">
        <f t="shared" si="34"/>
        <v>0.09</v>
      </c>
    </row>
    <row r="475" spans="1:7">
      <c r="A475">
        <v>465</v>
      </c>
      <c r="B475">
        <f t="shared" si="33"/>
        <v>0</v>
      </c>
      <c r="C475" s="10"/>
      <c r="D475" s="10"/>
      <c r="E475">
        <f t="shared" si="32"/>
        <v>0.3</v>
      </c>
      <c r="F475">
        <f t="shared" si="35"/>
        <v>-0.3</v>
      </c>
      <c r="G475">
        <f t="shared" si="34"/>
        <v>0.09</v>
      </c>
    </row>
    <row r="476" spans="1:7">
      <c r="A476">
        <v>466</v>
      </c>
      <c r="B476">
        <f t="shared" si="33"/>
        <v>0</v>
      </c>
      <c r="C476" s="10"/>
      <c r="D476" s="10"/>
      <c r="E476">
        <f t="shared" si="32"/>
        <v>0.3</v>
      </c>
      <c r="F476">
        <f t="shared" si="35"/>
        <v>-0.3</v>
      </c>
      <c r="G476">
        <f t="shared" si="34"/>
        <v>0.09</v>
      </c>
    </row>
    <row r="477" spans="1:7">
      <c r="A477">
        <v>467</v>
      </c>
      <c r="B477">
        <f t="shared" si="33"/>
        <v>0</v>
      </c>
      <c r="C477" s="10"/>
      <c r="D477" s="10"/>
      <c r="E477">
        <f t="shared" si="32"/>
        <v>0.3</v>
      </c>
      <c r="F477">
        <f t="shared" si="35"/>
        <v>-0.3</v>
      </c>
      <c r="G477">
        <f t="shared" si="34"/>
        <v>0.09</v>
      </c>
    </row>
    <row r="478" spans="1:7">
      <c r="A478">
        <v>468</v>
      </c>
      <c r="B478">
        <f t="shared" si="33"/>
        <v>0</v>
      </c>
      <c r="C478" s="10"/>
      <c r="D478" s="10"/>
      <c r="E478">
        <f t="shared" si="32"/>
        <v>0.3</v>
      </c>
      <c r="F478">
        <f t="shared" si="35"/>
        <v>-0.3</v>
      </c>
      <c r="G478">
        <f t="shared" si="34"/>
        <v>0.09</v>
      </c>
    </row>
    <row r="479" spans="1:7">
      <c r="A479">
        <v>469</v>
      </c>
      <c r="B479">
        <f t="shared" si="33"/>
        <v>0</v>
      </c>
      <c r="C479" s="10"/>
      <c r="D479" s="10"/>
      <c r="E479">
        <f t="shared" si="32"/>
        <v>0.3</v>
      </c>
      <c r="F479">
        <f t="shared" si="35"/>
        <v>-0.3</v>
      </c>
      <c r="G479">
        <f t="shared" si="34"/>
        <v>0.09</v>
      </c>
    </row>
    <row r="480" spans="1:7">
      <c r="A480">
        <v>470</v>
      </c>
      <c r="B480">
        <f t="shared" si="33"/>
        <v>0</v>
      </c>
      <c r="C480" s="10"/>
      <c r="D480" s="10"/>
      <c r="E480">
        <f t="shared" si="32"/>
        <v>0.3</v>
      </c>
      <c r="F480">
        <f t="shared" si="35"/>
        <v>-0.3</v>
      </c>
      <c r="G480">
        <f t="shared" si="34"/>
        <v>0.09</v>
      </c>
    </row>
    <row r="481" spans="1:7">
      <c r="A481">
        <v>471</v>
      </c>
      <c r="B481">
        <f t="shared" si="33"/>
        <v>0</v>
      </c>
      <c r="C481" s="10"/>
      <c r="D481" s="10"/>
      <c r="E481">
        <f t="shared" si="32"/>
        <v>0.3</v>
      </c>
      <c r="F481">
        <f t="shared" si="35"/>
        <v>-0.3</v>
      </c>
      <c r="G481">
        <f t="shared" si="34"/>
        <v>0.09</v>
      </c>
    </row>
    <row r="482" spans="1:7">
      <c r="A482">
        <v>472</v>
      </c>
      <c r="B482">
        <f t="shared" si="33"/>
        <v>0</v>
      </c>
      <c r="C482" s="10"/>
      <c r="D482" s="10"/>
      <c r="E482">
        <f t="shared" si="32"/>
        <v>0.3</v>
      </c>
      <c r="F482">
        <f t="shared" si="35"/>
        <v>-0.3</v>
      </c>
      <c r="G482">
        <f t="shared" si="34"/>
        <v>0.09</v>
      </c>
    </row>
    <row r="483" spans="1:7">
      <c r="A483">
        <v>473</v>
      </c>
      <c r="B483">
        <f t="shared" si="33"/>
        <v>0</v>
      </c>
      <c r="C483" s="10"/>
      <c r="D483" s="10"/>
      <c r="E483">
        <f t="shared" si="32"/>
        <v>0.3</v>
      </c>
      <c r="F483">
        <f t="shared" si="35"/>
        <v>-0.3</v>
      </c>
      <c r="G483">
        <f t="shared" si="34"/>
        <v>0.09</v>
      </c>
    </row>
    <row r="484" spans="1:7">
      <c r="A484">
        <v>474</v>
      </c>
      <c r="B484">
        <f t="shared" si="33"/>
        <v>0</v>
      </c>
      <c r="C484" s="10"/>
      <c r="D484" s="10"/>
      <c r="E484">
        <f t="shared" si="32"/>
        <v>0.3</v>
      </c>
      <c r="F484">
        <f t="shared" si="35"/>
        <v>-0.3</v>
      </c>
      <c r="G484">
        <f t="shared" si="34"/>
        <v>0.09</v>
      </c>
    </row>
    <row r="485" spans="1:7">
      <c r="A485">
        <v>475</v>
      </c>
      <c r="B485">
        <f t="shared" si="33"/>
        <v>0</v>
      </c>
      <c r="C485" s="10"/>
      <c r="D485" s="10"/>
      <c r="E485">
        <f t="shared" si="32"/>
        <v>0.3</v>
      </c>
      <c r="F485">
        <f t="shared" si="35"/>
        <v>-0.3</v>
      </c>
      <c r="G485">
        <f t="shared" si="34"/>
        <v>0.09</v>
      </c>
    </row>
    <row r="486" spans="1:7">
      <c r="A486">
        <v>476</v>
      </c>
      <c r="B486">
        <f t="shared" si="33"/>
        <v>0</v>
      </c>
      <c r="C486" s="10"/>
      <c r="D486" s="10"/>
      <c r="E486">
        <f t="shared" si="32"/>
        <v>0.3</v>
      </c>
      <c r="F486">
        <f t="shared" si="35"/>
        <v>-0.3</v>
      </c>
      <c r="G486">
        <f t="shared" si="34"/>
        <v>0.09</v>
      </c>
    </row>
    <row r="487" spans="1:7">
      <c r="A487">
        <v>477</v>
      </c>
      <c r="B487">
        <f t="shared" si="33"/>
        <v>0</v>
      </c>
      <c r="C487" s="10"/>
      <c r="D487" s="10"/>
      <c r="E487">
        <f t="shared" si="32"/>
        <v>0.3</v>
      </c>
      <c r="F487">
        <f t="shared" si="35"/>
        <v>-0.3</v>
      </c>
      <c r="G487">
        <f t="shared" si="34"/>
        <v>0.09</v>
      </c>
    </row>
    <row r="488" spans="1:7">
      <c r="A488">
        <v>478</v>
      </c>
      <c r="B488">
        <f t="shared" si="33"/>
        <v>0</v>
      </c>
      <c r="C488" s="10"/>
      <c r="D488" s="10"/>
      <c r="E488">
        <f t="shared" si="32"/>
        <v>0.3</v>
      </c>
      <c r="F488">
        <f t="shared" si="35"/>
        <v>-0.3</v>
      </c>
      <c r="G488">
        <f t="shared" si="34"/>
        <v>0.09</v>
      </c>
    </row>
    <row r="489" spans="1:7">
      <c r="A489">
        <v>479</v>
      </c>
      <c r="B489">
        <f t="shared" si="33"/>
        <v>0</v>
      </c>
      <c r="C489" s="10"/>
      <c r="D489" s="10"/>
      <c r="E489">
        <f t="shared" si="32"/>
        <v>0.3</v>
      </c>
      <c r="F489">
        <f t="shared" si="35"/>
        <v>-0.3</v>
      </c>
      <c r="G489">
        <f t="shared" si="34"/>
        <v>0.09</v>
      </c>
    </row>
    <row r="490" spans="1:7">
      <c r="A490">
        <v>480</v>
      </c>
      <c r="B490">
        <f t="shared" si="33"/>
        <v>0</v>
      </c>
      <c r="C490" s="10"/>
      <c r="D490" s="10"/>
      <c r="E490">
        <f t="shared" si="32"/>
        <v>0.3</v>
      </c>
      <c r="F490">
        <f t="shared" si="35"/>
        <v>-0.3</v>
      </c>
      <c r="G490">
        <f t="shared" si="34"/>
        <v>0.09</v>
      </c>
    </row>
    <row r="491" spans="1:7">
      <c r="A491">
        <v>481</v>
      </c>
      <c r="B491">
        <f t="shared" si="33"/>
        <v>0</v>
      </c>
      <c r="C491" s="10"/>
      <c r="D491" s="10"/>
      <c r="E491">
        <f t="shared" si="32"/>
        <v>0.3</v>
      </c>
      <c r="F491">
        <f t="shared" si="35"/>
        <v>-0.3</v>
      </c>
      <c r="G491">
        <f t="shared" si="34"/>
        <v>0.09</v>
      </c>
    </row>
    <row r="492" spans="1:7">
      <c r="A492">
        <v>482</v>
      </c>
      <c r="B492">
        <f t="shared" si="33"/>
        <v>0</v>
      </c>
      <c r="C492" s="10"/>
      <c r="D492" s="10"/>
      <c r="E492">
        <f t="shared" si="32"/>
        <v>0.3</v>
      </c>
      <c r="F492">
        <f t="shared" si="35"/>
        <v>-0.3</v>
      </c>
      <c r="G492">
        <f t="shared" si="34"/>
        <v>0.09</v>
      </c>
    </row>
    <row r="493" spans="1:7">
      <c r="A493">
        <v>483</v>
      </c>
      <c r="B493">
        <f t="shared" si="33"/>
        <v>0</v>
      </c>
      <c r="C493" s="10"/>
      <c r="D493" s="10"/>
      <c r="E493">
        <f t="shared" si="32"/>
        <v>0.3</v>
      </c>
      <c r="F493">
        <f t="shared" si="35"/>
        <v>-0.3</v>
      </c>
      <c r="G493">
        <f t="shared" si="34"/>
        <v>0.09</v>
      </c>
    </row>
    <row r="494" spans="1:7">
      <c r="A494">
        <v>484</v>
      </c>
      <c r="B494">
        <f t="shared" si="33"/>
        <v>0</v>
      </c>
      <c r="C494" s="10"/>
      <c r="D494" s="10"/>
      <c r="E494">
        <f t="shared" si="32"/>
        <v>0.3</v>
      </c>
      <c r="F494">
        <f t="shared" si="35"/>
        <v>-0.3</v>
      </c>
      <c r="G494">
        <f t="shared" si="34"/>
        <v>0.09</v>
      </c>
    </row>
    <row r="495" spans="1:7">
      <c r="A495">
        <v>485</v>
      </c>
      <c r="B495">
        <f t="shared" si="33"/>
        <v>0</v>
      </c>
      <c r="C495" s="10"/>
      <c r="D495" s="10"/>
      <c r="E495">
        <f t="shared" si="32"/>
        <v>0.3</v>
      </c>
      <c r="F495">
        <f t="shared" si="35"/>
        <v>-0.3</v>
      </c>
      <c r="G495">
        <f t="shared" si="34"/>
        <v>0.09</v>
      </c>
    </row>
    <row r="496" spans="1:7">
      <c r="A496">
        <v>486</v>
      </c>
      <c r="B496">
        <f t="shared" si="33"/>
        <v>0</v>
      </c>
      <c r="C496" s="10"/>
      <c r="D496" s="10"/>
      <c r="E496">
        <f t="shared" si="32"/>
        <v>0.3</v>
      </c>
      <c r="F496">
        <f t="shared" si="35"/>
        <v>-0.3</v>
      </c>
      <c r="G496">
        <f t="shared" si="34"/>
        <v>0.09</v>
      </c>
    </row>
    <row r="497" spans="1:7">
      <c r="A497">
        <v>487</v>
      </c>
      <c r="B497">
        <f t="shared" si="33"/>
        <v>0</v>
      </c>
      <c r="C497" s="10"/>
      <c r="D497" s="10"/>
      <c r="E497">
        <f t="shared" si="32"/>
        <v>0.3</v>
      </c>
      <c r="F497">
        <f t="shared" si="35"/>
        <v>-0.3</v>
      </c>
      <c r="G497">
        <f t="shared" si="34"/>
        <v>0.09</v>
      </c>
    </row>
    <row r="498" spans="1:7">
      <c r="A498">
        <v>488</v>
      </c>
      <c r="B498">
        <f t="shared" si="33"/>
        <v>0</v>
      </c>
      <c r="C498" s="10"/>
      <c r="D498" s="10"/>
      <c r="E498">
        <f t="shared" si="32"/>
        <v>0.3</v>
      </c>
      <c r="F498">
        <f t="shared" si="35"/>
        <v>-0.3</v>
      </c>
      <c r="G498">
        <f t="shared" si="34"/>
        <v>0.09</v>
      </c>
    </row>
    <row r="499" spans="1:7">
      <c r="A499">
        <v>489</v>
      </c>
      <c r="B499">
        <f t="shared" si="33"/>
        <v>0</v>
      </c>
      <c r="C499" s="10"/>
      <c r="D499" s="10"/>
      <c r="E499">
        <f t="shared" si="32"/>
        <v>0.3</v>
      </c>
      <c r="F499">
        <f t="shared" si="35"/>
        <v>-0.3</v>
      </c>
      <c r="G499">
        <f t="shared" si="34"/>
        <v>0.09</v>
      </c>
    </row>
    <row r="500" spans="1:7">
      <c r="A500">
        <v>490</v>
      </c>
      <c r="B500">
        <f t="shared" si="33"/>
        <v>0</v>
      </c>
      <c r="C500" s="10"/>
      <c r="D500" s="10"/>
      <c r="E500">
        <f t="shared" si="32"/>
        <v>0.3</v>
      </c>
      <c r="F500">
        <f t="shared" si="35"/>
        <v>-0.3</v>
      </c>
      <c r="G500">
        <f t="shared" si="34"/>
        <v>0.09</v>
      </c>
    </row>
    <row r="501" spans="1:7">
      <c r="A501">
        <v>491</v>
      </c>
      <c r="B501">
        <f t="shared" si="33"/>
        <v>0</v>
      </c>
      <c r="C501" s="10"/>
      <c r="D501" s="10"/>
      <c r="E501">
        <f t="shared" si="32"/>
        <v>0.3</v>
      </c>
      <c r="F501">
        <f t="shared" si="35"/>
        <v>-0.3</v>
      </c>
      <c r="G501">
        <f t="shared" si="34"/>
        <v>0.09</v>
      </c>
    </row>
    <row r="502" spans="1:7">
      <c r="A502">
        <v>492</v>
      </c>
      <c r="B502">
        <f t="shared" si="33"/>
        <v>0</v>
      </c>
      <c r="C502" s="10"/>
      <c r="D502" s="10"/>
      <c r="E502">
        <f t="shared" si="32"/>
        <v>0.3</v>
      </c>
      <c r="F502">
        <f t="shared" si="35"/>
        <v>-0.3</v>
      </c>
      <c r="G502">
        <f t="shared" si="34"/>
        <v>0.09</v>
      </c>
    </row>
    <row r="503" spans="1:7">
      <c r="A503">
        <v>493</v>
      </c>
      <c r="B503">
        <f t="shared" si="33"/>
        <v>0</v>
      </c>
      <c r="C503" s="10"/>
      <c r="D503" s="10"/>
      <c r="E503">
        <f t="shared" si="32"/>
        <v>0.3</v>
      </c>
      <c r="F503">
        <f t="shared" si="35"/>
        <v>-0.3</v>
      </c>
      <c r="G503">
        <f t="shared" si="34"/>
        <v>0.09</v>
      </c>
    </row>
    <row r="504" spans="1:7">
      <c r="A504">
        <v>494</v>
      </c>
      <c r="B504">
        <f t="shared" si="33"/>
        <v>0</v>
      </c>
      <c r="C504" s="10"/>
      <c r="D504" s="10"/>
      <c r="E504">
        <f t="shared" si="32"/>
        <v>0.3</v>
      </c>
      <c r="F504">
        <f t="shared" si="35"/>
        <v>-0.3</v>
      </c>
      <c r="G504">
        <f t="shared" si="34"/>
        <v>0.09</v>
      </c>
    </row>
    <row r="505" spans="1:7">
      <c r="A505">
        <v>495</v>
      </c>
      <c r="B505">
        <f t="shared" si="33"/>
        <v>0</v>
      </c>
      <c r="C505" s="10"/>
      <c r="D505" s="10"/>
      <c r="E505">
        <f t="shared" si="32"/>
        <v>0.3</v>
      </c>
      <c r="F505">
        <f t="shared" si="35"/>
        <v>-0.3</v>
      </c>
      <c r="G505">
        <f t="shared" si="34"/>
        <v>0.09</v>
      </c>
    </row>
    <row r="506" spans="1:7">
      <c r="A506">
        <v>496</v>
      </c>
      <c r="B506">
        <f t="shared" si="33"/>
        <v>0</v>
      </c>
      <c r="C506" s="10"/>
      <c r="D506" s="10"/>
      <c r="E506">
        <f t="shared" si="32"/>
        <v>0.3</v>
      </c>
      <c r="F506">
        <f t="shared" si="35"/>
        <v>-0.3</v>
      </c>
      <c r="G506">
        <f t="shared" si="34"/>
        <v>0.09</v>
      </c>
    </row>
    <row r="507" spans="1:7">
      <c r="A507">
        <v>497</v>
      </c>
      <c r="B507">
        <f t="shared" si="33"/>
        <v>0</v>
      </c>
      <c r="C507" s="10"/>
      <c r="D507" s="10"/>
      <c r="E507">
        <f t="shared" si="32"/>
        <v>0.3</v>
      </c>
      <c r="F507">
        <f t="shared" si="35"/>
        <v>-0.3</v>
      </c>
      <c r="G507">
        <f t="shared" si="34"/>
        <v>0.09</v>
      </c>
    </row>
    <row r="508" spans="1:7">
      <c r="A508">
        <v>498</v>
      </c>
      <c r="B508">
        <f t="shared" si="33"/>
        <v>0</v>
      </c>
      <c r="C508" s="10"/>
      <c r="D508" s="10"/>
      <c r="E508">
        <f t="shared" si="32"/>
        <v>0.3</v>
      </c>
      <c r="F508">
        <f t="shared" si="35"/>
        <v>-0.3</v>
      </c>
      <c r="G508">
        <f t="shared" si="34"/>
        <v>0.09</v>
      </c>
    </row>
    <row r="509" spans="1:7">
      <c r="A509">
        <v>499</v>
      </c>
      <c r="B509">
        <f t="shared" si="33"/>
        <v>0</v>
      </c>
      <c r="C509" s="10"/>
      <c r="D509" s="10"/>
      <c r="E509">
        <f t="shared" si="32"/>
        <v>0.3</v>
      </c>
      <c r="F509">
        <f t="shared" si="35"/>
        <v>-0.3</v>
      </c>
      <c r="G509">
        <f t="shared" si="34"/>
        <v>0.09</v>
      </c>
    </row>
    <row r="510" spans="1:7">
      <c r="A510">
        <v>500</v>
      </c>
      <c r="B510">
        <f t="shared" si="33"/>
        <v>0</v>
      </c>
      <c r="C510" s="10"/>
      <c r="D510" s="10"/>
      <c r="E510">
        <f t="shared" si="32"/>
        <v>0.3</v>
      </c>
      <c r="F510">
        <f t="shared" si="35"/>
        <v>-0.3</v>
      </c>
      <c r="G510">
        <f t="shared" si="34"/>
        <v>0.09</v>
      </c>
    </row>
    <row r="511" spans="1:7">
      <c r="A511">
        <v>501</v>
      </c>
      <c r="B511">
        <f t="shared" si="33"/>
        <v>0</v>
      </c>
      <c r="C511" s="10"/>
      <c r="D511" s="10"/>
      <c r="E511">
        <f t="shared" si="32"/>
        <v>0.3</v>
      </c>
      <c r="F511">
        <f t="shared" si="35"/>
        <v>-0.3</v>
      </c>
      <c r="G511">
        <f t="shared" si="34"/>
        <v>0.09</v>
      </c>
    </row>
    <row r="512" spans="1:7">
      <c r="A512">
        <v>502</v>
      </c>
      <c r="B512">
        <f t="shared" si="33"/>
        <v>0</v>
      </c>
      <c r="C512" s="10"/>
      <c r="D512" s="10"/>
      <c r="E512">
        <f t="shared" si="32"/>
        <v>0.3</v>
      </c>
      <c r="F512">
        <f t="shared" si="35"/>
        <v>-0.3</v>
      </c>
      <c r="G512">
        <f t="shared" si="34"/>
        <v>0.09</v>
      </c>
    </row>
    <row r="513" spans="1:7">
      <c r="A513">
        <v>503</v>
      </c>
      <c r="B513">
        <f t="shared" si="33"/>
        <v>0</v>
      </c>
      <c r="C513" s="10"/>
      <c r="D513" s="10"/>
      <c r="E513">
        <f t="shared" si="32"/>
        <v>0.3</v>
      </c>
      <c r="F513">
        <f t="shared" si="35"/>
        <v>-0.3</v>
      </c>
      <c r="G513">
        <f t="shared" si="34"/>
        <v>0.09</v>
      </c>
    </row>
    <row r="514" spans="1:7">
      <c r="A514">
        <v>504</v>
      </c>
      <c r="B514">
        <f t="shared" si="33"/>
        <v>0</v>
      </c>
      <c r="C514" s="10"/>
      <c r="D514" s="10"/>
      <c r="E514">
        <f t="shared" si="32"/>
        <v>0.3</v>
      </c>
      <c r="F514">
        <f t="shared" si="35"/>
        <v>-0.3</v>
      </c>
      <c r="G514">
        <f t="shared" si="34"/>
        <v>0.09</v>
      </c>
    </row>
    <row r="515" spans="1:7">
      <c r="A515">
        <v>505</v>
      </c>
      <c r="B515">
        <f t="shared" si="33"/>
        <v>0</v>
      </c>
      <c r="C515" s="10"/>
      <c r="D515" s="10"/>
      <c r="E515">
        <f t="shared" si="32"/>
        <v>0.3</v>
      </c>
      <c r="F515">
        <f t="shared" si="35"/>
        <v>-0.3</v>
      </c>
      <c r="G515">
        <f t="shared" si="34"/>
        <v>0.09</v>
      </c>
    </row>
    <row r="516" spans="1:7">
      <c r="A516">
        <v>506</v>
      </c>
      <c r="B516">
        <f t="shared" si="33"/>
        <v>0</v>
      </c>
      <c r="C516" s="10"/>
      <c r="D516" s="10"/>
      <c r="E516">
        <f t="shared" si="32"/>
        <v>0.3</v>
      </c>
      <c r="F516">
        <f t="shared" si="35"/>
        <v>-0.3</v>
      </c>
      <c r="G516">
        <f t="shared" si="34"/>
        <v>0.09</v>
      </c>
    </row>
    <row r="517" spans="1:7">
      <c r="A517">
        <v>507</v>
      </c>
      <c r="B517">
        <f t="shared" si="33"/>
        <v>0</v>
      </c>
      <c r="C517" s="10"/>
      <c r="D517" s="10"/>
      <c r="E517">
        <f t="shared" si="32"/>
        <v>0.3</v>
      </c>
      <c r="F517">
        <f t="shared" si="35"/>
        <v>-0.3</v>
      </c>
      <c r="G517">
        <f t="shared" si="34"/>
        <v>0.09</v>
      </c>
    </row>
    <row r="518" spans="1:7">
      <c r="A518">
        <v>508</v>
      </c>
      <c r="B518">
        <f t="shared" si="33"/>
        <v>0</v>
      </c>
      <c r="C518" s="10"/>
      <c r="D518" s="10"/>
      <c r="E518">
        <f t="shared" si="32"/>
        <v>0.3</v>
      </c>
      <c r="F518">
        <f t="shared" si="35"/>
        <v>-0.3</v>
      </c>
      <c r="G518">
        <f t="shared" si="34"/>
        <v>0.09</v>
      </c>
    </row>
    <row r="519" spans="1:7">
      <c r="A519">
        <v>509</v>
      </c>
      <c r="B519">
        <f t="shared" si="33"/>
        <v>0</v>
      </c>
      <c r="C519" s="10"/>
      <c r="D519" s="10"/>
      <c r="E519">
        <f t="shared" si="32"/>
        <v>0.3</v>
      </c>
      <c r="F519">
        <f t="shared" si="35"/>
        <v>-0.3</v>
      </c>
      <c r="G519">
        <f t="shared" si="34"/>
        <v>0.09</v>
      </c>
    </row>
    <row r="520" spans="1:7">
      <c r="A520">
        <v>510</v>
      </c>
      <c r="B520">
        <f t="shared" si="33"/>
        <v>0</v>
      </c>
      <c r="C520" s="10"/>
      <c r="D520" s="10"/>
      <c r="E520">
        <f t="shared" si="32"/>
        <v>0.3</v>
      </c>
      <c r="F520">
        <f t="shared" si="35"/>
        <v>-0.3</v>
      </c>
      <c r="G520">
        <f t="shared" si="34"/>
        <v>0.09</v>
      </c>
    </row>
    <row r="521" spans="1:7">
      <c r="A521">
        <v>511</v>
      </c>
      <c r="B521">
        <f t="shared" si="33"/>
        <v>0</v>
      </c>
      <c r="C521" s="10"/>
      <c r="D521" s="10"/>
      <c r="E521">
        <f t="shared" si="32"/>
        <v>0.3</v>
      </c>
      <c r="F521">
        <f t="shared" si="35"/>
        <v>-0.3</v>
      </c>
      <c r="G521">
        <f t="shared" si="34"/>
        <v>0.09</v>
      </c>
    </row>
    <row r="522" spans="1:7">
      <c r="A522">
        <v>512</v>
      </c>
      <c r="B522">
        <f t="shared" si="33"/>
        <v>0</v>
      </c>
      <c r="C522" s="10"/>
      <c r="D522" s="10"/>
      <c r="E522">
        <f t="shared" si="32"/>
        <v>0.3</v>
      </c>
      <c r="F522">
        <f t="shared" si="35"/>
        <v>-0.3</v>
      </c>
      <c r="G522">
        <f t="shared" si="34"/>
        <v>0.09</v>
      </c>
    </row>
    <row r="523" spans="1:7">
      <c r="A523">
        <v>513</v>
      </c>
      <c r="B523">
        <f t="shared" si="33"/>
        <v>0</v>
      </c>
      <c r="C523" s="10"/>
      <c r="D523" s="10"/>
      <c r="E523">
        <f t="shared" ref="E523:E586" si="36">CumOffset+fcoh*EXP(-2*GammaBar*C523+mutwo*C523^2+muthree*C523^3+mufour*C523^4)</f>
        <v>0.3</v>
      </c>
      <c r="F523">
        <f t="shared" si="35"/>
        <v>-0.3</v>
      </c>
      <c r="G523">
        <f t="shared" si="34"/>
        <v>0.09</v>
      </c>
    </row>
    <row r="524" spans="1:7">
      <c r="A524">
        <v>514</v>
      </c>
      <c r="B524">
        <f t="shared" ref="B524:B587" si="37">C524/1000</f>
        <v>0</v>
      </c>
      <c r="C524" s="10"/>
      <c r="D524" s="10"/>
      <c r="E524">
        <f t="shared" si="36"/>
        <v>0.3</v>
      </c>
      <c r="F524">
        <f t="shared" si="35"/>
        <v>-0.3</v>
      </c>
      <c r="G524">
        <f t="shared" ref="G524:G587" si="38">F524*F524</f>
        <v>0.09</v>
      </c>
    </row>
    <row r="525" spans="1:7">
      <c r="A525">
        <v>515</v>
      </c>
      <c r="B525">
        <f t="shared" si="37"/>
        <v>0</v>
      </c>
      <c r="C525" s="10"/>
      <c r="D525" s="10"/>
      <c r="E525">
        <f t="shared" si="36"/>
        <v>0.3</v>
      </c>
      <c r="F525">
        <f t="shared" si="35"/>
        <v>-0.3</v>
      </c>
      <c r="G525">
        <f t="shared" si="38"/>
        <v>0.09</v>
      </c>
    </row>
    <row r="526" spans="1:7">
      <c r="A526">
        <v>516</v>
      </c>
      <c r="B526">
        <f t="shared" si="37"/>
        <v>0</v>
      </c>
      <c r="C526" s="10"/>
      <c r="D526" s="10"/>
      <c r="E526">
        <f t="shared" si="36"/>
        <v>0.3</v>
      </c>
      <c r="F526">
        <f t="shared" si="35"/>
        <v>-0.3</v>
      </c>
      <c r="G526">
        <f t="shared" si="38"/>
        <v>0.09</v>
      </c>
    </row>
    <row r="527" spans="1:7">
      <c r="A527">
        <v>517</v>
      </c>
      <c r="B527">
        <f t="shared" si="37"/>
        <v>0</v>
      </c>
      <c r="C527" s="10"/>
      <c r="D527" s="10"/>
      <c r="E527">
        <f t="shared" si="36"/>
        <v>0.3</v>
      </c>
      <c r="F527">
        <f t="shared" ref="F527:F590" si="39">D527-E527</f>
        <v>-0.3</v>
      </c>
      <c r="G527">
        <f t="shared" si="38"/>
        <v>0.09</v>
      </c>
    </row>
    <row r="528" spans="1:7">
      <c r="A528">
        <v>518</v>
      </c>
      <c r="B528">
        <f t="shared" si="37"/>
        <v>0</v>
      </c>
      <c r="C528" s="10"/>
      <c r="D528" s="10"/>
      <c r="E528">
        <f t="shared" si="36"/>
        <v>0.3</v>
      </c>
      <c r="F528">
        <f t="shared" si="39"/>
        <v>-0.3</v>
      </c>
      <c r="G528">
        <f t="shared" si="38"/>
        <v>0.09</v>
      </c>
    </row>
    <row r="529" spans="1:7">
      <c r="A529">
        <v>519</v>
      </c>
      <c r="B529">
        <f t="shared" si="37"/>
        <v>0</v>
      </c>
      <c r="C529" s="10"/>
      <c r="D529" s="10"/>
      <c r="E529">
        <f t="shared" si="36"/>
        <v>0.3</v>
      </c>
      <c r="F529">
        <f t="shared" si="39"/>
        <v>-0.3</v>
      </c>
      <c r="G529">
        <f t="shared" si="38"/>
        <v>0.09</v>
      </c>
    </row>
    <row r="530" spans="1:7">
      <c r="A530">
        <v>520</v>
      </c>
      <c r="B530">
        <f t="shared" si="37"/>
        <v>0</v>
      </c>
      <c r="C530" s="10"/>
      <c r="D530" s="10"/>
      <c r="E530">
        <f t="shared" si="36"/>
        <v>0.3</v>
      </c>
      <c r="F530">
        <f t="shared" si="39"/>
        <v>-0.3</v>
      </c>
      <c r="G530">
        <f t="shared" si="38"/>
        <v>0.09</v>
      </c>
    </row>
    <row r="531" spans="1:7">
      <c r="A531">
        <v>521</v>
      </c>
      <c r="B531">
        <f t="shared" si="37"/>
        <v>0</v>
      </c>
      <c r="C531" s="10"/>
      <c r="D531" s="10"/>
      <c r="E531">
        <f t="shared" si="36"/>
        <v>0.3</v>
      </c>
      <c r="F531">
        <f t="shared" si="39"/>
        <v>-0.3</v>
      </c>
      <c r="G531">
        <f t="shared" si="38"/>
        <v>0.09</v>
      </c>
    </row>
    <row r="532" spans="1:7">
      <c r="A532">
        <v>522</v>
      </c>
      <c r="B532">
        <f t="shared" si="37"/>
        <v>0</v>
      </c>
      <c r="C532" s="10"/>
      <c r="D532" s="10"/>
      <c r="E532">
        <f t="shared" si="36"/>
        <v>0.3</v>
      </c>
      <c r="F532">
        <f t="shared" si="39"/>
        <v>-0.3</v>
      </c>
      <c r="G532">
        <f t="shared" si="38"/>
        <v>0.09</v>
      </c>
    </row>
    <row r="533" spans="1:7">
      <c r="A533">
        <v>523</v>
      </c>
      <c r="B533">
        <f t="shared" si="37"/>
        <v>0</v>
      </c>
      <c r="C533" s="10"/>
      <c r="D533" s="10"/>
      <c r="E533">
        <f t="shared" si="36"/>
        <v>0.3</v>
      </c>
      <c r="F533">
        <f t="shared" si="39"/>
        <v>-0.3</v>
      </c>
      <c r="G533">
        <f t="shared" si="38"/>
        <v>0.09</v>
      </c>
    </row>
    <row r="534" spans="1:7">
      <c r="A534">
        <v>524</v>
      </c>
      <c r="B534">
        <f t="shared" si="37"/>
        <v>0</v>
      </c>
      <c r="C534" s="10"/>
      <c r="D534" s="10"/>
      <c r="E534">
        <f t="shared" si="36"/>
        <v>0.3</v>
      </c>
      <c r="F534">
        <f t="shared" si="39"/>
        <v>-0.3</v>
      </c>
      <c r="G534">
        <f t="shared" si="38"/>
        <v>0.09</v>
      </c>
    </row>
    <row r="535" spans="1:7">
      <c r="A535">
        <v>525</v>
      </c>
      <c r="B535">
        <f t="shared" si="37"/>
        <v>0</v>
      </c>
      <c r="C535" s="10"/>
      <c r="D535" s="10"/>
      <c r="E535">
        <f t="shared" si="36"/>
        <v>0.3</v>
      </c>
      <c r="F535">
        <f t="shared" si="39"/>
        <v>-0.3</v>
      </c>
      <c r="G535">
        <f t="shared" si="38"/>
        <v>0.09</v>
      </c>
    </row>
    <row r="536" spans="1:7">
      <c r="A536">
        <v>526</v>
      </c>
      <c r="B536">
        <f t="shared" si="37"/>
        <v>0</v>
      </c>
      <c r="C536" s="10"/>
      <c r="D536" s="10"/>
      <c r="E536">
        <f t="shared" si="36"/>
        <v>0.3</v>
      </c>
      <c r="F536">
        <f t="shared" si="39"/>
        <v>-0.3</v>
      </c>
      <c r="G536">
        <f t="shared" si="38"/>
        <v>0.09</v>
      </c>
    </row>
    <row r="537" spans="1:7">
      <c r="A537">
        <v>527</v>
      </c>
      <c r="B537">
        <f t="shared" si="37"/>
        <v>0</v>
      </c>
      <c r="C537" s="10"/>
      <c r="D537" s="10"/>
      <c r="E537">
        <f t="shared" si="36"/>
        <v>0.3</v>
      </c>
      <c r="F537">
        <f t="shared" si="39"/>
        <v>-0.3</v>
      </c>
      <c r="G537">
        <f t="shared" si="38"/>
        <v>0.09</v>
      </c>
    </row>
    <row r="538" spans="1:7">
      <c r="A538">
        <v>528</v>
      </c>
      <c r="B538">
        <f t="shared" si="37"/>
        <v>0</v>
      </c>
      <c r="C538" s="10"/>
      <c r="D538" s="10"/>
      <c r="E538">
        <f t="shared" si="36"/>
        <v>0.3</v>
      </c>
      <c r="F538">
        <f t="shared" si="39"/>
        <v>-0.3</v>
      </c>
      <c r="G538">
        <f t="shared" si="38"/>
        <v>0.09</v>
      </c>
    </row>
    <row r="539" spans="1:7">
      <c r="A539">
        <v>529</v>
      </c>
      <c r="B539">
        <f t="shared" si="37"/>
        <v>0</v>
      </c>
      <c r="C539" s="10"/>
      <c r="D539" s="10"/>
      <c r="E539">
        <f t="shared" si="36"/>
        <v>0.3</v>
      </c>
      <c r="F539">
        <f t="shared" si="39"/>
        <v>-0.3</v>
      </c>
      <c r="G539">
        <f t="shared" si="38"/>
        <v>0.09</v>
      </c>
    </row>
    <row r="540" spans="1:7">
      <c r="A540">
        <v>530</v>
      </c>
      <c r="B540">
        <f t="shared" si="37"/>
        <v>0</v>
      </c>
      <c r="C540" s="10"/>
      <c r="D540" s="10"/>
      <c r="E540">
        <f t="shared" si="36"/>
        <v>0.3</v>
      </c>
      <c r="F540">
        <f t="shared" si="39"/>
        <v>-0.3</v>
      </c>
      <c r="G540">
        <f t="shared" si="38"/>
        <v>0.09</v>
      </c>
    </row>
    <row r="541" spans="1:7">
      <c r="A541">
        <v>531</v>
      </c>
      <c r="B541">
        <f t="shared" si="37"/>
        <v>0</v>
      </c>
      <c r="C541" s="10"/>
      <c r="D541" s="10"/>
      <c r="E541">
        <f t="shared" si="36"/>
        <v>0.3</v>
      </c>
      <c r="F541">
        <f t="shared" si="39"/>
        <v>-0.3</v>
      </c>
      <c r="G541">
        <f t="shared" si="38"/>
        <v>0.09</v>
      </c>
    </row>
    <row r="542" spans="1:7">
      <c r="A542">
        <v>532</v>
      </c>
      <c r="B542">
        <f t="shared" si="37"/>
        <v>0</v>
      </c>
      <c r="C542" s="10"/>
      <c r="D542" s="10"/>
      <c r="E542">
        <f t="shared" si="36"/>
        <v>0.3</v>
      </c>
      <c r="F542">
        <f t="shared" si="39"/>
        <v>-0.3</v>
      </c>
      <c r="G542">
        <f t="shared" si="38"/>
        <v>0.09</v>
      </c>
    </row>
    <row r="543" spans="1:7">
      <c r="A543">
        <v>533</v>
      </c>
      <c r="B543">
        <f t="shared" si="37"/>
        <v>0</v>
      </c>
      <c r="C543" s="10"/>
      <c r="D543" s="10"/>
      <c r="E543">
        <f t="shared" si="36"/>
        <v>0.3</v>
      </c>
      <c r="F543">
        <f t="shared" si="39"/>
        <v>-0.3</v>
      </c>
      <c r="G543">
        <f t="shared" si="38"/>
        <v>0.09</v>
      </c>
    </row>
    <row r="544" spans="1:7">
      <c r="A544">
        <v>534</v>
      </c>
      <c r="B544">
        <f t="shared" si="37"/>
        <v>0</v>
      </c>
      <c r="C544" s="10"/>
      <c r="D544" s="10"/>
      <c r="E544">
        <f t="shared" si="36"/>
        <v>0.3</v>
      </c>
      <c r="F544">
        <f t="shared" si="39"/>
        <v>-0.3</v>
      </c>
      <c r="G544">
        <f t="shared" si="38"/>
        <v>0.09</v>
      </c>
    </row>
    <row r="545" spans="1:7">
      <c r="A545">
        <v>535</v>
      </c>
      <c r="B545">
        <f t="shared" si="37"/>
        <v>0</v>
      </c>
      <c r="C545" s="10"/>
      <c r="D545" s="10"/>
      <c r="E545">
        <f t="shared" si="36"/>
        <v>0.3</v>
      </c>
      <c r="F545">
        <f t="shared" si="39"/>
        <v>-0.3</v>
      </c>
      <c r="G545">
        <f t="shared" si="38"/>
        <v>0.09</v>
      </c>
    </row>
    <row r="546" spans="1:7">
      <c r="A546">
        <v>536</v>
      </c>
      <c r="B546">
        <f t="shared" si="37"/>
        <v>0</v>
      </c>
      <c r="C546" s="10"/>
      <c r="D546" s="10"/>
      <c r="E546">
        <f t="shared" si="36"/>
        <v>0.3</v>
      </c>
      <c r="F546">
        <f t="shared" si="39"/>
        <v>-0.3</v>
      </c>
      <c r="G546">
        <f t="shared" si="38"/>
        <v>0.09</v>
      </c>
    </row>
    <row r="547" spans="1:7">
      <c r="A547">
        <v>537</v>
      </c>
      <c r="B547">
        <f t="shared" si="37"/>
        <v>0</v>
      </c>
      <c r="C547" s="10"/>
      <c r="D547" s="10"/>
      <c r="E547">
        <f t="shared" si="36"/>
        <v>0.3</v>
      </c>
      <c r="F547">
        <f t="shared" si="39"/>
        <v>-0.3</v>
      </c>
      <c r="G547">
        <f t="shared" si="38"/>
        <v>0.09</v>
      </c>
    </row>
    <row r="548" spans="1:7">
      <c r="A548">
        <v>538</v>
      </c>
      <c r="B548">
        <f t="shared" si="37"/>
        <v>0</v>
      </c>
      <c r="C548" s="10"/>
      <c r="D548" s="10"/>
      <c r="E548">
        <f t="shared" si="36"/>
        <v>0.3</v>
      </c>
      <c r="F548">
        <f t="shared" si="39"/>
        <v>-0.3</v>
      </c>
      <c r="G548">
        <f t="shared" si="38"/>
        <v>0.09</v>
      </c>
    </row>
    <row r="549" spans="1:7">
      <c r="A549">
        <v>539</v>
      </c>
      <c r="B549">
        <f t="shared" si="37"/>
        <v>0</v>
      </c>
      <c r="C549" s="10"/>
      <c r="D549" s="10"/>
      <c r="E549">
        <f t="shared" si="36"/>
        <v>0.3</v>
      </c>
      <c r="F549">
        <f t="shared" si="39"/>
        <v>-0.3</v>
      </c>
      <c r="G549">
        <f t="shared" si="38"/>
        <v>0.09</v>
      </c>
    </row>
    <row r="550" spans="1:7">
      <c r="A550">
        <v>540</v>
      </c>
      <c r="B550">
        <f t="shared" si="37"/>
        <v>0</v>
      </c>
      <c r="C550" s="10"/>
      <c r="D550" s="10"/>
      <c r="E550">
        <f t="shared" si="36"/>
        <v>0.3</v>
      </c>
      <c r="F550">
        <f t="shared" si="39"/>
        <v>-0.3</v>
      </c>
      <c r="G550">
        <f t="shared" si="38"/>
        <v>0.09</v>
      </c>
    </row>
    <row r="551" spans="1:7">
      <c r="A551">
        <v>541</v>
      </c>
      <c r="B551">
        <f t="shared" si="37"/>
        <v>0</v>
      </c>
      <c r="C551" s="10"/>
      <c r="D551" s="10"/>
      <c r="E551">
        <f t="shared" si="36"/>
        <v>0.3</v>
      </c>
      <c r="F551">
        <f t="shared" si="39"/>
        <v>-0.3</v>
      </c>
      <c r="G551">
        <f t="shared" si="38"/>
        <v>0.09</v>
      </c>
    </row>
    <row r="552" spans="1:7">
      <c r="A552">
        <v>542</v>
      </c>
      <c r="B552">
        <f t="shared" si="37"/>
        <v>0</v>
      </c>
      <c r="C552" s="10"/>
      <c r="D552" s="10"/>
      <c r="E552">
        <f t="shared" si="36"/>
        <v>0.3</v>
      </c>
      <c r="F552">
        <f t="shared" si="39"/>
        <v>-0.3</v>
      </c>
      <c r="G552">
        <f t="shared" si="38"/>
        <v>0.09</v>
      </c>
    </row>
    <row r="553" spans="1:7">
      <c r="A553">
        <v>543</v>
      </c>
      <c r="B553">
        <f t="shared" si="37"/>
        <v>0</v>
      </c>
      <c r="C553" s="10"/>
      <c r="D553" s="10"/>
      <c r="E553">
        <f t="shared" si="36"/>
        <v>0.3</v>
      </c>
      <c r="F553">
        <f t="shared" si="39"/>
        <v>-0.3</v>
      </c>
      <c r="G553">
        <f t="shared" si="38"/>
        <v>0.09</v>
      </c>
    </row>
    <row r="554" spans="1:7">
      <c r="A554">
        <v>544</v>
      </c>
      <c r="B554">
        <f t="shared" si="37"/>
        <v>0</v>
      </c>
      <c r="C554" s="10"/>
      <c r="D554" s="10"/>
      <c r="E554">
        <f t="shared" si="36"/>
        <v>0.3</v>
      </c>
      <c r="F554">
        <f t="shared" si="39"/>
        <v>-0.3</v>
      </c>
      <c r="G554">
        <f t="shared" si="38"/>
        <v>0.09</v>
      </c>
    </row>
    <row r="555" spans="1:7">
      <c r="A555">
        <v>545</v>
      </c>
      <c r="B555">
        <f t="shared" si="37"/>
        <v>0</v>
      </c>
      <c r="C555" s="10"/>
      <c r="D555" s="10"/>
      <c r="E555">
        <f t="shared" si="36"/>
        <v>0.3</v>
      </c>
      <c r="F555">
        <f t="shared" si="39"/>
        <v>-0.3</v>
      </c>
      <c r="G555">
        <f t="shared" si="38"/>
        <v>0.09</v>
      </c>
    </row>
    <row r="556" spans="1:7">
      <c r="A556">
        <v>546</v>
      </c>
      <c r="B556">
        <f t="shared" si="37"/>
        <v>0</v>
      </c>
      <c r="C556" s="10"/>
      <c r="D556" s="10"/>
      <c r="E556">
        <f t="shared" si="36"/>
        <v>0.3</v>
      </c>
      <c r="F556">
        <f t="shared" si="39"/>
        <v>-0.3</v>
      </c>
      <c r="G556">
        <f t="shared" si="38"/>
        <v>0.09</v>
      </c>
    </row>
    <row r="557" spans="1:7">
      <c r="A557">
        <v>547</v>
      </c>
      <c r="B557">
        <f t="shared" si="37"/>
        <v>0</v>
      </c>
      <c r="C557" s="10"/>
      <c r="D557" s="10"/>
      <c r="E557">
        <f t="shared" si="36"/>
        <v>0.3</v>
      </c>
      <c r="F557">
        <f t="shared" si="39"/>
        <v>-0.3</v>
      </c>
      <c r="G557">
        <f t="shared" si="38"/>
        <v>0.09</v>
      </c>
    </row>
    <row r="558" spans="1:7">
      <c r="A558">
        <v>548</v>
      </c>
      <c r="B558">
        <f t="shared" si="37"/>
        <v>0</v>
      </c>
      <c r="C558" s="10"/>
      <c r="D558" s="10"/>
      <c r="E558">
        <f t="shared" si="36"/>
        <v>0.3</v>
      </c>
      <c r="F558">
        <f t="shared" si="39"/>
        <v>-0.3</v>
      </c>
      <c r="G558">
        <f t="shared" si="38"/>
        <v>0.09</v>
      </c>
    </row>
    <row r="559" spans="1:7">
      <c r="A559">
        <v>549</v>
      </c>
      <c r="B559">
        <f t="shared" si="37"/>
        <v>0</v>
      </c>
      <c r="C559" s="10"/>
      <c r="D559" s="10"/>
      <c r="E559">
        <f t="shared" si="36"/>
        <v>0.3</v>
      </c>
      <c r="F559">
        <f t="shared" si="39"/>
        <v>-0.3</v>
      </c>
      <c r="G559">
        <f t="shared" si="38"/>
        <v>0.09</v>
      </c>
    </row>
    <row r="560" spans="1:7">
      <c r="A560">
        <v>550</v>
      </c>
      <c r="B560">
        <f t="shared" si="37"/>
        <v>0</v>
      </c>
      <c r="C560" s="10"/>
      <c r="D560" s="10"/>
      <c r="E560">
        <f t="shared" si="36"/>
        <v>0.3</v>
      </c>
      <c r="F560">
        <f t="shared" si="39"/>
        <v>-0.3</v>
      </c>
      <c r="G560">
        <f t="shared" si="38"/>
        <v>0.09</v>
      </c>
    </row>
    <row r="561" spans="1:7">
      <c r="A561">
        <v>551</v>
      </c>
      <c r="B561">
        <f t="shared" si="37"/>
        <v>0</v>
      </c>
      <c r="C561" s="10"/>
      <c r="D561" s="10"/>
      <c r="E561">
        <f t="shared" si="36"/>
        <v>0.3</v>
      </c>
      <c r="F561">
        <f t="shared" si="39"/>
        <v>-0.3</v>
      </c>
      <c r="G561">
        <f t="shared" si="38"/>
        <v>0.09</v>
      </c>
    </row>
    <row r="562" spans="1:7">
      <c r="A562">
        <v>552</v>
      </c>
      <c r="B562">
        <f t="shared" si="37"/>
        <v>0</v>
      </c>
      <c r="C562" s="10"/>
      <c r="D562" s="10"/>
      <c r="E562">
        <f t="shared" si="36"/>
        <v>0.3</v>
      </c>
      <c r="F562">
        <f t="shared" si="39"/>
        <v>-0.3</v>
      </c>
      <c r="G562">
        <f t="shared" si="38"/>
        <v>0.09</v>
      </c>
    </row>
    <row r="563" spans="1:7">
      <c r="A563">
        <v>553</v>
      </c>
      <c r="B563">
        <f t="shared" si="37"/>
        <v>0</v>
      </c>
      <c r="C563" s="10"/>
      <c r="D563" s="10"/>
      <c r="E563">
        <f t="shared" si="36"/>
        <v>0.3</v>
      </c>
      <c r="F563">
        <f t="shared" si="39"/>
        <v>-0.3</v>
      </c>
      <c r="G563">
        <f t="shared" si="38"/>
        <v>0.09</v>
      </c>
    </row>
    <row r="564" spans="1:7">
      <c r="A564">
        <v>554</v>
      </c>
      <c r="B564">
        <f t="shared" si="37"/>
        <v>0</v>
      </c>
      <c r="C564" s="10"/>
      <c r="D564" s="10"/>
      <c r="E564">
        <f t="shared" si="36"/>
        <v>0.3</v>
      </c>
      <c r="F564">
        <f t="shared" si="39"/>
        <v>-0.3</v>
      </c>
      <c r="G564">
        <f t="shared" si="38"/>
        <v>0.09</v>
      </c>
    </row>
    <row r="565" spans="1:7">
      <c r="A565">
        <v>555</v>
      </c>
      <c r="B565">
        <f t="shared" si="37"/>
        <v>0</v>
      </c>
      <c r="C565" s="10"/>
      <c r="D565" s="10"/>
      <c r="E565">
        <f t="shared" si="36"/>
        <v>0.3</v>
      </c>
      <c r="F565">
        <f t="shared" si="39"/>
        <v>-0.3</v>
      </c>
      <c r="G565">
        <f t="shared" si="38"/>
        <v>0.09</v>
      </c>
    </row>
    <row r="566" spans="1:7">
      <c r="A566">
        <v>556</v>
      </c>
      <c r="B566">
        <f t="shared" si="37"/>
        <v>0</v>
      </c>
      <c r="C566" s="10"/>
      <c r="D566" s="10"/>
      <c r="E566">
        <f t="shared" si="36"/>
        <v>0.3</v>
      </c>
      <c r="F566">
        <f t="shared" si="39"/>
        <v>-0.3</v>
      </c>
      <c r="G566">
        <f t="shared" si="38"/>
        <v>0.09</v>
      </c>
    </row>
    <row r="567" spans="1:7">
      <c r="A567">
        <v>557</v>
      </c>
      <c r="B567">
        <f t="shared" si="37"/>
        <v>0</v>
      </c>
      <c r="C567" s="10"/>
      <c r="D567" s="10"/>
      <c r="E567">
        <f t="shared" si="36"/>
        <v>0.3</v>
      </c>
      <c r="F567">
        <f t="shared" si="39"/>
        <v>-0.3</v>
      </c>
      <c r="G567">
        <f t="shared" si="38"/>
        <v>0.09</v>
      </c>
    </row>
    <row r="568" spans="1:7">
      <c r="A568">
        <v>558</v>
      </c>
      <c r="B568">
        <f t="shared" si="37"/>
        <v>0</v>
      </c>
      <c r="C568" s="10"/>
      <c r="D568" s="10"/>
      <c r="E568">
        <f t="shared" si="36"/>
        <v>0.3</v>
      </c>
      <c r="F568">
        <f t="shared" si="39"/>
        <v>-0.3</v>
      </c>
      <c r="G568">
        <f t="shared" si="38"/>
        <v>0.09</v>
      </c>
    </row>
    <row r="569" spans="1:7">
      <c r="A569">
        <v>559</v>
      </c>
      <c r="B569">
        <f t="shared" si="37"/>
        <v>0</v>
      </c>
      <c r="C569" s="10"/>
      <c r="D569" s="10"/>
      <c r="E569">
        <f t="shared" si="36"/>
        <v>0.3</v>
      </c>
      <c r="F569">
        <f t="shared" si="39"/>
        <v>-0.3</v>
      </c>
      <c r="G569">
        <f t="shared" si="38"/>
        <v>0.09</v>
      </c>
    </row>
    <row r="570" spans="1:7">
      <c r="A570">
        <v>560</v>
      </c>
      <c r="B570">
        <f t="shared" si="37"/>
        <v>0</v>
      </c>
      <c r="C570" s="10"/>
      <c r="D570" s="10"/>
      <c r="E570">
        <f t="shared" si="36"/>
        <v>0.3</v>
      </c>
      <c r="F570">
        <f t="shared" si="39"/>
        <v>-0.3</v>
      </c>
      <c r="G570">
        <f t="shared" si="38"/>
        <v>0.09</v>
      </c>
    </row>
    <row r="571" spans="1:7">
      <c r="A571">
        <v>561</v>
      </c>
      <c r="B571">
        <f t="shared" si="37"/>
        <v>0</v>
      </c>
      <c r="C571" s="10"/>
      <c r="D571" s="10"/>
      <c r="E571">
        <f t="shared" si="36"/>
        <v>0.3</v>
      </c>
      <c r="F571">
        <f t="shared" si="39"/>
        <v>-0.3</v>
      </c>
      <c r="G571">
        <f t="shared" si="38"/>
        <v>0.09</v>
      </c>
    </row>
    <row r="572" spans="1:7">
      <c r="A572">
        <v>562</v>
      </c>
      <c r="B572">
        <f t="shared" si="37"/>
        <v>0</v>
      </c>
      <c r="C572" s="10"/>
      <c r="D572" s="10"/>
      <c r="E572">
        <f t="shared" si="36"/>
        <v>0.3</v>
      </c>
      <c r="F572">
        <f t="shared" si="39"/>
        <v>-0.3</v>
      </c>
      <c r="G572">
        <f t="shared" si="38"/>
        <v>0.09</v>
      </c>
    </row>
    <row r="573" spans="1:7">
      <c r="A573">
        <v>563</v>
      </c>
      <c r="B573">
        <f t="shared" si="37"/>
        <v>0</v>
      </c>
      <c r="C573" s="10"/>
      <c r="D573" s="10"/>
      <c r="E573">
        <f t="shared" si="36"/>
        <v>0.3</v>
      </c>
      <c r="F573">
        <f t="shared" si="39"/>
        <v>-0.3</v>
      </c>
      <c r="G573">
        <f t="shared" si="38"/>
        <v>0.09</v>
      </c>
    </row>
    <row r="574" spans="1:7">
      <c r="A574">
        <v>564</v>
      </c>
      <c r="B574">
        <f t="shared" si="37"/>
        <v>0</v>
      </c>
      <c r="C574" s="10"/>
      <c r="D574" s="10"/>
      <c r="E574">
        <f t="shared" si="36"/>
        <v>0.3</v>
      </c>
      <c r="F574">
        <f t="shared" si="39"/>
        <v>-0.3</v>
      </c>
      <c r="G574">
        <f t="shared" si="38"/>
        <v>0.09</v>
      </c>
    </row>
    <row r="575" spans="1:7">
      <c r="A575">
        <v>565</v>
      </c>
      <c r="B575">
        <f t="shared" si="37"/>
        <v>0</v>
      </c>
      <c r="C575" s="10"/>
      <c r="D575" s="10"/>
      <c r="E575">
        <f t="shared" si="36"/>
        <v>0.3</v>
      </c>
      <c r="F575">
        <f t="shared" si="39"/>
        <v>-0.3</v>
      </c>
      <c r="G575">
        <f t="shared" si="38"/>
        <v>0.09</v>
      </c>
    </row>
    <row r="576" spans="1:7">
      <c r="A576">
        <v>566</v>
      </c>
      <c r="B576">
        <f t="shared" si="37"/>
        <v>0</v>
      </c>
      <c r="C576" s="10"/>
      <c r="D576" s="10"/>
      <c r="E576">
        <f t="shared" si="36"/>
        <v>0.3</v>
      </c>
      <c r="F576">
        <f t="shared" si="39"/>
        <v>-0.3</v>
      </c>
      <c r="G576">
        <f t="shared" si="38"/>
        <v>0.09</v>
      </c>
    </row>
    <row r="577" spans="1:7">
      <c r="A577">
        <v>567</v>
      </c>
      <c r="B577">
        <f t="shared" si="37"/>
        <v>0</v>
      </c>
      <c r="C577" s="10"/>
      <c r="D577" s="10"/>
      <c r="E577">
        <f t="shared" si="36"/>
        <v>0.3</v>
      </c>
      <c r="F577">
        <f t="shared" si="39"/>
        <v>-0.3</v>
      </c>
      <c r="G577">
        <f t="shared" si="38"/>
        <v>0.09</v>
      </c>
    </row>
    <row r="578" spans="1:7">
      <c r="A578">
        <v>568</v>
      </c>
      <c r="B578">
        <f t="shared" si="37"/>
        <v>0</v>
      </c>
      <c r="C578" s="10"/>
      <c r="D578" s="10"/>
      <c r="E578">
        <f t="shared" si="36"/>
        <v>0.3</v>
      </c>
      <c r="F578">
        <f t="shared" si="39"/>
        <v>-0.3</v>
      </c>
      <c r="G578">
        <f t="shared" si="38"/>
        <v>0.09</v>
      </c>
    </row>
    <row r="579" spans="1:7">
      <c r="A579">
        <v>569</v>
      </c>
      <c r="B579">
        <f t="shared" si="37"/>
        <v>0</v>
      </c>
      <c r="C579" s="10"/>
      <c r="D579" s="10"/>
      <c r="E579">
        <f t="shared" si="36"/>
        <v>0.3</v>
      </c>
      <c r="F579">
        <f t="shared" si="39"/>
        <v>-0.3</v>
      </c>
      <c r="G579">
        <f t="shared" si="38"/>
        <v>0.09</v>
      </c>
    </row>
    <row r="580" spans="1:7">
      <c r="A580">
        <v>570</v>
      </c>
      <c r="B580">
        <f t="shared" si="37"/>
        <v>0</v>
      </c>
      <c r="C580" s="10"/>
      <c r="D580" s="10"/>
      <c r="E580">
        <f t="shared" si="36"/>
        <v>0.3</v>
      </c>
      <c r="F580">
        <f t="shared" si="39"/>
        <v>-0.3</v>
      </c>
      <c r="G580">
        <f t="shared" si="38"/>
        <v>0.09</v>
      </c>
    </row>
    <row r="581" spans="1:7">
      <c r="A581">
        <v>571</v>
      </c>
      <c r="B581">
        <f t="shared" si="37"/>
        <v>0</v>
      </c>
      <c r="C581" s="10"/>
      <c r="D581" s="10"/>
      <c r="E581">
        <f t="shared" si="36"/>
        <v>0.3</v>
      </c>
      <c r="F581">
        <f t="shared" si="39"/>
        <v>-0.3</v>
      </c>
      <c r="G581">
        <f t="shared" si="38"/>
        <v>0.09</v>
      </c>
    </row>
    <row r="582" spans="1:7">
      <c r="A582">
        <v>572</v>
      </c>
      <c r="B582">
        <f t="shared" si="37"/>
        <v>0</v>
      </c>
      <c r="C582" s="10"/>
      <c r="D582" s="10"/>
      <c r="E582">
        <f t="shared" si="36"/>
        <v>0.3</v>
      </c>
      <c r="F582">
        <f t="shared" si="39"/>
        <v>-0.3</v>
      </c>
      <c r="G582">
        <f t="shared" si="38"/>
        <v>0.09</v>
      </c>
    </row>
    <row r="583" spans="1:7">
      <c r="A583">
        <v>573</v>
      </c>
      <c r="B583">
        <f t="shared" si="37"/>
        <v>0</v>
      </c>
      <c r="C583" s="10"/>
      <c r="D583" s="10"/>
      <c r="E583">
        <f t="shared" si="36"/>
        <v>0.3</v>
      </c>
      <c r="F583">
        <f t="shared" si="39"/>
        <v>-0.3</v>
      </c>
      <c r="G583">
        <f t="shared" si="38"/>
        <v>0.09</v>
      </c>
    </row>
    <row r="584" spans="1:7">
      <c r="A584">
        <v>574</v>
      </c>
      <c r="B584">
        <f t="shared" si="37"/>
        <v>0</v>
      </c>
      <c r="C584" s="10"/>
      <c r="D584" s="10"/>
      <c r="E584">
        <f t="shared" si="36"/>
        <v>0.3</v>
      </c>
      <c r="F584">
        <f t="shared" si="39"/>
        <v>-0.3</v>
      </c>
      <c r="G584">
        <f t="shared" si="38"/>
        <v>0.09</v>
      </c>
    </row>
    <row r="585" spans="1:7">
      <c r="A585">
        <v>575</v>
      </c>
      <c r="B585">
        <f t="shared" si="37"/>
        <v>0</v>
      </c>
      <c r="C585" s="10"/>
      <c r="D585" s="10"/>
      <c r="E585">
        <f t="shared" si="36"/>
        <v>0.3</v>
      </c>
      <c r="F585">
        <f t="shared" si="39"/>
        <v>-0.3</v>
      </c>
      <c r="G585">
        <f t="shared" si="38"/>
        <v>0.09</v>
      </c>
    </row>
    <row r="586" spans="1:7">
      <c r="A586">
        <v>576</v>
      </c>
      <c r="B586">
        <f t="shared" si="37"/>
        <v>0</v>
      </c>
      <c r="C586" s="10"/>
      <c r="D586" s="10"/>
      <c r="E586">
        <f t="shared" si="36"/>
        <v>0.3</v>
      </c>
      <c r="F586">
        <f t="shared" si="39"/>
        <v>-0.3</v>
      </c>
      <c r="G586">
        <f t="shared" si="38"/>
        <v>0.09</v>
      </c>
    </row>
    <row r="587" spans="1:7">
      <c r="A587">
        <v>577</v>
      </c>
      <c r="B587">
        <f t="shared" si="37"/>
        <v>0</v>
      </c>
      <c r="C587" s="10"/>
      <c r="D587" s="10"/>
      <c r="E587">
        <f t="shared" ref="E587:E610" si="40">CumOffset+fcoh*EXP(-2*GammaBar*C587+mutwo*C587^2+muthree*C587^3+mufour*C587^4)</f>
        <v>0.3</v>
      </c>
      <c r="F587">
        <f t="shared" si="39"/>
        <v>-0.3</v>
      </c>
      <c r="G587">
        <f t="shared" si="38"/>
        <v>0.09</v>
      </c>
    </row>
    <row r="588" spans="1:7">
      <c r="A588">
        <v>578</v>
      </c>
      <c r="B588">
        <f t="shared" ref="B588:B610" si="41">C588/1000</f>
        <v>0</v>
      </c>
      <c r="C588" s="10"/>
      <c r="D588" s="10"/>
      <c r="E588">
        <f t="shared" si="40"/>
        <v>0.3</v>
      </c>
      <c r="F588">
        <f t="shared" si="39"/>
        <v>-0.3</v>
      </c>
      <c r="G588">
        <f t="shared" ref="G588:G610" si="42">F588*F588</f>
        <v>0.09</v>
      </c>
    </row>
    <row r="589" spans="1:7">
      <c r="A589">
        <v>579</v>
      </c>
      <c r="B589">
        <f t="shared" si="41"/>
        <v>0</v>
      </c>
      <c r="C589" s="10"/>
      <c r="D589" s="10"/>
      <c r="E589">
        <f t="shared" si="40"/>
        <v>0.3</v>
      </c>
      <c r="F589">
        <f t="shared" si="39"/>
        <v>-0.3</v>
      </c>
      <c r="G589">
        <f t="shared" si="42"/>
        <v>0.09</v>
      </c>
    </row>
    <row r="590" spans="1:7">
      <c r="A590">
        <v>580</v>
      </c>
      <c r="B590">
        <f t="shared" si="41"/>
        <v>0</v>
      </c>
      <c r="C590" s="10"/>
      <c r="D590" s="10"/>
      <c r="E590">
        <f t="shared" si="40"/>
        <v>0.3</v>
      </c>
      <c r="F590">
        <f t="shared" si="39"/>
        <v>-0.3</v>
      </c>
      <c r="G590">
        <f t="shared" si="42"/>
        <v>0.09</v>
      </c>
    </row>
    <row r="591" spans="1:7">
      <c r="A591">
        <v>581</v>
      </c>
      <c r="B591">
        <f t="shared" si="41"/>
        <v>0</v>
      </c>
      <c r="C591" s="10"/>
      <c r="D591" s="10"/>
      <c r="E591">
        <f t="shared" si="40"/>
        <v>0.3</v>
      </c>
      <c r="F591">
        <f t="shared" ref="F591:F610" si="43">D591-E591</f>
        <v>-0.3</v>
      </c>
      <c r="G591">
        <f t="shared" si="42"/>
        <v>0.09</v>
      </c>
    </row>
    <row r="592" spans="1:7">
      <c r="A592">
        <v>582</v>
      </c>
      <c r="B592">
        <f t="shared" si="41"/>
        <v>0</v>
      </c>
      <c r="C592" s="10"/>
      <c r="D592" s="10"/>
      <c r="E592">
        <f t="shared" si="40"/>
        <v>0.3</v>
      </c>
      <c r="F592">
        <f t="shared" si="43"/>
        <v>-0.3</v>
      </c>
      <c r="G592">
        <f t="shared" si="42"/>
        <v>0.09</v>
      </c>
    </row>
    <row r="593" spans="1:7">
      <c r="A593">
        <v>583</v>
      </c>
      <c r="B593">
        <f t="shared" si="41"/>
        <v>0</v>
      </c>
      <c r="C593" s="10"/>
      <c r="D593" s="10"/>
      <c r="E593">
        <f t="shared" si="40"/>
        <v>0.3</v>
      </c>
      <c r="F593">
        <f t="shared" si="43"/>
        <v>-0.3</v>
      </c>
      <c r="G593">
        <f t="shared" si="42"/>
        <v>0.09</v>
      </c>
    </row>
    <row r="594" spans="1:7">
      <c r="A594">
        <v>584</v>
      </c>
      <c r="B594">
        <f t="shared" si="41"/>
        <v>0</v>
      </c>
      <c r="C594" s="10"/>
      <c r="D594" s="10"/>
      <c r="E594">
        <f t="shared" si="40"/>
        <v>0.3</v>
      </c>
      <c r="F594">
        <f t="shared" si="43"/>
        <v>-0.3</v>
      </c>
      <c r="G594">
        <f t="shared" si="42"/>
        <v>0.09</v>
      </c>
    </row>
    <row r="595" spans="1:7">
      <c r="A595">
        <v>585</v>
      </c>
      <c r="B595">
        <f t="shared" si="41"/>
        <v>0</v>
      </c>
      <c r="C595" s="10"/>
      <c r="D595" s="10"/>
      <c r="E595">
        <f t="shared" si="40"/>
        <v>0.3</v>
      </c>
      <c r="F595">
        <f t="shared" si="43"/>
        <v>-0.3</v>
      </c>
      <c r="G595">
        <f t="shared" si="42"/>
        <v>0.09</v>
      </c>
    </row>
    <row r="596" spans="1:7">
      <c r="A596">
        <v>586</v>
      </c>
      <c r="B596">
        <f t="shared" si="41"/>
        <v>0</v>
      </c>
      <c r="C596" s="10"/>
      <c r="D596" s="10"/>
      <c r="E596">
        <f t="shared" si="40"/>
        <v>0.3</v>
      </c>
      <c r="F596">
        <f t="shared" si="43"/>
        <v>-0.3</v>
      </c>
      <c r="G596">
        <f t="shared" si="42"/>
        <v>0.09</v>
      </c>
    </row>
    <row r="597" spans="1:7">
      <c r="A597">
        <v>587</v>
      </c>
      <c r="B597">
        <f t="shared" si="41"/>
        <v>0</v>
      </c>
      <c r="C597" s="10"/>
      <c r="D597" s="10"/>
      <c r="E597">
        <f t="shared" si="40"/>
        <v>0.3</v>
      </c>
      <c r="F597">
        <f t="shared" si="43"/>
        <v>-0.3</v>
      </c>
      <c r="G597">
        <f t="shared" si="42"/>
        <v>0.09</v>
      </c>
    </row>
    <row r="598" spans="1:7">
      <c r="A598">
        <v>588</v>
      </c>
      <c r="B598">
        <f t="shared" si="41"/>
        <v>0</v>
      </c>
      <c r="C598" s="10"/>
      <c r="D598" s="10"/>
      <c r="E598">
        <f t="shared" si="40"/>
        <v>0.3</v>
      </c>
      <c r="F598">
        <f t="shared" si="43"/>
        <v>-0.3</v>
      </c>
      <c r="G598">
        <f t="shared" si="42"/>
        <v>0.09</v>
      </c>
    </row>
    <row r="599" spans="1:7">
      <c r="A599">
        <v>589</v>
      </c>
      <c r="B599">
        <f t="shared" si="41"/>
        <v>0</v>
      </c>
      <c r="C599" s="10"/>
      <c r="D599" s="10"/>
      <c r="E599">
        <f t="shared" si="40"/>
        <v>0.3</v>
      </c>
      <c r="F599">
        <f t="shared" si="43"/>
        <v>-0.3</v>
      </c>
      <c r="G599">
        <f t="shared" si="42"/>
        <v>0.09</v>
      </c>
    </row>
    <row r="600" spans="1:7">
      <c r="A600">
        <v>590</v>
      </c>
      <c r="B600">
        <f t="shared" si="41"/>
        <v>0</v>
      </c>
      <c r="C600" s="10"/>
      <c r="D600" s="10"/>
      <c r="E600">
        <f t="shared" si="40"/>
        <v>0.3</v>
      </c>
      <c r="F600">
        <f t="shared" si="43"/>
        <v>-0.3</v>
      </c>
      <c r="G600">
        <f t="shared" si="42"/>
        <v>0.09</v>
      </c>
    </row>
    <row r="601" spans="1:7">
      <c r="A601">
        <v>591</v>
      </c>
      <c r="B601">
        <f t="shared" si="41"/>
        <v>0</v>
      </c>
      <c r="C601" s="10"/>
      <c r="D601" s="10"/>
      <c r="E601">
        <f t="shared" si="40"/>
        <v>0.3</v>
      </c>
      <c r="F601">
        <f t="shared" si="43"/>
        <v>-0.3</v>
      </c>
      <c r="G601">
        <f t="shared" si="42"/>
        <v>0.09</v>
      </c>
    </row>
    <row r="602" spans="1:7">
      <c r="A602">
        <v>592</v>
      </c>
      <c r="B602">
        <f t="shared" si="41"/>
        <v>0</v>
      </c>
      <c r="C602" s="10"/>
      <c r="D602" s="10"/>
      <c r="E602">
        <f t="shared" si="40"/>
        <v>0.3</v>
      </c>
      <c r="F602">
        <f t="shared" si="43"/>
        <v>-0.3</v>
      </c>
      <c r="G602">
        <f t="shared" si="42"/>
        <v>0.09</v>
      </c>
    </row>
    <row r="603" spans="1:7">
      <c r="A603">
        <v>593</v>
      </c>
      <c r="B603">
        <f t="shared" si="41"/>
        <v>0</v>
      </c>
      <c r="C603" s="10"/>
      <c r="D603" s="10"/>
      <c r="E603">
        <f t="shared" si="40"/>
        <v>0.3</v>
      </c>
      <c r="F603">
        <f t="shared" si="43"/>
        <v>-0.3</v>
      </c>
      <c r="G603">
        <f t="shared" si="42"/>
        <v>0.09</v>
      </c>
    </row>
    <row r="604" spans="1:7">
      <c r="A604">
        <v>594</v>
      </c>
      <c r="B604">
        <f t="shared" si="41"/>
        <v>0</v>
      </c>
      <c r="C604" s="10"/>
      <c r="D604" s="10"/>
      <c r="E604">
        <f t="shared" si="40"/>
        <v>0.3</v>
      </c>
      <c r="F604">
        <f t="shared" si="43"/>
        <v>-0.3</v>
      </c>
      <c r="G604">
        <f t="shared" si="42"/>
        <v>0.09</v>
      </c>
    </row>
    <row r="605" spans="1:7">
      <c r="A605">
        <v>595</v>
      </c>
      <c r="B605">
        <f t="shared" si="41"/>
        <v>0</v>
      </c>
      <c r="C605" s="10"/>
      <c r="D605" s="10"/>
      <c r="E605">
        <f t="shared" si="40"/>
        <v>0.3</v>
      </c>
      <c r="F605">
        <f t="shared" si="43"/>
        <v>-0.3</v>
      </c>
      <c r="G605">
        <f t="shared" si="42"/>
        <v>0.09</v>
      </c>
    </row>
    <row r="606" spans="1:7">
      <c r="A606">
        <v>596</v>
      </c>
      <c r="B606">
        <f t="shared" si="41"/>
        <v>0</v>
      </c>
      <c r="C606" s="10"/>
      <c r="D606" s="10"/>
      <c r="E606">
        <f t="shared" si="40"/>
        <v>0.3</v>
      </c>
      <c r="F606">
        <f t="shared" si="43"/>
        <v>-0.3</v>
      </c>
      <c r="G606">
        <f t="shared" si="42"/>
        <v>0.09</v>
      </c>
    </row>
    <row r="607" spans="1:7">
      <c r="A607">
        <v>597</v>
      </c>
      <c r="B607">
        <f t="shared" si="41"/>
        <v>0</v>
      </c>
      <c r="C607" s="10"/>
      <c r="D607" s="10"/>
      <c r="E607">
        <f t="shared" si="40"/>
        <v>0.3</v>
      </c>
      <c r="F607">
        <f t="shared" si="43"/>
        <v>-0.3</v>
      </c>
      <c r="G607">
        <f t="shared" si="42"/>
        <v>0.09</v>
      </c>
    </row>
    <row r="608" spans="1:7">
      <c r="A608">
        <v>598</v>
      </c>
      <c r="B608">
        <f t="shared" si="41"/>
        <v>0</v>
      </c>
      <c r="C608" s="10"/>
      <c r="D608" s="10"/>
      <c r="E608">
        <f t="shared" si="40"/>
        <v>0.3</v>
      </c>
      <c r="F608">
        <f t="shared" si="43"/>
        <v>-0.3</v>
      </c>
      <c r="G608">
        <f t="shared" si="42"/>
        <v>0.09</v>
      </c>
    </row>
    <row r="609" spans="1:7">
      <c r="A609">
        <v>599</v>
      </c>
      <c r="B609">
        <f t="shared" si="41"/>
        <v>0</v>
      </c>
      <c r="C609" s="10"/>
      <c r="D609" s="10"/>
      <c r="E609">
        <f t="shared" si="40"/>
        <v>0.3</v>
      </c>
      <c r="F609">
        <f t="shared" si="43"/>
        <v>-0.3</v>
      </c>
      <c r="G609">
        <f t="shared" si="42"/>
        <v>0.09</v>
      </c>
    </row>
    <row r="610" spans="1:7">
      <c r="A610">
        <v>600</v>
      </c>
      <c r="B610">
        <f t="shared" si="41"/>
        <v>0</v>
      </c>
      <c r="C610" s="10"/>
      <c r="D610" s="10"/>
      <c r="E610">
        <f t="shared" si="40"/>
        <v>0.3</v>
      </c>
      <c r="F610">
        <f t="shared" si="43"/>
        <v>-0.3</v>
      </c>
      <c r="G610">
        <f t="shared" si="42"/>
        <v>0.09</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6153" r:id="rId4" name="cmdResetCumulantSheet">
          <controlPr defaultSize="0" autoLine="0" autoPict="0" r:id="rId5">
            <anchor moveWithCells="1">
              <from>
                <xdr:col>11</xdr:col>
                <xdr:colOff>157163</xdr:colOff>
                <xdr:row>1</xdr:row>
                <xdr:rowOff>209550</xdr:rowOff>
              </from>
              <to>
                <xdr:col>12</xdr:col>
                <xdr:colOff>600075</xdr:colOff>
                <xdr:row>4</xdr:row>
                <xdr:rowOff>200025</xdr:rowOff>
              </to>
            </anchor>
          </controlPr>
        </control>
      </mc:Choice>
      <mc:Fallback>
        <control shapeId="6153" r:id="rId4" name="cmdResetCumulantSheet"/>
      </mc:Fallback>
    </mc:AlternateContent>
    <mc:AlternateContent xmlns:mc="http://schemas.openxmlformats.org/markup-compatibility/2006">
      <mc:Choice Requires="x14">
        <control shapeId="6154" r:id="rId6" name="cmdLoadCumulant1">
          <controlPr defaultSize="0" autoLine="0" r:id="rId7">
            <anchor moveWithCells="1">
              <from>
                <xdr:col>15</xdr:col>
                <xdr:colOff>9525</xdr:colOff>
                <xdr:row>3</xdr:row>
                <xdr:rowOff>0</xdr:rowOff>
              </from>
              <to>
                <xdr:col>16</xdr:col>
                <xdr:colOff>476250</xdr:colOff>
                <xdr:row>5</xdr:row>
                <xdr:rowOff>0</xdr:rowOff>
              </to>
            </anchor>
          </controlPr>
        </control>
      </mc:Choice>
      <mc:Fallback>
        <control shapeId="6154" r:id="rId6" name="cmdLoadCumulant1"/>
      </mc:Fallback>
    </mc:AlternateContent>
    <mc:AlternateContent xmlns:mc="http://schemas.openxmlformats.org/markup-compatibility/2006">
      <mc:Choice Requires="x14">
        <control shapeId="6155" r:id="rId8" name="cmdLoadCumulant2">
          <controlPr defaultSize="0" autoLine="0" r:id="rId9">
            <anchor moveWithCells="1">
              <from>
                <xdr:col>15</xdr:col>
                <xdr:colOff>9525</xdr:colOff>
                <xdr:row>7</xdr:row>
                <xdr:rowOff>195263</xdr:rowOff>
              </from>
              <to>
                <xdr:col>16</xdr:col>
                <xdr:colOff>485775</xdr:colOff>
                <xdr:row>10</xdr:row>
                <xdr:rowOff>0</xdr:rowOff>
              </to>
            </anchor>
          </controlPr>
        </control>
      </mc:Choice>
      <mc:Fallback>
        <control shapeId="6155" r:id="rId8" name="cmdLoadCumulant2"/>
      </mc:Fallback>
    </mc:AlternateContent>
    <mc:AlternateContent xmlns:mc="http://schemas.openxmlformats.org/markup-compatibility/2006">
      <mc:Choice Requires="x14">
        <control shapeId="6156" r:id="rId10" name="cmdLoadCumulant3">
          <controlPr defaultSize="0" autoLine="0" r:id="rId11">
            <anchor moveWithCells="1">
              <from>
                <xdr:col>15</xdr:col>
                <xdr:colOff>9525</xdr:colOff>
                <xdr:row>12</xdr:row>
                <xdr:rowOff>171450</xdr:rowOff>
              </from>
              <to>
                <xdr:col>16</xdr:col>
                <xdr:colOff>490538</xdr:colOff>
                <xdr:row>14</xdr:row>
                <xdr:rowOff>157163</xdr:rowOff>
              </to>
            </anchor>
          </controlPr>
        </control>
      </mc:Choice>
      <mc:Fallback>
        <control shapeId="6156" r:id="rId10" name="cmdLoadCumulant3"/>
      </mc:Fallback>
    </mc:AlternateContent>
    <mc:AlternateContent xmlns:mc="http://schemas.openxmlformats.org/markup-compatibility/2006">
      <mc:Choice Requires="x14">
        <control shapeId="6157" r:id="rId12" name="cmdLoadCumulant4">
          <controlPr defaultSize="0" autoLine="0" r:id="rId13">
            <anchor moveWithCells="1">
              <from>
                <xdr:col>15</xdr:col>
                <xdr:colOff>9525</xdr:colOff>
                <xdr:row>17</xdr:row>
                <xdr:rowOff>171450</xdr:rowOff>
              </from>
              <to>
                <xdr:col>16</xdr:col>
                <xdr:colOff>476250</xdr:colOff>
                <xdr:row>19</xdr:row>
                <xdr:rowOff>176213</xdr:rowOff>
              </to>
            </anchor>
          </controlPr>
        </control>
      </mc:Choice>
      <mc:Fallback>
        <control shapeId="6157" r:id="rId12" name="cmdLoadCumulant4"/>
      </mc:Fallback>
    </mc:AlternateContent>
    <mc:AlternateContent xmlns:mc="http://schemas.openxmlformats.org/markup-compatibility/2006">
      <mc:Choice Requires="x14">
        <control shapeId="6158" r:id="rId14" name="cmdLoadCumulant5">
          <controlPr defaultSize="0" autoLine="0" r:id="rId15">
            <anchor moveWithCells="1">
              <from>
                <xdr:col>15</xdr:col>
                <xdr:colOff>9525</xdr:colOff>
                <xdr:row>23</xdr:row>
                <xdr:rowOff>0</xdr:rowOff>
              </from>
              <to>
                <xdr:col>16</xdr:col>
                <xdr:colOff>452438</xdr:colOff>
                <xdr:row>25</xdr:row>
                <xdr:rowOff>19050</xdr:rowOff>
              </to>
            </anchor>
          </controlPr>
        </control>
      </mc:Choice>
      <mc:Fallback>
        <control shapeId="6158" r:id="rId14" name="cmdLoadCumulant5"/>
      </mc:Fallback>
    </mc:AlternateContent>
    <mc:AlternateContent xmlns:mc="http://schemas.openxmlformats.org/markup-compatibility/2006">
      <mc:Choice Requires="x14">
        <control shapeId="6159" r:id="rId16" name="cmdLoadCumulant6">
          <controlPr defaultSize="0" autoLine="0" r:id="rId17">
            <anchor moveWithCells="1">
              <from>
                <xdr:col>15</xdr:col>
                <xdr:colOff>9525</xdr:colOff>
                <xdr:row>27</xdr:row>
                <xdr:rowOff>171450</xdr:rowOff>
              </from>
              <to>
                <xdr:col>16</xdr:col>
                <xdr:colOff>457200</xdr:colOff>
                <xdr:row>29</xdr:row>
                <xdr:rowOff>176213</xdr:rowOff>
              </to>
            </anchor>
          </controlPr>
        </control>
      </mc:Choice>
      <mc:Fallback>
        <control shapeId="6159" r:id="rId16" name="cmdLoadCumulant6"/>
      </mc:Fallback>
    </mc:AlternateContent>
    <mc:AlternateContent xmlns:mc="http://schemas.openxmlformats.org/markup-compatibility/2006">
      <mc:Choice Requires="x14">
        <control shapeId="6160" r:id="rId18" name="cmdLoadCumulant7">
          <controlPr defaultSize="0" autoLine="0" r:id="rId19">
            <anchor moveWithCells="1">
              <from>
                <xdr:col>15</xdr:col>
                <xdr:colOff>9525</xdr:colOff>
                <xdr:row>32</xdr:row>
                <xdr:rowOff>171450</xdr:rowOff>
              </from>
              <to>
                <xdr:col>16</xdr:col>
                <xdr:colOff>428625</xdr:colOff>
                <xdr:row>34</xdr:row>
                <xdr:rowOff>176213</xdr:rowOff>
              </to>
            </anchor>
          </controlPr>
        </control>
      </mc:Choice>
      <mc:Fallback>
        <control shapeId="6160" r:id="rId18" name="cmdLoadCumulant7"/>
      </mc:Fallback>
    </mc:AlternateContent>
    <mc:AlternateContent xmlns:mc="http://schemas.openxmlformats.org/markup-compatibility/2006">
      <mc:Choice Requires="x14">
        <control shapeId="6161" r:id="rId20" name="cmdLoadCumulant8">
          <controlPr defaultSize="0" autoLine="0" r:id="rId21">
            <anchor moveWithCells="1">
              <from>
                <xdr:col>15</xdr:col>
                <xdr:colOff>9525</xdr:colOff>
                <xdr:row>38</xdr:row>
                <xdr:rowOff>0</xdr:rowOff>
              </from>
              <to>
                <xdr:col>16</xdr:col>
                <xdr:colOff>385763</xdr:colOff>
                <xdr:row>40</xdr:row>
                <xdr:rowOff>9525</xdr:rowOff>
              </to>
            </anchor>
          </controlPr>
        </control>
      </mc:Choice>
      <mc:Fallback>
        <control shapeId="6161" r:id="rId20" name="cmdLoadCumulant8"/>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0A9B-144C-4D45-B244-EAAECB4B80A8}">
  <sheetPr codeName="Sheet10"/>
  <dimension ref="A14:DA277"/>
  <sheetViews>
    <sheetView tabSelected="1" topLeftCell="A146" zoomScale="70" zoomScaleNormal="70" workbookViewId="0">
      <selection activeCell="E153" sqref="E153"/>
    </sheetView>
  </sheetViews>
  <sheetFormatPr defaultRowHeight="14.25"/>
  <cols>
    <col min="1" max="1" width="22.59765625" customWidth="1"/>
    <col min="4" max="4" width="11.73046875" customWidth="1"/>
    <col min="5" max="5" width="27.9296875" customWidth="1"/>
    <col min="6" max="6" width="17.6640625" customWidth="1"/>
    <col min="7" max="7" width="15.19921875" customWidth="1"/>
    <col min="8" max="8" width="11.73046875" bestFit="1" customWidth="1"/>
    <col min="9" max="9" width="10.19921875" bestFit="1" customWidth="1"/>
    <col min="10" max="105" width="9" bestFit="1" customWidth="1"/>
  </cols>
  <sheetData>
    <row r="14" spans="1:105">
      <c r="A14" s="17" t="s">
        <v>143</v>
      </c>
      <c r="B14" s="17"/>
      <c r="C14" s="17"/>
      <c r="D14" s="17"/>
      <c r="E14" s="17"/>
      <c r="F14" s="67" t="s">
        <v>141</v>
      </c>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row>
    <row r="15" spans="1:105">
      <c r="A15" s="64"/>
      <c r="B15" s="64" t="s">
        <v>34</v>
      </c>
      <c r="C15" s="64" t="s">
        <v>136</v>
      </c>
      <c r="D15" s="64" t="s">
        <v>53</v>
      </c>
      <c r="E15" s="65" t="s">
        <v>139</v>
      </c>
    </row>
    <row r="16" spans="1:105">
      <c r="A16" s="64" t="s">
        <v>109</v>
      </c>
      <c r="B16" s="68">
        <v>44</v>
      </c>
      <c r="C16" s="66" t="e">
        <f t="shared" ref="C16:C47" si="0">4*PI()*RefinFinal*SIN(RADIANS(B16/2))/(LamnmFinal/10000000)</f>
        <v>#DIV/0!</v>
      </c>
      <c r="D16" s="66" t="e">
        <f>C16^2</f>
        <v>#DIV/0!</v>
      </c>
      <c r="E16" s="69" t="s">
        <v>137</v>
      </c>
    </row>
    <row r="17" spans="1:25">
      <c r="A17" s="64" t="s">
        <v>110</v>
      </c>
      <c r="B17" s="68">
        <v>44</v>
      </c>
      <c r="C17" s="66" t="e">
        <f t="shared" si="0"/>
        <v>#DIV/0!</v>
      </c>
      <c r="D17" s="66" t="e">
        <f t="shared" ref="D17:D80" si="1">C17^2</f>
        <v>#DIV/0!</v>
      </c>
      <c r="E17" s="69" t="s">
        <v>138</v>
      </c>
      <c r="F17" s="62"/>
      <c r="G17" s="62"/>
      <c r="H17" s="62"/>
      <c r="I17" s="62"/>
      <c r="J17" s="62"/>
      <c r="K17" s="62"/>
      <c r="L17" s="62"/>
      <c r="M17" s="62"/>
      <c r="N17" s="62"/>
      <c r="O17" s="62"/>
      <c r="P17" s="62"/>
      <c r="Q17" s="62"/>
      <c r="R17" s="62"/>
      <c r="S17" s="62"/>
      <c r="T17" s="62"/>
      <c r="U17" s="62"/>
      <c r="V17" s="62"/>
      <c r="W17" s="62"/>
      <c r="X17" s="62"/>
      <c r="Y17" s="62"/>
    </row>
    <row r="18" spans="1:25">
      <c r="A18" s="64"/>
      <c r="B18" s="68">
        <v>44</v>
      </c>
      <c r="C18" s="66" t="e">
        <f t="shared" si="0"/>
        <v>#DIV/0!</v>
      </c>
      <c r="D18" s="66" t="e">
        <f t="shared" si="1"/>
        <v>#DIV/0!</v>
      </c>
      <c r="E18" s="69" t="s">
        <v>153</v>
      </c>
    </row>
    <row r="19" spans="1:25">
      <c r="A19" s="64" t="s">
        <v>111</v>
      </c>
      <c r="B19" s="68">
        <v>44</v>
      </c>
      <c r="C19" s="66" t="e">
        <f t="shared" si="0"/>
        <v>#DIV/0!</v>
      </c>
      <c r="D19" s="66" t="e">
        <f t="shared" si="1"/>
        <v>#DIV/0!</v>
      </c>
      <c r="E19" s="69"/>
    </row>
    <row r="20" spans="1:25">
      <c r="A20" s="64" t="s">
        <v>110</v>
      </c>
      <c r="B20" s="68">
        <v>44</v>
      </c>
      <c r="C20" s="66" t="e">
        <f t="shared" si="0"/>
        <v>#DIV/0!</v>
      </c>
      <c r="D20" s="66" t="e">
        <f t="shared" si="1"/>
        <v>#DIV/0!</v>
      </c>
      <c r="E20" s="69" t="s">
        <v>138</v>
      </c>
      <c r="F20" s="62"/>
      <c r="G20" s="62"/>
      <c r="H20" s="62"/>
      <c r="I20" s="62"/>
      <c r="J20" s="62"/>
      <c r="K20" s="62"/>
      <c r="L20" s="62"/>
      <c r="M20" s="62"/>
      <c r="N20" s="62"/>
      <c r="O20" s="62"/>
      <c r="P20" s="62"/>
      <c r="Q20" s="62"/>
      <c r="R20" s="62"/>
      <c r="S20" s="62"/>
      <c r="T20" s="62"/>
      <c r="U20" s="62"/>
      <c r="V20" s="62"/>
      <c r="W20" s="62"/>
      <c r="X20" s="62"/>
      <c r="Y20" s="62"/>
    </row>
    <row r="21" spans="1:25">
      <c r="A21" s="64" t="s">
        <v>112</v>
      </c>
      <c r="B21" s="68">
        <v>44</v>
      </c>
      <c r="C21" s="66" t="e">
        <f t="shared" si="0"/>
        <v>#DIV/0!</v>
      </c>
      <c r="D21" s="66" t="e">
        <f t="shared" si="1"/>
        <v>#DIV/0!</v>
      </c>
      <c r="E21" s="69"/>
      <c r="F21" s="62"/>
      <c r="G21" s="62"/>
      <c r="H21" s="62"/>
      <c r="I21" s="62"/>
      <c r="J21" s="62"/>
      <c r="K21" s="62"/>
      <c r="L21" s="62"/>
      <c r="M21" s="62"/>
      <c r="N21" s="62"/>
      <c r="O21" s="62"/>
      <c r="P21" s="62"/>
      <c r="Q21" s="62"/>
      <c r="R21" s="62"/>
      <c r="S21" s="62"/>
      <c r="T21" s="62"/>
      <c r="U21" s="62"/>
      <c r="V21" s="62"/>
      <c r="W21" s="62"/>
      <c r="X21" s="62"/>
      <c r="Y21" s="62"/>
    </row>
    <row r="22" spans="1:25">
      <c r="A22" s="64"/>
      <c r="B22" s="68">
        <v>44</v>
      </c>
      <c r="C22" s="66" t="e">
        <f t="shared" si="0"/>
        <v>#DIV/0!</v>
      </c>
      <c r="D22" s="66" t="e">
        <f t="shared" si="1"/>
        <v>#DIV/0!</v>
      </c>
      <c r="E22" s="69" t="s">
        <v>154</v>
      </c>
    </row>
    <row r="23" spans="1:25">
      <c r="A23" s="64" t="s">
        <v>113</v>
      </c>
      <c r="B23" s="68">
        <v>44</v>
      </c>
      <c r="C23" s="66" t="e">
        <f t="shared" si="0"/>
        <v>#DIV/0!</v>
      </c>
      <c r="D23" s="66" t="e">
        <f t="shared" si="1"/>
        <v>#DIV/0!</v>
      </c>
      <c r="E23" s="69"/>
    </row>
    <row r="24" spans="1:25">
      <c r="A24" s="64" t="s">
        <v>110</v>
      </c>
      <c r="B24" s="68">
        <v>44</v>
      </c>
      <c r="C24" s="66" t="e">
        <f t="shared" si="0"/>
        <v>#DIV/0!</v>
      </c>
      <c r="D24" s="66" t="e">
        <f t="shared" si="1"/>
        <v>#DIV/0!</v>
      </c>
      <c r="E24" s="69" t="s">
        <v>138</v>
      </c>
      <c r="F24" s="62"/>
      <c r="G24" s="62"/>
      <c r="H24" s="62"/>
      <c r="I24" s="62"/>
      <c r="J24" s="62"/>
      <c r="K24" s="62"/>
      <c r="L24" s="62"/>
      <c r="M24" s="62"/>
      <c r="N24" s="62"/>
      <c r="O24" s="62"/>
      <c r="P24" s="62"/>
      <c r="Q24" s="62"/>
      <c r="R24" s="62"/>
      <c r="S24" s="62"/>
      <c r="T24" s="62"/>
      <c r="U24" s="62"/>
      <c r="V24" s="62"/>
      <c r="W24" s="62"/>
      <c r="X24" s="62"/>
      <c r="Y24" s="62"/>
    </row>
    <row r="25" spans="1:25">
      <c r="A25" s="64" t="s">
        <v>112</v>
      </c>
      <c r="B25" s="68">
        <v>44</v>
      </c>
      <c r="C25" s="66" t="e">
        <f t="shared" si="0"/>
        <v>#DIV/0!</v>
      </c>
      <c r="D25" s="66" t="e">
        <f t="shared" si="1"/>
        <v>#DIV/0!</v>
      </c>
      <c r="E25" s="69"/>
      <c r="F25" s="62"/>
      <c r="G25" s="62"/>
      <c r="H25" s="62"/>
      <c r="I25" s="62"/>
      <c r="J25" s="62"/>
      <c r="K25" s="62"/>
      <c r="L25" s="62"/>
      <c r="M25" s="62"/>
      <c r="N25" s="62"/>
      <c r="O25" s="62"/>
      <c r="P25" s="62"/>
      <c r="Q25" s="62"/>
      <c r="R25" s="62"/>
      <c r="S25" s="62"/>
      <c r="T25" s="62"/>
      <c r="U25" s="62"/>
      <c r="V25" s="62"/>
      <c r="W25" s="62"/>
      <c r="X25" s="62"/>
      <c r="Y25" s="62"/>
    </row>
    <row r="26" spans="1:25">
      <c r="A26" s="64" t="s">
        <v>114</v>
      </c>
      <c r="B26" s="68">
        <v>44</v>
      </c>
      <c r="C26" s="66" t="e">
        <f t="shared" si="0"/>
        <v>#DIV/0!</v>
      </c>
      <c r="D26" s="66" t="e">
        <f t="shared" si="1"/>
        <v>#DIV/0!</v>
      </c>
      <c r="E26" s="69"/>
      <c r="F26" s="62"/>
      <c r="G26" s="62"/>
      <c r="H26" s="62"/>
      <c r="I26" s="62"/>
      <c r="J26" s="62"/>
      <c r="K26" s="62"/>
      <c r="L26" s="62"/>
      <c r="M26" s="62"/>
      <c r="N26" s="62"/>
      <c r="O26" s="62"/>
      <c r="P26" s="62"/>
      <c r="Q26" s="62"/>
      <c r="R26" s="62"/>
      <c r="S26" s="62"/>
      <c r="T26" s="62"/>
      <c r="U26" s="62"/>
      <c r="V26" s="62"/>
      <c r="W26" s="62"/>
      <c r="X26" s="62"/>
      <c r="Y26" s="62"/>
    </row>
    <row r="27" spans="1:25">
      <c r="A27" s="64"/>
      <c r="B27" s="68">
        <v>44</v>
      </c>
      <c r="C27" s="66" t="e">
        <f t="shared" si="0"/>
        <v>#DIV/0!</v>
      </c>
      <c r="D27" s="66" t="e">
        <f t="shared" si="1"/>
        <v>#DIV/0!</v>
      </c>
      <c r="E27" s="69" t="s">
        <v>155</v>
      </c>
    </row>
    <row r="28" spans="1:25">
      <c r="A28" s="64" t="s">
        <v>115</v>
      </c>
      <c r="B28" s="68">
        <v>50</v>
      </c>
      <c r="C28" s="66" t="e">
        <f t="shared" si="0"/>
        <v>#DIV/0!</v>
      </c>
      <c r="D28" s="66" t="e">
        <f t="shared" si="1"/>
        <v>#DIV/0!</v>
      </c>
      <c r="E28" s="70" t="s">
        <v>137</v>
      </c>
    </row>
    <row r="29" spans="1:25">
      <c r="A29" s="64" t="s">
        <v>110</v>
      </c>
      <c r="B29" s="68">
        <v>50</v>
      </c>
      <c r="C29" s="66" t="e">
        <f t="shared" si="0"/>
        <v>#DIV/0!</v>
      </c>
      <c r="D29" s="66" t="e">
        <f t="shared" si="1"/>
        <v>#DIV/0!</v>
      </c>
      <c r="E29" s="70" t="s">
        <v>138</v>
      </c>
      <c r="F29" s="62"/>
      <c r="G29" s="62"/>
      <c r="H29" s="62"/>
      <c r="I29" s="62"/>
      <c r="J29" s="62"/>
      <c r="K29" s="62"/>
      <c r="L29" s="62"/>
      <c r="M29" s="62"/>
      <c r="N29" s="62"/>
      <c r="O29" s="62"/>
      <c r="P29" s="62"/>
      <c r="Q29" s="62"/>
      <c r="R29" s="62"/>
      <c r="S29" s="62"/>
      <c r="T29" s="62"/>
      <c r="U29" s="62"/>
      <c r="V29" s="62"/>
      <c r="W29" s="62"/>
      <c r="X29" s="62"/>
      <c r="Y29" s="62"/>
    </row>
    <row r="30" spans="1:25">
      <c r="A30" s="64"/>
      <c r="B30" s="68">
        <v>50</v>
      </c>
      <c r="C30" s="66" t="e">
        <f t="shared" si="0"/>
        <v>#DIV/0!</v>
      </c>
      <c r="D30" s="66" t="e">
        <f t="shared" si="1"/>
        <v>#DIV/0!</v>
      </c>
      <c r="E30" s="70" t="s">
        <v>153</v>
      </c>
    </row>
    <row r="31" spans="1:25">
      <c r="A31" s="64" t="s">
        <v>116</v>
      </c>
      <c r="B31" s="68">
        <v>50</v>
      </c>
      <c r="C31" s="66" t="e">
        <f t="shared" si="0"/>
        <v>#DIV/0!</v>
      </c>
      <c r="D31" s="66" t="e">
        <f t="shared" si="1"/>
        <v>#DIV/0!</v>
      </c>
      <c r="E31" s="70"/>
    </row>
    <row r="32" spans="1:25">
      <c r="A32" s="64" t="s">
        <v>110</v>
      </c>
      <c r="B32" s="68">
        <v>50</v>
      </c>
      <c r="C32" s="66" t="e">
        <f t="shared" si="0"/>
        <v>#DIV/0!</v>
      </c>
      <c r="D32" s="66" t="e">
        <f t="shared" si="1"/>
        <v>#DIV/0!</v>
      </c>
      <c r="E32" s="70" t="s">
        <v>138</v>
      </c>
      <c r="F32" s="62"/>
      <c r="G32" s="62"/>
      <c r="H32" s="62"/>
      <c r="I32" s="62"/>
      <c r="J32" s="62"/>
      <c r="K32" s="62"/>
      <c r="L32" s="62"/>
      <c r="M32" s="62"/>
      <c r="N32" s="62"/>
      <c r="O32" s="62"/>
      <c r="P32" s="62"/>
      <c r="Q32" s="62"/>
      <c r="R32" s="62"/>
      <c r="S32" s="62"/>
      <c r="T32" s="62"/>
      <c r="U32" s="62"/>
      <c r="V32" s="62"/>
      <c r="W32" s="62"/>
      <c r="X32" s="62"/>
      <c r="Y32" s="62"/>
    </row>
    <row r="33" spans="1:25">
      <c r="A33" s="64" t="s">
        <v>112</v>
      </c>
      <c r="B33" s="68">
        <v>50</v>
      </c>
      <c r="C33" s="66" t="e">
        <f t="shared" si="0"/>
        <v>#DIV/0!</v>
      </c>
      <c r="D33" s="66" t="e">
        <f t="shared" si="1"/>
        <v>#DIV/0!</v>
      </c>
      <c r="E33" s="70"/>
      <c r="F33" s="62"/>
      <c r="G33" s="62"/>
      <c r="H33" s="62"/>
      <c r="I33" s="62"/>
      <c r="J33" s="62"/>
      <c r="K33" s="62"/>
      <c r="L33" s="62"/>
      <c r="M33" s="62"/>
      <c r="N33" s="62"/>
      <c r="O33" s="62"/>
      <c r="P33" s="62"/>
      <c r="Q33" s="62"/>
      <c r="R33" s="62"/>
      <c r="S33" s="62"/>
      <c r="T33" s="62"/>
      <c r="U33" s="62"/>
      <c r="V33" s="62"/>
      <c r="W33" s="62"/>
      <c r="X33" s="62"/>
      <c r="Y33" s="62"/>
    </row>
    <row r="34" spans="1:25">
      <c r="A34" s="64"/>
      <c r="B34" s="68">
        <v>50</v>
      </c>
      <c r="C34" s="66" t="e">
        <f t="shared" si="0"/>
        <v>#DIV/0!</v>
      </c>
      <c r="D34" s="66" t="e">
        <f t="shared" si="1"/>
        <v>#DIV/0!</v>
      </c>
      <c r="E34" s="70" t="s">
        <v>154</v>
      </c>
    </row>
    <row r="35" spans="1:25">
      <c r="A35" s="64" t="s">
        <v>117</v>
      </c>
      <c r="B35" s="68">
        <v>50</v>
      </c>
      <c r="C35" s="66" t="e">
        <f t="shared" si="0"/>
        <v>#DIV/0!</v>
      </c>
      <c r="D35" s="66" t="e">
        <f t="shared" si="1"/>
        <v>#DIV/0!</v>
      </c>
      <c r="E35" s="70"/>
    </row>
    <row r="36" spans="1:25">
      <c r="A36" s="64" t="s">
        <v>110</v>
      </c>
      <c r="B36" s="68">
        <v>50</v>
      </c>
      <c r="C36" s="66" t="e">
        <f t="shared" si="0"/>
        <v>#DIV/0!</v>
      </c>
      <c r="D36" s="66" t="e">
        <f t="shared" si="1"/>
        <v>#DIV/0!</v>
      </c>
      <c r="E36" s="70" t="s">
        <v>138</v>
      </c>
      <c r="F36" s="62"/>
      <c r="G36" s="62"/>
      <c r="H36" s="62"/>
      <c r="I36" s="62"/>
      <c r="J36" s="62"/>
      <c r="K36" s="62"/>
      <c r="L36" s="62"/>
      <c r="M36" s="62"/>
      <c r="N36" s="62"/>
      <c r="O36" s="62"/>
      <c r="P36" s="62"/>
      <c r="Q36" s="62"/>
      <c r="R36" s="62"/>
      <c r="S36" s="62"/>
      <c r="T36" s="62"/>
      <c r="U36" s="62"/>
      <c r="V36" s="62"/>
      <c r="W36" s="62"/>
      <c r="X36" s="62"/>
      <c r="Y36" s="62"/>
    </row>
    <row r="37" spans="1:25">
      <c r="A37" s="64" t="s">
        <v>112</v>
      </c>
      <c r="B37" s="68">
        <v>50</v>
      </c>
      <c r="C37" s="66" t="e">
        <f t="shared" si="0"/>
        <v>#DIV/0!</v>
      </c>
      <c r="D37" s="66" t="e">
        <f t="shared" si="1"/>
        <v>#DIV/0!</v>
      </c>
      <c r="E37" s="70"/>
      <c r="F37" s="62"/>
      <c r="G37" s="62"/>
      <c r="H37" s="62"/>
      <c r="I37" s="62"/>
      <c r="J37" s="62"/>
      <c r="K37" s="62"/>
      <c r="L37" s="62"/>
      <c r="M37" s="62"/>
      <c r="N37" s="62"/>
      <c r="O37" s="62"/>
      <c r="P37" s="62"/>
      <c r="Q37" s="62"/>
      <c r="R37" s="62"/>
      <c r="S37" s="62"/>
      <c r="T37" s="62"/>
      <c r="U37" s="62"/>
      <c r="V37" s="62"/>
      <c r="W37" s="62"/>
      <c r="X37" s="62"/>
      <c r="Y37" s="62"/>
    </row>
    <row r="38" spans="1:25">
      <c r="A38" s="64" t="s">
        <v>114</v>
      </c>
      <c r="B38" s="68">
        <v>50</v>
      </c>
      <c r="C38" s="66" t="e">
        <f t="shared" si="0"/>
        <v>#DIV/0!</v>
      </c>
      <c r="D38" s="66" t="e">
        <f t="shared" si="1"/>
        <v>#DIV/0!</v>
      </c>
      <c r="E38" s="70"/>
      <c r="F38" s="62"/>
      <c r="G38" s="62"/>
      <c r="H38" s="62"/>
      <c r="I38" s="62"/>
      <c r="J38" s="62"/>
      <c r="K38" s="62"/>
      <c r="L38" s="62"/>
      <c r="M38" s="62"/>
      <c r="N38" s="62"/>
      <c r="O38" s="62"/>
      <c r="P38" s="62"/>
      <c r="Q38" s="62"/>
      <c r="R38" s="62"/>
      <c r="S38" s="62"/>
      <c r="T38" s="62"/>
      <c r="U38" s="62"/>
      <c r="V38" s="62"/>
      <c r="W38" s="62"/>
      <c r="X38" s="62"/>
      <c r="Y38" s="62"/>
    </row>
    <row r="39" spans="1:25">
      <c r="A39" s="64"/>
      <c r="B39" s="68">
        <v>50</v>
      </c>
      <c r="C39" s="66" t="e">
        <f t="shared" si="0"/>
        <v>#DIV/0!</v>
      </c>
      <c r="D39" s="66" t="e">
        <f t="shared" si="1"/>
        <v>#DIV/0!</v>
      </c>
      <c r="E39" s="70" t="s">
        <v>155</v>
      </c>
    </row>
    <row r="40" spans="1:25">
      <c r="A40" s="64" t="s">
        <v>118</v>
      </c>
      <c r="B40" s="68">
        <v>64</v>
      </c>
      <c r="C40" s="66" t="e">
        <f t="shared" si="0"/>
        <v>#DIV/0!</v>
      </c>
      <c r="D40" s="66" t="e">
        <f t="shared" si="1"/>
        <v>#DIV/0!</v>
      </c>
      <c r="E40" s="71" t="s">
        <v>137</v>
      </c>
    </row>
    <row r="41" spans="1:25">
      <c r="A41" s="64" t="s">
        <v>110</v>
      </c>
      <c r="B41" s="68">
        <v>64</v>
      </c>
      <c r="C41" s="66" t="e">
        <f t="shared" si="0"/>
        <v>#DIV/0!</v>
      </c>
      <c r="D41" s="66" t="e">
        <f t="shared" si="1"/>
        <v>#DIV/0!</v>
      </c>
      <c r="E41" s="71" t="s">
        <v>138</v>
      </c>
      <c r="F41" s="62"/>
      <c r="G41" s="62"/>
      <c r="H41" s="62"/>
      <c r="I41" s="62"/>
      <c r="J41" s="62"/>
      <c r="K41" s="62"/>
      <c r="L41" s="62"/>
      <c r="M41" s="62"/>
      <c r="N41" s="62"/>
      <c r="O41" s="62"/>
      <c r="P41" s="62"/>
      <c r="Q41" s="62"/>
      <c r="R41" s="62"/>
      <c r="S41" s="62"/>
      <c r="T41" s="62"/>
      <c r="U41" s="62"/>
      <c r="V41" s="62"/>
      <c r="W41" s="62"/>
      <c r="X41" s="62"/>
      <c r="Y41" s="62"/>
    </row>
    <row r="42" spans="1:25">
      <c r="A42" s="64"/>
      <c r="B42" s="68">
        <v>64</v>
      </c>
      <c r="C42" s="66" t="e">
        <f t="shared" si="0"/>
        <v>#DIV/0!</v>
      </c>
      <c r="D42" s="66" t="e">
        <f t="shared" si="1"/>
        <v>#DIV/0!</v>
      </c>
      <c r="E42" s="71" t="s">
        <v>153</v>
      </c>
    </row>
    <row r="43" spans="1:25">
      <c r="A43" s="64" t="s">
        <v>119</v>
      </c>
      <c r="B43" s="68">
        <v>64</v>
      </c>
      <c r="C43" s="66" t="e">
        <f t="shared" si="0"/>
        <v>#DIV/0!</v>
      </c>
      <c r="D43" s="66" t="e">
        <f t="shared" si="1"/>
        <v>#DIV/0!</v>
      </c>
      <c r="E43" s="71"/>
    </row>
    <row r="44" spans="1:25">
      <c r="A44" s="64" t="s">
        <v>110</v>
      </c>
      <c r="B44" s="68">
        <v>64</v>
      </c>
      <c r="C44" s="66" t="e">
        <f t="shared" si="0"/>
        <v>#DIV/0!</v>
      </c>
      <c r="D44" s="66" t="e">
        <f t="shared" si="1"/>
        <v>#DIV/0!</v>
      </c>
      <c r="E44" s="71" t="s">
        <v>138</v>
      </c>
      <c r="F44" s="62"/>
      <c r="G44" s="62"/>
      <c r="H44" s="62"/>
      <c r="I44" s="62"/>
      <c r="J44" s="62"/>
      <c r="K44" s="62"/>
      <c r="L44" s="62"/>
      <c r="M44" s="62"/>
      <c r="N44" s="62"/>
      <c r="O44" s="62"/>
      <c r="P44" s="62"/>
      <c r="Q44" s="62"/>
      <c r="R44" s="62"/>
      <c r="S44" s="62"/>
      <c r="T44" s="62"/>
      <c r="U44" s="62"/>
      <c r="V44" s="62"/>
      <c r="W44" s="62"/>
      <c r="X44" s="62"/>
      <c r="Y44" s="62"/>
    </row>
    <row r="45" spans="1:25">
      <c r="A45" s="64" t="s">
        <v>112</v>
      </c>
      <c r="B45" s="68">
        <v>64</v>
      </c>
      <c r="C45" s="66" t="e">
        <f t="shared" si="0"/>
        <v>#DIV/0!</v>
      </c>
      <c r="D45" s="66" t="e">
        <f t="shared" si="1"/>
        <v>#DIV/0!</v>
      </c>
      <c r="E45" s="71"/>
      <c r="F45" s="62"/>
      <c r="G45" s="62"/>
      <c r="H45" s="62"/>
      <c r="I45" s="62"/>
      <c r="J45" s="62"/>
      <c r="K45" s="62"/>
      <c r="L45" s="62"/>
      <c r="M45" s="62"/>
      <c r="N45" s="62"/>
      <c r="O45" s="62"/>
      <c r="P45" s="62"/>
      <c r="Q45" s="62"/>
      <c r="R45" s="62"/>
      <c r="S45" s="62"/>
      <c r="T45" s="62"/>
      <c r="U45" s="62"/>
      <c r="V45" s="62"/>
      <c r="W45" s="62"/>
      <c r="X45" s="62"/>
      <c r="Y45" s="62"/>
    </row>
    <row r="46" spans="1:25">
      <c r="A46" s="64"/>
      <c r="B46" s="68">
        <v>64</v>
      </c>
      <c r="C46" s="66" t="e">
        <f t="shared" si="0"/>
        <v>#DIV/0!</v>
      </c>
      <c r="D46" s="66" t="e">
        <f t="shared" si="1"/>
        <v>#DIV/0!</v>
      </c>
      <c r="E46" s="71" t="s">
        <v>154</v>
      </c>
    </row>
    <row r="47" spans="1:25">
      <c r="A47" s="64" t="s">
        <v>120</v>
      </c>
      <c r="B47" s="68">
        <v>64</v>
      </c>
      <c r="C47" s="66" t="e">
        <f t="shared" si="0"/>
        <v>#DIV/0!</v>
      </c>
      <c r="D47" s="66" t="e">
        <f t="shared" si="1"/>
        <v>#DIV/0!</v>
      </c>
      <c r="E47" s="71"/>
    </row>
    <row r="48" spans="1:25">
      <c r="A48" s="64" t="s">
        <v>110</v>
      </c>
      <c r="B48" s="68">
        <v>64</v>
      </c>
      <c r="C48" s="66" t="e">
        <f t="shared" ref="C48:C79" si="2">4*PI()*RefinFinal*SIN(RADIANS(B48/2))/(LamnmFinal/10000000)</f>
        <v>#DIV/0!</v>
      </c>
      <c r="D48" s="66" t="e">
        <f t="shared" si="1"/>
        <v>#DIV/0!</v>
      </c>
      <c r="E48" s="71" t="s">
        <v>138</v>
      </c>
      <c r="F48" s="62"/>
      <c r="G48" s="62"/>
      <c r="H48" s="62"/>
      <c r="I48" s="62"/>
      <c r="J48" s="62"/>
      <c r="K48" s="62"/>
      <c r="L48" s="62"/>
      <c r="M48" s="62"/>
      <c r="N48" s="62"/>
      <c r="O48" s="62"/>
      <c r="P48" s="62"/>
      <c r="Q48" s="62"/>
      <c r="R48" s="62"/>
      <c r="S48" s="62"/>
      <c r="T48" s="62"/>
      <c r="U48" s="62"/>
      <c r="V48" s="62"/>
      <c r="W48" s="62"/>
      <c r="X48" s="62"/>
      <c r="Y48" s="62"/>
    </row>
    <row r="49" spans="1:25">
      <c r="A49" s="64" t="s">
        <v>112</v>
      </c>
      <c r="B49" s="68">
        <v>64</v>
      </c>
      <c r="C49" s="66" t="e">
        <f t="shared" si="2"/>
        <v>#DIV/0!</v>
      </c>
      <c r="D49" s="66" t="e">
        <f t="shared" si="1"/>
        <v>#DIV/0!</v>
      </c>
      <c r="E49" s="71"/>
      <c r="F49" s="62"/>
      <c r="G49" s="62"/>
      <c r="H49" s="62"/>
      <c r="I49" s="62"/>
      <c r="J49" s="62"/>
      <c r="K49" s="62"/>
      <c r="L49" s="62"/>
      <c r="M49" s="62"/>
      <c r="N49" s="62"/>
      <c r="O49" s="62"/>
      <c r="P49" s="62"/>
      <c r="Q49" s="62"/>
      <c r="R49" s="62"/>
      <c r="S49" s="62"/>
      <c r="T49" s="62"/>
      <c r="U49" s="62"/>
      <c r="V49" s="62"/>
      <c r="W49" s="62"/>
      <c r="X49" s="62"/>
      <c r="Y49" s="62"/>
    </row>
    <row r="50" spans="1:25">
      <c r="A50" s="64" t="s">
        <v>114</v>
      </c>
      <c r="B50" s="68">
        <v>64</v>
      </c>
      <c r="C50" s="66" t="e">
        <f t="shared" si="2"/>
        <v>#DIV/0!</v>
      </c>
      <c r="D50" s="66" t="e">
        <f t="shared" si="1"/>
        <v>#DIV/0!</v>
      </c>
      <c r="E50" s="71"/>
      <c r="F50" s="62"/>
      <c r="G50" s="62"/>
      <c r="H50" s="62"/>
      <c r="I50" s="62"/>
      <c r="J50" s="62"/>
      <c r="K50" s="62"/>
      <c r="L50" s="62"/>
      <c r="M50" s="62"/>
      <c r="N50" s="62"/>
      <c r="O50" s="62"/>
      <c r="P50" s="62"/>
      <c r="Q50" s="62"/>
      <c r="R50" s="62"/>
      <c r="S50" s="62"/>
      <c r="T50" s="62"/>
      <c r="U50" s="62"/>
      <c r="V50" s="62"/>
      <c r="W50" s="62"/>
      <c r="X50" s="62"/>
      <c r="Y50" s="62"/>
    </row>
    <row r="51" spans="1:25">
      <c r="A51" s="64"/>
      <c r="B51" s="68">
        <v>64</v>
      </c>
      <c r="C51" s="66" t="e">
        <f t="shared" si="2"/>
        <v>#DIV/0!</v>
      </c>
      <c r="D51" s="66" t="e">
        <f t="shared" si="1"/>
        <v>#DIV/0!</v>
      </c>
      <c r="E51" s="71" t="s">
        <v>155</v>
      </c>
    </row>
    <row r="52" spans="1:25">
      <c r="A52" s="64" t="s">
        <v>121</v>
      </c>
      <c r="B52" s="68">
        <v>81</v>
      </c>
      <c r="C52" s="66" t="e">
        <f t="shared" si="2"/>
        <v>#DIV/0!</v>
      </c>
      <c r="D52" s="66" t="e">
        <f t="shared" si="1"/>
        <v>#DIV/0!</v>
      </c>
      <c r="E52" s="72" t="s">
        <v>137</v>
      </c>
    </row>
    <row r="53" spans="1:25">
      <c r="A53" s="64" t="s">
        <v>110</v>
      </c>
      <c r="B53" s="68">
        <v>81</v>
      </c>
      <c r="C53" s="66" t="e">
        <f t="shared" si="2"/>
        <v>#DIV/0!</v>
      </c>
      <c r="D53" s="66" t="e">
        <f t="shared" si="1"/>
        <v>#DIV/0!</v>
      </c>
      <c r="E53" s="72" t="s">
        <v>138</v>
      </c>
      <c r="F53" s="62"/>
      <c r="G53" s="62"/>
      <c r="H53" s="62"/>
      <c r="I53" s="62"/>
      <c r="J53" s="62"/>
      <c r="K53" s="62"/>
      <c r="L53" s="62"/>
      <c r="M53" s="62"/>
      <c r="N53" s="62"/>
      <c r="O53" s="62"/>
      <c r="P53" s="62"/>
      <c r="Q53" s="62"/>
      <c r="R53" s="62"/>
      <c r="S53" s="62"/>
      <c r="T53" s="62"/>
      <c r="U53" s="62"/>
      <c r="V53" s="62"/>
      <c r="W53" s="62"/>
      <c r="X53" s="62"/>
      <c r="Y53" s="62"/>
    </row>
    <row r="54" spans="1:25">
      <c r="A54" s="64"/>
      <c r="B54" s="68">
        <v>81</v>
      </c>
      <c r="C54" s="66" t="e">
        <f t="shared" si="2"/>
        <v>#DIV/0!</v>
      </c>
      <c r="D54" s="66" t="e">
        <f t="shared" si="1"/>
        <v>#DIV/0!</v>
      </c>
      <c r="E54" s="72" t="s">
        <v>153</v>
      </c>
    </row>
    <row r="55" spans="1:25">
      <c r="A55" s="64" t="s">
        <v>122</v>
      </c>
      <c r="B55" s="68">
        <v>81</v>
      </c>
      <c r="C55" s="66" t="e">
        <f t="shared" si="2"/>
        <v>#DIV/0!</v>
      </c>
      <c r="D55" s="66" t="e">
        <f t="shared" si="1"/>
        <v>#DIV/0!</v>
      </c>
      <c r="E55" s="72"/>
    </row>
    <row r="56" spans="1:25">
      <c r="A56" s="64" t="s">
        <v>110</v>
      </c>
      <c r="B56" s="68">
        <v>81</v>
      </c>
      <c r="C56" s="66" t="e">
        <f t="shared" si="2"/>
        <v>#DIV/0!</v>
      </c>
      <c r="D56" s="66" t="e">
        <f t="shared" si="1"/>
        <v>#DIV/0!</v>
      </c>
      <c r="E56" s="72" t="s">
        <v>138</v>
      </c>
      <c r="F56" s="62"/>
      <c r="G56" s="62"/>
      <c r="H56" s="62"/>
      <c r="I56" s="62"/>
      <c r="J56" s="62"/>
      <c r="K56" s="62"/>
      <c r="L56" s="62"/>
      <c r="M56" s="62"/>
      <c r="N56" s="62"/>
      <c r="O56" s="62"/>
      <c r="P56" s="62"/>
      <c r="Q56" s="62"/>
      <c r="R56" s="62"/>
      <c r="S56" s="62"/>
      <c r="T56" s="62"/>
      <c r="U56" s="62"/>
      <c r="V56" s="62"/>
      <c r="W56" s="62"/>
      <c r="X56" s="62"/>
      <c r="Y56" s="62"/>
    </row>
    <row r="57" spans="1:25">
      <c r="A57" s="64" t="s">
        <v>112</v>
      </c>
      <c r="B57" s="68">
        <v>81</v>
      </c>
      <c r="C57" s="66" t="e">
        <f t="shared" si="2"/>
        <v>#DIV/0!</v>
      </c>
      <c r="D57" s="66" t="e">
        <f t="shared" si="1"/>
        <v>#DIV/0!</v>
      </c>
      <c r="E57" s="72"/>
      <c r="F57" s="62"/>
      <c r="G57" s="62"/>
      <c r="H57" s="62"/>
      <c r="I57" s="62"/>
      <c r="J57" s="62"/>
      <c r="K57" s="62"/>
      <c r="L57" s="62"/>
      <c r="M57" s="62"/>
      <c r="N57" s="62"/>
      <c r="O57" s="62"/>
      <c r="P57" s="62"/>
      <c r="Q57" s="62"/>
      <c r="R57" s="62"/>
      <c r="S57" s="62"/>
      <c r="T57" s="62"/>
      <c r="U57" s="62"/>
      <c r="V57" s="62"/>
      <c r="W57" s="62"/>
      <c r="X57" s="62"/>
      <c r="Y57" s="62"/>
    </row>
    <row r="58" spans="1:25">
      <c r="A58" s="64"/>
      <c r="B58" s="68">
        <v>81</v>
      </c>
      <c r="C58" s="66" t="e">
        <f t="shared" si="2"/>
        <v>#DIV/0!</v>
      </c>
      <c r="D58" s="66" t="e">
        <f t="shared" si="1"/>
        <v>#DIV/0!</v>
      </c>
      <c r="E58" s="72" t="s">
        <v>154</v>
      </c>
    </row>
    <row r="59" spans="1:25">
      <c r="A59" s="64" t="s">
        <v>123</v>
      </c>
      <c r="B59" s="68">
        <v>81</v>
      </c>
      <c r="C59" s="66" t="e">
        <f t="shared" si="2"/>
        <v>#DIV/0!</v>
      </c>
      <c r="D59" s="66" t="e">
        <f t="shared" si="1"/>
        <v>#DIV/0!</v>
      </c>
      <c r="E59" s="72"/>
    </row>
    <row r="60" spans="1:25">
      <c r="A60" s="64" t="s">
        <v>110</v>
      </c>
      <c r="B60" s="68">
        <v>81</v>
      </c>
      <c r="C60" s="66" t="e">
        <f t="shared" si="2"/>
        <v>#DIV/0!</v>
      </c>
      <c r="D60" s="66" t="e">
        <f t="shared" si="1"/>
        <v>#DIV/0!</v>
      </c>
      <c r="E60" s="72" t="s">
        <v>138</v>
      </c>
      <c r="F60" s="62"/>
      <c r="G60" s="62"/>
      <c r="H60" s="62"/>
      <c r="I60" s="62"/>
      <c r="J60" s="62"/>
      <c r="K60" s="62"/>
      <c r="L60" s="62"/>
      <c r="M60" s="62"/>
      <c r="N60" s="62"/>
      <c r="O60" s="62"/>
      <c r="P60" s="62"/>
      <c r="Q60" s="62"/>
      <c r="R60" s="62"/>
      <c r="S60" s="62"/>
      <c r="T60" s="62"/>
      <c r="U60" s="62"/>
      <c r="V60" s="62"/>
      <c r="W60" s="62"/>
      <c r="X60" s="62"/>
      <c r="Y60" s="62"/>
    </row>
    <row r="61" spans="1:25">
      <c r="A61" s="64" t="s">
        <v>112</v>
      </c>
      <c r="B61" s="68">
        <v>81</v>
      </c>
      <c r="C61" s="66" t="e">
        <f t="shared" si="2"/>
        <v>#DIV/0!</v>
      </c>
      <c r="D61" s="66" t="e">
        <f t="shared" si="1"/>
        <v>#DIV/0!</v>
      </c>
      <c r="E61" s="72"/>
      <c r="F61" s="62"/>
      <c r="G61" s="62"/>
      <c r="H61" s="62"/>
      <c r="I61" s="62"/>
      <c r="J61" s="62"/>
      <c r="K61" s="62"/>
      <c r="L61" s="62"/>
      <c r="M61" s="62"/>
      <c r="N61" s="62"/>
      <c r="O61" s="62"/>
      <c r="P61" s="62"/>
      <c r="Q61" s="62"/>
      <c r="R61" s="62"/>
      <c r="S61" s="62"/>
      <c r="T61" s="62"/>
      <c r="U61" s="62"/>
      <c r="V61" s="62"/>
      <c r="W61" s="62"/>
      <c r="X61" s="62"/>
      <c r="Y61" s="62"/>
    </row>
    <row r="62" spans="1:25">
      <c r="A62" s="64" t="s">
        <v>114</v>
      </c>
      <c r="B62" s="68">
        <v>81</v>
      </c>
      <c r="C62" s="66" t="e">
        <f t="shared" si="2"/>
        <v>#DIV/0!</v>
      </c>
      <c r="D62" s="66" t="e">
        <f t="shared" si="1"/>
        <v>#DIV/0!</v>
      </c>
      <c r="E62" s="72"/>
      <c r="F62" s="62"/>
      <c r="G62" s="62"/>
      <c r="H62" s="62"/>
      <c r="I62" s="62"/>
      <c r="J62" s="62"/>
      <c r="K62" s="62"/>
      <c r="L62" s="62"/>
      <c r="M62" s="62"/>
      <c r="N62" s="62"/>
      <c r="O62" s="62"/>
      <c r="P62" s="62"/>
      <c r="Q62" s="62"/>
      <c r="R62" s="62"/>
      <c r="S62" s="62"/>
      <c r="T62" s="62"/>
      <c r="U62" s="62"/>
      <c r="V62" s="62"/>
      <c r="W62" s="62"/>
      <c r="X62" s="62"/>
      <c r="Y62" s="62"/>
    </row>
    <row r="63" spans="1:25">
      <c r="A63" s="64"/>
      <c r="B63" s="68">
        <v>81</v>
      </c>
      <c r="C63" s="66" t="e">
        <f t="shared" si="2"/>
        <v>#DIV/0!</v>
      </c>
      <c r="D63" s="66" t="e">
        <f t="shared" si="1"/>
        <v>#DIV/0!</v>
      </c>
      <c r="E63" s="72" t="s">
        <v>155</v>
      </c>
    </row>
    <row r="64" spans="1:25">
      <c r="A64" s="64" t="s">
        <v>124</v>
      </c>
      <c r="B64" s="68">
        <v>99</v>
      </c>
      <c r="C64" s="66" t="e">
        <f t="shared" si="2"/>
        <v>#DIV/0!</v>
      </c>
      <c r="D64" s="66" t="e">
        <f t="shared" si="1"/>
        <v>#DIV/0!</v>
      </c>
      <c r="E64" s="73" t="s">
        <v>137</v>
      </c>
    </row>
    <row r="65" spans="1:25">
      <c r="A65" s="64" t="s">
        <v>110</v>
      </c>
      <c r="B65" s="68">
        <v>99</v>
      </c>
      <c r="C65" s="66" t="e">
        <f t="shared" si="2"/>
        <v>#DIV/0!</v>
      </c>
      <c r="D65" s="66" t="e">
        <f t="shared" si="1"/>
        <v>#DIV/0!</v>
      </c>
      <c r="E65" s="73" t="s">
        <v>138</v>
      </c>
      <c r="F65" s="62"/>
      <c r="G65" s="62"/>
      <c r="H65" s="62"/>
      <c r="I65" s="62"/>
      <c r="J65" s="62"/>
      <c r="K65" s="62"/>
      <c r="L65" s="62"/>
      <c r="M65" s="62"/>
      <c r="N65" s="62"/>
      <c r="O65" s="62"/>
      <c r="P65" s="62"/>
      <c r="Q65" s="62"/>
      <c r="R65" s="62"/>
      <c r="S65" s="62"/>
      <c r="T65" s="62"/>
      <c r="U65" s="62"/>
      <c r="V65" s="62"/>
      <c r="W65" s="62"/>
      <c r="X65" s="62"/>
      <c r="Y65" s="62"/>
    </row>
    <row r="66" spans="1:25">
      <c r="A66" s="64"/>
      <c r="B66" s="68">
        <v>99</v>
      </c>
      <c r="C66" s="66" t="e">
        <f t="shared" si="2"/>
        <v>#DIV/0!</v>
      </c>
      <c r="D66" s="66" t="e">
        <f t="shared" si="1"/>
        <v>#DIV/0!</v>
      </c>
      <c r="E66" s="73" t="s">
        <v>153</v>
      </c>
    </row>
    <row r="67" spans="1:25">
      <c r="A67" s="64" t="s">
        <v>125</v>
      </c>
      <c r="B67" s="68">
        <v>99</v>
      </c>
      <c r="C67" s="66" t="e">
        <f t="shared" si="2"/>
        <v>#DIV/0!</v>
      </c>
      <c r="D67" s="66" t="e">
        <f t="shared" si="1"/>
        <v>#DIV/0!</v>
      </c>
      <c r="E67" s="73"/>
    </row>
    <row r="68" spans="1:25">
      <c r="A68" s="64" t="s">
        <v>110</v>
      </c>
      <c r="B68" s="68">
        <v>99</v>
      </c>
      <c r="C68" s="66" t="e">
        <f t="shared" si="2"/>
        <v>#DIV/0!</v>
      </c>
      <c r="D68" s="66" t="e">
        <f t="shared" si="1"/>
        <v>#DIV/0!</v>
      </c>
      <c r="E68" s="73" t="s">
        <v>138</v>
      </c>
      <c r="F68" s="62"/>
      <c r="G68" s="62"/>
      <c r="H68" s="62"/>
      <c r="I68" s="62"/>
      <c r="J68" s="62"/>
      <c r="K68" s="62"/>
      <c r="L68" s="62"/>
      <c r="M68" s="62"/>
      <c r="N68" s="62"/>
      <c r="O68" s="62"/>
      <c r="P68" s="62"/>
      <c r="Q68" s="62"/>
      <c r="R68" s="62"/>
      <c r="S68" s="62"/>
      <c r="T68" s="62"/>
      <c r="U68" s="62"/>
      <c r="V68" s="62"/>
      <c r="W68" s="62"/>
      <c r="X68" s="62"/>
      <c r="Y68" s="62"/>
    </row>
    <row r="69" spans="1:25">
      <c r="A69" s="64" t="s">
        <v>112</v>
      </c>
      <c r="B69" s="68">
        <v>99</v>
      </c>
      <c r="C69" s="66" t="e">
        <f t="shared" si="2"/>
        <v>#DIV/0!</v>
      </c>
      <c r="D69" s="66" t="e">
        <f t="shared" si="1"/>
        <v>#DIV/0!</v>
      </c>
      <c r="E69" s="73"/>
      <c r="F69" s="62"/>
      <c r="G69" s="62"/>
      <c r="H69" s="62"/>
      <c r="I69" s="62"/>
      <c r="J69" s="62"/>
      <c r="K69" s="62"/>
      <c r="L69" s="62"/>
      <c r="M69" s="62"/>
      <c r="N69" s="62"/>
      <c r="O69" s="62"/>
      <c r="P69" s="62"/>
      <c r="Q69" s="62"/>
      <c r="R69" s="62"/>
      <c r="S69" s="62"/>
      <c r="T69" s="62"/>
      <c r="U69" s="62"/>
      <c r="V69" s="62"/>
      <c r="W69" s="62"/>
      <c r="X69" s="62"/>
      <c r="Y69" s="62"/>
    </row>
    <row r="70" spans="1:25">
      <c r="A70" s="64"/>
      <c r="B70" s="68">
        <v>99</v>
      </c>
      <c r="C70" s="66" t="e">
        <f t="shared" si="2"/>
        <v>#DIV/0!</v>
      </c>
      <c r="D70" s="66" t="e">
        <f t="shared" si="1"/>
        <v>#DIV/0!</v>
      </c>
      <c r="E70" s="73" t="s">
        <v>154</v>
      </c>
    </row>
    <row r="71" spans="1:25">
      <c r="A71" s="64" t="s">
        <v>126</v>
      </c>
      <c r="B71" s="68">
        <v>99</v>
      </c>
      <c r="C71" s="66" t="e">
        <f t="shared" si="2"/>
        <v>#DIV/0!</v>
      </c>
      <c r="D71" s="66" t="e">
        <f t="shared" si="1"/>
        <v>#DIV/0!</v>
      </c>
      <c r="E71" s="73"/>
    </row>
    <row r="72" spans="1:25">
      <c r="A72" s="64" t="s">
        <v>110</v>
      </c>
      <c r="B72" s="68">
        <v>99</v>
      </c>
      <c r="C72" s="66" t="e">
        <f t="shared" si="2"/>
        <v>#DIV/0!</v>
      </c>
      <c r="D72" s="66" t="e">
        <f t="shared" si="1"/>
        <v>#DIV/0!</v>
      </c>
      <c r="E72" s="73" t="s">
        <v>138</v>
      </c>
      <c r="F72" s="62"/>
      <c r="G72" s="62"/>
      <c r="H72" s="62"/>
      <c r="I72" s="62"/>
      <c r="J72" s="62"/>
      <c r="K72" s="62"/>
      <c r="L72" s="62"/>
      <c r="M72" s="62"/>
      <c r="N72" s="62"/>
      <c r="O72" s="62"/>
      <c r="P72" s="62"/>
      <c r="Q72" s="62"/>
      <c r="R72" s="62"/>
      <c r="S72" s="62"/>
      <c r="T72" s="62"/>
      <c r="U72" s="62"/>
      <c r="V72" s="62"/>
      <c r="W72" s="62"/>
      <c r="X72" s="62"/>
      <c r="Y72" s="62"/>
    </row>
    <row r="73" spans="1:25">
      <c r="A73" s="64" t="s">
        <v>112</v>
      </c>
      <c r="B73" s="68">
        <v>99</v>
      </c>
      <c r="C73" s="66" t="e">
        <f t="shared" si="2"/>
        <v>#DIV/0!</v>
      </c>
      <c r="D73" s="66" t="e">
        <f t="shared" si="1"/>
        <v>#DIV/0!</v>
      </c>
      <c r="E73" s="73"/>
      <c r="F73" s="62"/>
      <c r="G73" s="62"/>
      <c r="H73" s="62"/>
      <c r="I73" s="62"/>
      <c r="J73" s="62"/>
      <c r="K73" s="62"/>
      <c r="L73" s="62"/>
      <c r="M73" s="62"/>
      <c r="N73" s="62"/>
      <c r="O73" s="62"/>
      <c r="P73" s="62"/>
      <c r="Q73" s="62"/>
      <c r="R73" s="62"/>
      <c r="S73" s="62"/>
      <c r="T73" s="62"/>
      <c r="U73" s="62"/>
      <c r="V73" s="62"/>
      <c r="W73" s="62"/>
      <c r="X73" s="62"/>
      <c r="Y73" s="62"/>
    </row>
    <row r="74" spans="1:25">
      <c r="A74" s="64" t="s">
        <v>114</v>
      </c>
      <c r="B74" s="68">
        <v>99</v>
      </c>
      <c r="C74" s="66" t="e">
        <f t="shared" si="2"/>
        <v>#DIV/0!</v>
      </c>
      <c r="D74" s="66" t="e">
        <f t="shared" si="1"/>
        <v>#DIV/0!</v>
      </c>
      <c r="E74" s="73"/>
      <c r="F74" s="62"/>
      <c r="G74" s="62"/>
      <c r="H74" s="62"/>
      <c r="I74" s="62"/>
      <c r="J74" s="62"/>
      <c r="K74" s="62"/>
      <c r="L74" s="62"/>
      <c r="M74" s="62"/>
      <c r="N74" s="62"/>
      <c r="O74" s="62"/>
      <c r="P74" s="62"/>
      <c r="Q74" s="62"/>
      <c r="R74" s="62"/>
      <c r="S74" s="62"/>
      <c r="T74" s="62"/>
      <c r="U74" s="62"/>
      <c r="V74" s="62"/>
      <c r="W74" s="62"/>
      <c r="X74" s="62"/>
      <c r="Y74" s="62"/>
    </row>
    <row r="75" spans="1:25">
      <c r="A75" s="64"/>
      <c r="B75" s="68">
        <v>99</v>
      </c>
      <c r="C75" s="66" t="e">
        <f t="shared" si="2"/>
        <v>#DIV/0!</v>
      </c>
      <c r="D75" s="66" t="e">
        <f t="shared" si="1"/>
        <v>#DIV/0!</v>
      </c>
      <c r="E75" s="73" t="s">
        <v>155</v>
      </c>
    </row>
    <row r="76" spans="1:25">
      <c r="A76" s="64" t="s">
        <v>127</v>
      </c>
      <c r="B76" s="68">
        <v>117</v>
      </c>
      <c r="C76" s="66" t="e">
        <f t="shared" si="2"/>
        <v>#DIV/0!</v>
      </c>
      <c r="D76" s="66" t="e">
        <f t="shared" si="1"/>
        <v>#DIV/0!</v>
      </c>
      <c r="E76" s="74" t="s">
        <v>137</v>
      </c>
    </row>
    <row r="77" spans="1:25">
      <c r="A77" s="64" t="s">
        <v>110</v>
      </c>
      <c r="B77" s="68">
        <v>117</v>
      </c>
      <c r="C77" s="66" t="e">
        <f t="shared" si="2"/>
        <v>#DIV/0!</v>
      </c>
      <c r="D77" s="66" t="e">
        <f t="shared" si="1"/>
        <v>#DIV/0!</v>
      </c>
      <c r="E77" s="74" t="s">
        <v>138</v>
      </c>
      <c r="F77" s="62"/>
      <c r="G77" s="62"/>
      <c r="H77" s="62"/>
      <c r="I77" s="62"/>
      <c r="J77" s="62"/>
      <c r="K77" s="62"/>
      <c r="L77" s="62"/>
      <c r="M77" s="62"/>
      <c r="N77" s="62"/>
      <c r="O77" s="62"/>
      <c r="P77" s="62"/>
      <c r="Q77" s="62"/>
      <c r="R77" s="62"/>
      <c r="S77" s="62"/>
      <c r="T77" s="62"/>
      <c r="U77" s="62"/>
      <c r="V77" s="62"/>
      <c r="W77" s="62"/>
      <c r="X77" s="62"/>
      <c r="Y77" s="62"/>
    </row>
    <row r="78" spans="1:25">
      <c r="A78" s="64"/>
      <c r="B78" s="68">
        <v>117</v>
      </c>
      <c r="C78" s="66" t="e">
        <f t="shared" si="2"/>
        <v>#DIV/0!</v>
      </c>
      <c r="D78" s="66" t="e">
        <f t="shared" si="1"/>
        <v>#DIV/0!</v>
      </c>
      <c r="E78" s="74" t="s">
        <v>153</v>
      </c>
    </row>
    <row r="79" spans="1:25">
      <c r="A79" s="64" t="s">
        <v>128</v>
      </c>
      <c r="B79" s="68">
        <v>117</v>
      </c>
      <c r="C79" s="66" t="e">
        <f t="shared" si="2"/>
        <v>#DIV/0!</v>
      </c>
      <c r="D79" s="66" t="e">
        <f t="shared" si="1"/>
        <v>#DIV/0!</v>
      </c>
      <c r="E79" s="74"/>
    </row>
    <row r="80" spans="1:25">
      <c r="A80" s="64" t="s">
        <v>110</v>
      </c>
      <c r="B80" s="68">
        <v>117</v>
      </c>
      <c r="C80" s="66" t="e">
        <f t="shared" ref="C80:C111" si="3">4*PI()*RefinFinal*SIN(RADIANS(B80/2))/(LamnmFinal/10000000)</f>
        <v>#DIV/0!</v>
      </c>
      <c r="D80" s="66" t="e">
        <f t="shared" si="1"/>
        <v>#DIV/0!</v>
      </c>
      <c r="E80" s="74" t="s">
        <v>138</v>
      </c>
      <c r="F80" s="62"/>
      <c r="G80" s="62"/>
      <c r="H80" s="62"/>
      <c r="I80" s="62"/>
      <c r="J80" s="62"/>
      <c r="K80" s="62"/>
      <c r="L80" s="62"/>
      <c r="M80" s="62"/>
      <c r="N80" s="62"/>
      <c r="O80" s="62"/>
      <c r="P80" s="62"/>
      <c r="Q80" s="62"/>
      <c r="R80" s="62"/>
      <c r="S80" s="62"/>
      <c r="T80" s="62"/>
      <c r="U80" s="62"/>
      <c r="V80" s="62"/>
      <c r="W80" s="62"/>
      <c r="X80" s="62"/>
      <c r="Y80" s="62"/>
    </row>
    <row r="81" spans="1:25">
      <c r="A81" s="64" t="s">
        <v>112</v>
      </c>
      <c r="B81" s="68">
        <v>117</v>
      </c>
      <c r="C81" s="66" t="e">
        <f t="shared" si="3"/>
        <v>#DIV/0!</v>
      </c>
      <c r="D81" s="66" t="e">
        <f t="shared" ref="D81:D111" si="4">C81^2</f>
        <v>#DIV/0!</v>
      </c>
      <c r="E81" s="74"/>
      <c r="F81" s="62"/>
      <c r="G81" s="62"/>
      <c r="H81" s="62"/>
      <c r="I81" s="62"/>
      <c r="J81" s="62"/>
      <c r="K81" s="62"/>
      <c r="L81" s="62"/>
      <c r="M81" s="62"/>
      <c r="N81" s="62"/>
      <c r="O81" s="62"/>
      <c r="P81" s="62"/>
      <c r="Q81" s="62"/>
      <c r="R81" s="62"/>
      <c r="S81" s="62"/>
      <c r="T81" s="62"/>
      <c r="U81" s="62"/>
      <c r="V81" s="62"/>
      <c r="W81" s="62"/>
      <c r="X81" s="62"/>
      <c r="Y81" s="62"/>
    </row>
    <row r="82" spans="1:25">
      <c r="A82" s="64"/>
      <c r="B82" s="68">
        <v>117</v>
      </c>
      <c r="C82" s="66" t="e">
        <f t="shared" si="3"/>
        <v>#DIV/0!</v>
      </c>
      <c r="D82" s="66" t="e">
        <f t="shared" si="4"/>
        <v>#DIV/0!</v>
      </c>
      <c r="E82" s="74" t="s">
        <v>154</v>
      </c>
    </row>
    <row r="83" spans="1:25">
      <c r="A83" s="64" t="s">
        <v>129</v>
      </c>
      <c r="B83" s="68">
        <v>117</v>
      </c>
      <c r="C83" s="66" t="e">
        <f t="shared" si="3"/>
        <v>#DIV/0!</v>
      </c>
      <c r="D83" s="66" t="e">
        <f t="shared" si="4"/>
        <v>#DIV/0!</v>
      </c>
      <c r="E83" s="74"/>
    </row>
    <row r="84" spans="1:25">
      <c r="A84" s="64" t="s">
        <v>110</v>
      </c>
      <c r="B84" s="68">
        <v>117</v>
      </c>
      <c r="C84" s="66" t="e">
        <f t="shared" si="3"/>
        <v>#DIV/0!</v>
      </c>
      <c r="D84" s="66" t="e">
        <f t="shared" si="4"/>
        <v>#DIV/0!</v>
      </c>
      <c r="E84" s="74" t="s">
        <v>138</v>
      </c>
      <c r="F84" s="62"/>
      <c r="G84" s="62"/>
      <c r="H84" s="62"/>
      <c r="I84" s="62"/>
      <c r="J84" s="62"/>
      <c r="K84" s="62"/>
      <c r="L84" s="62"/>
      <c r="M84" s="62"/>
      <c r="N84" s="62"/>
      <c r="O84" s="62"/>
      <c r="P84" s="62"/>
      <c r="Q84" s="62"/>
      <c r="R84" s="62"/>
      <c r="S84" s="62"/>
      <c r="T84" s="62"/>
      <c r="U84" s="62"/>
      <c r="V84" s="62"/>
      <c r="W84" s="62"/>
      <c r="X84" s="62"/>
      <c r="Y84" s="62"/>
    </row>
    <row r="85" spans="1:25">
      <c r="A85" s="64" t="s">
        <v>112</v>
      </c>
      <c r="B85" s="68">
        <v>117</v>
      </c>
      <c r="C85" s="66" t="e">
        <f t="shared" si="3"/>
        <v>#DIV/0!</v>
      </c>
      <c r="D85" s="66" t="e">
        <f t="shared" si="4"/>
        <v>#DIV/0!</v>
      </c>
      <c r="E85" s="74"/>
      <c r="F85" s="62"/>
      <c r="G85" s="62"/>
      <c r="H85" s="62"/>
      <c r="I85" s="62"/>
      <c r="J85" s="62"/>
      <c r="K85" s="62"/>
      <c r="L85" s="62"/>
      <c r="M85" s="62"/>
      <c r="N85" s="62"/>
      <c r="O85" s="62"/>
      <c r="P85" s="62"/>
      <c r="Q85" s="62"/>
      <c r="R85" s="62"/>
      <c r="S85" s="62"/>
      <c r="T85" s="62"/>
      <c r="U85" s="62"/>
      <c r="V85" s="62"/>
      <c r="W85" s="62"/>
      <c r="X85" s="62"/>
      <c r="Y85" s="62"/>
    </row>
    <row r="86" spans="1:25">
      <c r="A86" s="64" t="s">
        <v>114</v>
      </c>
      <c r="B86" s="68">
        <v>117</v>
      </c>
      <c r="C86" s="66" t="e">
        <f t="shared" si="3"/>
        <v>#DIV/0!</v>
      </c>
      <c r="D86" s="66" t="e">
        <f t="shared" si="4"/>
        <v>#DIV/0!</v>
      </c>
      <c r="E86" s="74"/>
      <c r="F86" s="62"/>
      <c r="G86" s="62"/>
      <c r="H86" s="62"/>
      <c r="I86" s="62"/>
      <c r="J86" s="62"/>
      <c r="K86" s="62"/>
      <c r="L86" s="62"/>
      <c r="M86" s="62"/>
      <c r="N86" s="62"/>
      <c r="O86" s="62"/>
      <c r="P86" s="62"/>
      <c r="Q86" s="62"/>
      <c r="R86" s="62"/>
      <c r="S86" s="62"/>
      <c r="T86" s="62"/>
      <c r="U86" s="62"/>
      <c r="V86" s="62"/>
      <c r="W86" s="62"/>
      <c r="X86" s="62"/>
      <c r="Y86" s="62"/>
    </row>
    <row r="87" spans="1:25">
      <c r="A87" s="64"/>
      <c r="B87" s="68">
        <v>117</v>
      </c>
      <c r="C87" s="66" t="e">
        <f t="shared" si="3"/>
        <v>#DIV/0!</v>
      </c>
      <c r="D87" s="66" t="e">
        <f t="shared" si="4"/>
        <v>#DIV/0!</v>
      </c>
      <c r="E87" s="74" t="s">
        <v>155</v>
      </c>
    </row>
    <row r="88" spans="1:25">
      <c r="A88" s="64" t="s">
        <v>130</v>
      </c>
      <c r="B88" s="68">
        <v>134</v>
      </c>
      <c r="C88" s="66" t="e">
        <f t="shared" si="3"/>
        <v>#DIV/0!</v>
      </c>
      <c r="D88" s="66" t="e">
        <f t="shared" si="4"/>
        <v>#DIV/0!</v>
      </c>
      <c r="E88" s="75" t="s">
        <v>137</v>
      </c>
    </row>
    <row r="89" spans="1:25">
      <c r="A89" s="64" t="s">
        <v>110</v>
      </c>
      <c r="B89" s="68">
        <v>134</v>
      </c>
      <c r="C89" s="66" t="e">
        <f t="shared" si="3"/>
        <v>#DIV/0!</v>
      </c>
      <c r="D89" s="66" t="e">
        <f t="shared" si="4"/>
        <v>#DIV/0!</v>
      </c>
      <c r="E89" s="75" t="s">
        <v>138</v>
      </c>
      <c r="F89" s="62"/>
      <c r="G89" s="62"/>
      <c r="H89" s="62"/>
      <c r="I89" s="62"/>
      <c r="J89" s="62"/>
      <c r="K89" s="62"/>
      <c r="L89" s="62"/>
      <c r="M89" s="62"/>
      <c r="N89" s="62"/>
      <c r="O89" s="62"/>
      <c r="P89" s="62"/>
      <c r="Q89" s="62"/>
      <c r="R89" s="62"/>
      <c r="S89" s="62"/>
      <c r="T89" s="62"/>
      <c r="U89" s="62"/>
      <c r="V89" s="62"/>
      <c r="W89" s="62"/>
      <c r="X89" s="62"/>
      <c r="Y89" s="62"/>
    </row>
    <row r="90" spans="1:25">
      <c r="A90" s="64"/>
      <c r="B90" s="68">
        <v>134</v>
      </c>
      <c r="C90" s="66" t="e">
        <f t="shared" si="3"/>
        <v>#DIV/0!</v>
      </c>
      <c r="D90" s="66" t="e">
        <f t="shared" si="4"/>
        <v>#DIV/0!</v>
      </c>
      <c r="E90" s="75" t="s">
        <v>153</v>
      </c>
    </row>
    <row r="91" spans="1:25">
      <c r="A91" s="64" t="s">
        <v>131</v>
      </c>
      <c r="B91" s="68">
        <v>134</v>
      </c>
      <c r="C91" s="66" t="e">
        <f t="shared" si="3"/>
        <v>#DIV/0!</v>
      </c>
      <c r="D91" s="66" t="e">
        <f t="shared" si="4"/>
        <v>#DIV/0!</v>
      </c>
      <c r="E91" s="75"/>
    </row>
    <row r="92" spans="1:25">
      <c r="A92" s="64" t="s">
        <v>110</v>
      </c>
      <c r="B92" s="68">
        <v>134</v>
      </c>
      <c r="C92" s="66" t="e">
        <f t="shared" si="3"/>
        <v>#DIV/0!</v>
      </c>
      <c r="D92" s="66" t="e">
        <f t="shared" si="4"/>
        <v>#DIV/0!</v>
      </c>
      <c r="E92" s="75" t="s">
        <v>138</v>
      </c>
      <c r="F92" s="62"/>
      <c r="G92" s="62"/>
      <c r="H92" s="62"/>
      <c r="I92" s="62"/>
      <c r="J92" s="62"/>
      <c r="K92" s="62"/>
      <c r="L92" s="62"/>
      <c r="M92" s="62"/>
      <c r="N92" s="62"/>
      <c r="O92" s="62"/>
      <c r="P92" s="62"/>
      <c r="Q92" s="62"/>
      <c r="R92" s="62"/>
      <c r="S92" s="62"/>
      <c r="T92" s="62"/>
      <c r="U92" s="62"/>
      <c r="V92" s="62"/>
      <c r="W92" s="62"/>
      <c r="X92" s="62"/>
      <c r="Y92" s="62"/>
    </row>
    <row r="93" spans="1:25">
      <c r="A93" s="64" t="s">
        <v>112</v>
      </c>
      <c r="B93" s="68">
        <v>134</v>
      </c>
      <c r="C93" s="66" t="e">
        <f t="shared" si="3"/>
        <v>#DIV/0!</v>
      </c>
      <c r="D93" s="66" t="e">
        <f t="shared" si="4"/>
        <v>#DIV/0!</v>
      </c>
      <c r="E93" s="75"/>
      <c r="F93" s="62"/>
      <c r="G93" s="62"/>
      <c r="H93" s="62"/>
      <c r="I93" s="62"/>
      <c r="J93" s="62"/>
      <c r="K93" s="62"/>
      <c r="L93" s="62"/>
      <c r="M93" s="62"/>
      <c r="N93" s="62"/>
      <c r="O93" s="62"/>
      <c r="P93" s="62"/>
      <c r="Q93" s="62"/>
      <c r="R93" s="62"/>
      <c r="S93" s="62"/>
      <c r="T93" s="62"/>
      <c r="U93" s="62"/>
      <c r="V93" s="62"/>
      <c r="W93" s="62"/>
      <c r="X93" s="62"/>
      <c r="Y93" s="62"/>
    </row>
    <row r="94" spans="1:25">
      <c r="A94" s="64"/>
      <c r="B94" s="68">
        <v>134</v>
      </c>
      <c r="C94" s="66" t="e">
        <f t="shared" si="3"/>
        <v>#DIV/0!</v>
      </c>
      <c r="D94" s="66" t="e">
        <f t="shared" si="4"/>
        <v>#DIV/0!</v>
      </c>
      <c r="E94" s="75" t="s">
        <v>154</v>
      </c>
    </row>
    <row r="95" spans="1:25">
      <c r="A95" s="64" t="s">
        <v>132</v>
      </c>
      <c r="B95" s="68">
        <v>134</v>
      </c>
      <c r="C95" s="66" t="e">
        <f t="shared" si="3"/>
        <v>#DIV/0!</v>
      </c>
      <c r="D95" s="66" t="e">
        <f t="shared" si="4"/>
        <v>#DIV/0!</v>
      </c>
      <c r="E95" s="75"/>
    </row>
    <row r="96" spans="1:25">
      <c r="A96" s="64" t="s">
        <v>110</v>
      </c>
      <c r="B96" s="68">
        <v>134</v>
      </c>
      <c r="C96" s="66" t="e">
        <f t="shared" si="3"/>
        <v>#DIV/0!</v>
      </c>
      <c r="D96" s="66" t="e">
        <f t="shared" si="4"/>
        <v>#DIV/0!</v>
      </c>
      <c r="E96" s="75" t="s">
        <v>138</v>
      </c>
      <c r="F96" s="62"/>
      <c r="G96" s="62"/>
      <c r="H96" s="62"/>
      <c r="I96" s="62"/>
      <c r="J96" s="62"/>
      <c r="K96" s="62"/>
      <c r="L96" s="62"/>
      <c r="M96" s="62"/>
      <c r="N96" s="62"/>
      <c r="O96" s="62"/>
      <c r="P96" s="62"/>
      <c r="Q96" s="62"/>
      <c r="R96" s="62"/>
      <c r="S96" s="62"/>
      <c r="T96" s="62"/>
      <c r="U96" s="62"/>
      <c r="V96" s="62"/>
      <c r="W96" s="62"/>
      <c r="X96" s="62"/>
      <c r="Y96" s="62"/>
    </row>
    <row r="97" spans="1:25">
      <c r="A97" s="64" t="s">
        <v>112</v>
      </c>
      <c r="B97" s="68">
        <v>134</v>
      </c>
      <c r="C97" s="66" t="e">
        <f t="shared" si="3"/>
        <v>#DIV/0!</v>
      </c>
      <c r="D97" s="66" t="e">
        <f t="shared" si="4"/>
        <v>#DIV/0!</v>
      </c>
      <c r="E97" s="75"/>
      <c r="F97" s="62"/>
      <c r="G97" s="62"/>
      <c r="H97" s="62"/>
      <c r="I97" s="62"/>
      <c r="J97" s="62"/>
      <c r="K97" s="62"/>
      <c r="L97" s="62"/>
      <c r="M97" s="62"/>
      <c r="N97" s="62"/>
      <c r="O97" s="62"/>
      <c r="P97" s="62"/>
      <c r="Q97" s="62"/>
      <c r="R97" s="62"/>
      <c r="S97" s="62"/>
      <c r="T97" s="62"/>
      <c r="U97" s="62"/>
      <c r="V97" s="62"/>
      <c r="W97" s="62"/>
      <c r="X97" s="62"/>
      <c r="Y97" s="62"/>
    </row>
    <row r="98" spans="1:25">
      <c r="A98" s="64" t="s">
        <v>114</v>
      </c>
      <c r="B98" s="68">
        <v>134</v>
      </c>
      <c r="C98" s="66" t="e">
        <f t="shared" si="3"/>
        <v>#DIV/0!</v>
      </c>
      <c r="D98" s="66" t="e">
        <f t="shared" si="4"/>
        <v>#DIV/0!</v>
      </c>
      <c r="E98" s="75"/>
      <c r="F98" s="62"/>
      <c r="G98" s="62"/>
      <c r="H98" s="62"/>
      <c r="I98" s="62"/>
      <c r="J98" s="62"/>
      <c r="K98" s="62"/>
      <c r="L98" s="62"/>
      <c r="M98" s="62"/>
      <c r="N98" s="62"/>
      <c r="O98" s="62"/>
      <c r="P98" s="62"/>
      <c r="Q98" s="62"/>
      <c r="R98" s="62"/>
      <c r="S98" s="62"/>
      <c r="T98" s="62"/>
      <c r="U98" s="62"/>
      <c r="V98" s="62"/>
      <c r="W98" s="62"/>
      <c r="X98" s="62"/>
      <c r="Y98" s="62"/>
    </row>
    <row r="99" spans="1:25">
      <c r="A99" s="64"/>
      <c r="B99" s="68">
        <v>134</v>
      </c>
      <c r="C99" s="66" t="e">
        <f t="shared" si="3"/>
        <v>#DIV/0!</v>
      </c>
      <c r="D99" s="66" t="e">
        <f t="shared" si="4"/>
        <v>#DIV/0!</v>
      </c>
      <c r="E99" s="75" t="s">
        <v>155</v>
      </c>
    </row>
    <row r="100" spans="1:25">
      <c r="A100" s="64" t="s">
        <v>133</v>
      </c>
      <c r="B100" s="68">
        <v>147</v>
      </c>
      <c r="C100" s="66" t="e">
        <f t="shared" si="3"/>
        <v>#DIV/0!</v>
      </c>
      <c r="D100" s="66" t="e">
        <f t="shared" si="4"/>
        <v>#DIV/0!</v>
      </c>
      <c r="E100" s="76" t="s">
        <v>140</v>
      </c>
    </row>
    <row r="101" spans="1:25">
      <c r="A101" s="64" t="s">
        <v>110</v>
      </c>
      <c r="B101" s="68">
        <v>147</v>
      </c>
      <c r="C101" s="66" t="e">
        <f t="shared" si="3"/>
        <v>#DIV/0!</v>
      </c>
      <c r="D101" s="66" t="e">
        <f t="shared" si="4"/>
        <v>#DIV/0!</v>
      </c>
      <c r="E101" s="76" t="s">
        <v>138</v>
      </c>
      <c r="F101" s="62"/>
      <c r="G101" s="62"/>
      <c r="H101" s="62"/>
      <c r="I101" s="62"/>
      <c r="J101" s="62"/>
      <c r="K101" s="62"/>
      <c r="L101" s="62"/>
      <c r="M101" s="62"/>
      <c r="N101" s="62"/>
      <c r="O101" s="62"/>
      <c r="P101" s="62"/>
      <c r="Q101" s="62"/>
      <c r="R101" s="62"/>
      <c r="S101" s="62"/>
      <c r="T101" s="62"/>
      <c r="U101" s="62"/>
      <c r="V101" s="62"/>
      <c r="W101" s="62"/>
      <c r="X101" s="62"/>
      <c r="Y101" s="62"/>
    </row>
    <row r="102" spans="1:25">
      <c r="A102" s="64"/>
      <c r="B102" s="68">
        <v>147</v>
      </c>
      <c r="C102" s="66" t="e">
        <f t="shared" si="3"/>
        <v>#DIV/0!</v>
      </c>
      <c r="D102" s="66" t="e">
        <f t="shared" si="4"/>
        <v>#DIV/0!</v>
      </c>
      <c r="E102" s="76" t="s">
        <v>153</v>
      </c>
    </row>
    <row r="103" spans="1:25">
      <c r="A103" s="64" t="s">
        <v>134</v>
      </c>
      <c r="B103" s="68">
        <v>147</v>
      </c>
      <c r="C103" s="66" t="e">
        <f t="shared" si="3"/>
        <v>#DIV/0!</v>
      </c>
      <c r="D103" s="66" t="e">
        <f t="shared" si="4"/>
        <v>#DIV/0!</v>
      </c>
      <c r="E103" s="76"/>
    </row>
    <row r="104" spans="1:25">
      <c r="A104" s="64" t="s">
        <v>110</v>
      </c>
      <c r="B104" s="68">
        <v>147</v>
      </c>
      <c r="C104" s="66" t="e">
        <f t="shared" si="3"/>
        <v>#DIV/0!</v>
      </c>
      <c r="D104" s="66" t="e">
        <f t="shared" si="4"/>
        <v>#DIV/0!</v>
      </c>
      <c r="E104" s="76"/>
      <c r="F104" s="62"/>
      <c r="G104" s="62"/>
      <c r="H104" s="62"/>
      <c r="I104" s="62"/>
      <c r="J104" s="62"/>
      <c r="K104" s="62"/>
      <c r="L104" s="62"/>
      <c r="M104" s="62"/>
      <c r="N104" s="62"/>
      <c r="O104" s="62"/>
      <c r="P104" s="62"/>
      <c r="Q104" s="62"/>
      <c r="R104" s="62"/>
      <c r="S104" s="62"/>
      <c r="T104" s="62"/>
      <c r="U104" s="62"/>
      <c r="V104" s="62"/>
      <c r="W104" s="62"/>
      <c r="X104" s="62"/>
      <c r="Y104" s="62"/>
    </row>
    <row r="105" spans="1:25">
      <c r="A105" s="64" t="s">
        <v>112</v>
      </c>
      <c r="B105" s="68">
        <v>147</v>
      </c>
      <c r="C105" s="66" t="e">
        <f t="shared" si="3"/>
        <v>#DIV/0!</v>
      </c>
      <c r="D105" s="66" t="e">
        <f t="shared" si="4"/>
        <v>#DIV/0!</v>
      </c>
      <c r="E105" s="76"/>
      <c r="F105" s="62"/>
      <c r="G105" s="62"/>
      <c r="H105" s="62"/>
      <c r="I105" s="62"/>
      <c r="J105" s="62"/>
      <c r="K105" s="62"/>
      <c r="L105" s="62"/>
      <c r="M105" s="62"/>
      <c r="N105" s="62"/>
      <c r="O105" s="62"/>
      <c r="P105" s="62"/>
      <c r="Q105" s="62"/>
      <c r="R105" s="62"/>
      <c r="S105" s="62"/>
      <c r="T105" s="62"/>
      <c r="U105" s="62"/>
      <c r="V105" s="62"/>
      <c r="W105" s="62"/>
      <c r="X105" s="62"/>
      <c r="Y105" s="62"/>
    </row>
    <row r="106" spans="1:25">
      <c r="A106" s="64"/>
      <c r="B106" s="68">
        <v>147</v>
      </c>
      <c r="C106" s="66" t="e">
        <f t="shared" si="3"/>
        <v>#DIV/0!</v>
      </c>
      <c r="D106" s="66" t="e">
        <f t="shared" si="4"/>
        <v>#DIV/0!</v>
      </c>
      <c r="E106" s="76" t="s">
        <v>154</v>
      </c>
    </row>
    <row r="107" spans="1:25">
      <c r="A107" s="64" t="s">
        <v>135</v>
      </c>
      <c r="B107" s="68">
        <v>147</v>
      </c>
      <c r="C107" s="66" t="e">
        <f t="shared" si="3"/>
        <v>#DIV/0!</v>
      </c>
      <c r="D107" s="66" t="e">
        <f t="shared" si="4"/>
        <v>#DIV/0!</v>
      </c>
      <c r="E107" s="76"/>
    </row>
    <row r="108" spans="1:25">
      <c r="A108" s="64" t="s">
        <v>110</v>
      </c>
      <c r="B108" s="68">
        <v>147</v>
      </c>
      <c r="C108" s="66" t="e">
        <f t="shared" si="3"/>
        <v>#DIV/0!</v>
      </c>
      <c r="D108" s="66" t="e">
        <f t="shared" si="4"/>
        <v>#DIV/0!</v>
      </c>
      <c r="E108" s="76"/>
      <c r="F108" s="62"/>
      <c r="G108" s="62"/>
      <c r="H108" s="62"/>
      <c r="I108" s="62"/>
      <c r="J108" s="62"/>
      <c r="K108" s="62"/>
      <c r="L108" s="62"/>
      <c r="M108" s="62"/>
      <c r="N108" s="62"/>
      <c r="O108" s="62"/>
      <c r="P108" s="62"/>
      <c r="Q108" s="62"/>
      <c r="R108" s="62"/>
      <c r="S108" s="62"/>
      <c r="T108" s="62"/>
      <c r="U108" s="62"/>
      <c r="V108" s="62"/>
      <c r="W108" s="62"/>
      <c r="X108" s="62"/>
      <c r="Y108" s="62"/>
    </row>
    <row r="109" spans="1:25">
      <c r="A109" s="64" t="s">
        <v>112</v>
      </c>
      <c r="B109" s="68">
        <v>147</v>
      </c>
      <c r="C109" s="66" t="e">
        <f t="shared" si="3"/>
        <v>#DIV/0!</v>
      </c>
      <c r="D109" s="66" t="e">
        <f t="shared" si="4"/>
        <v>#DIV/0!</v>
      </c>
      <c r="E109" s="76"/>
      <c r="F109" s="62"/>
      <c r="G109" s="62"/>
      <c r="H109" s="62"/>
      <c r="I109" s="62"/>
      <c r="J109" s="62"/>
      <c r="K109" s="62"/>
      <c r="L109" s="62"/>
      <c r="M109" s="62"/>
      <c r="N109" s="62"/>
      <c r="O109" s="62"/>
      <c r="P109" s="62"/>
      <c r="Q109" s="62"/>
      <c r="R109" s="62"/>
      <c r="S109" s="62"/>
      <c r="T109" s="62"/>
      <c r="U109" s="62"/>
      <c r="V109" s="62"/>
      <c r="W109" s="62"/>
      <c r="X109" s="62"/>
      <c r="Y109" s="62"/>
    </row>
    <row r="110" spans="1:25">
      <c r="A110" s="64" t="s">
        <v>114</v>
      </c>
      <c r="B110" s="68">
        <v>147</v>
      </c>
      <c r="C110" s="66" t="e">
        <f t="shared" si="3"/>
        <v>#DIV/0!</v>
      </c>
      <c r="D110" s="66" t="e">
        <f t="shared" si="4"/>
        <v>#DIV/0!</v>
      </c>
      <c r="E110" s="76"/>
      <c r="F110" s="62"/>
      <c r="G110" s="62"/>
      <c r="H110" s="62"/>
      <c r="I110" s="62"/>
      <c r="J110" s="62"/>
      <c r="K110" s="62"/>
      <c r="L110" s="62"/>
      <c r="M110" s="62"/>
      <c r="N110" s="62"/>
      <c r="O110" s="62"/>
      <c r="P110" s="62"/>
      <c r="Q110" s="62"/>
      <c r="R110" s="62"/>
      <c r="S110" s="62"/>
      <c r="T110" s="62"/>
      <c r="U110" s="62"/>
      <c r="V110" s="62"/>
      <c r="W110" s="62"/>
      <c r="X110" s="62"/>
      <c r="Y110" s="62"/>
    </row>
    <row r="111" spans="1:25">
      <c r="A111" s="64"/>
      <c r="B111" s="68">
        <v>147</v>
      </c>
      <c r="C111" s="66" t="e">
        <f t="shared" si="3"/>
        <v>#DIV/0!</v>
      </c>
      <c r="D111" s="66" t="e">
        <f t="shared" si="4"/>
        <v>#DIV/0!</v>
      </c>
      <c r="E111" s="76" t="s">
        <v>155</v>
      </c>
    </row>
    <row r="114" spans="1:105">
      <c r="E114" s="82" t="s">
        <v>169</v>
      </c>
    </row>
    <row r="115" spans="1:105">
      <c r="A115" s="64"/>
      <c r="B115" s="64" t="s">
        <v>34</v>
      </c>
      <c r="C115" s="64" t="s">
        <v>136</v>
      </c>
      <c r="D115" s="64" t="s">
        <v>53</v>
      </c>
      <c r="E115" s="77" t="s">
        <v>142</v>
      </c>
    </row>
    <row r="116" spans="1:105">
      <c r="A116" s="64" t="s">
        <v>144</v>
      </c>
      <c r="B116" s="68">
        <v>44</v>
      </c>
      <c r="C116" s="66" t="e">
        <f t="shared" ref="C116:C121" si="5">4*PI()*RefinFinal*SIN(RADIANS(B116/2))/(LamnmFinal/10000000)</f>
        <v>#DIV/0!</v>
      </c>
      <c r="D116" s="66" t="e">
        <f>C116^2</f>
        <v>#DIV/0!</v>
      </c>
      <c r="E116">
        <v>1.75041</v>
      </c>
      <c r="F116">
        <f t="shared" ref="F116:I116" si="6">F16</f>
        <v>0</v>
      </c>
      <c r="G116">
        <f t="shared" si="6"/>
        <v>0</v>
      </c>
      <c r="H116">
        <f t="shared" si="6"/>
        <v>0</v>
      </c>
      <c r="I116">
        <f t="shared" si="6"/>
        <v>0</v>
      </c>
      <c r="J116">
        <f t="shared" ref="J116:AC116" si="7">J16</f>
        <v>0</v>
      </c>
      <c r="K116">
        <f t="shared" si="7"/>
        <v>0</v>
      </c>
      <c r="L116">
        <f t="shared" si="7"/>
        <v>0</v>
      </c>
      <c r="M116">
        <f t="shared" si="7"/>
        <v>0</v>
      </c>
      <c r="N116">
        <f t="shared" si="7"/>
        <v>0</v>
      </c>
      <c r="O116">
        <f t="shared" si="7"/>
        <v>0</v>
      </c>
      <c r="P116">
        <f t="shared" si="7"/>
        <v>0</v>
      </c>
      <c r="Q116">
        <f t="shared" si="7"/>
        <v>0</v>
      </c>
      <c r="R116">
        <f t="shared" si="7"/>
        <v>0</v>
      </c>
      <c r="S116">
        <f t="shared" si="7"/>
        <v>0</v>
      </c>
      <c r="T116">
        <f t="shared" si="7"/>
        <v>0</v>
      </c>
      <c r="U116">
        <f t="shared" si="7"/>
        <v>0</v>
      </c>
      <c r="V116">
        <f t="shared" si="7"/>
        <v>0</v>
      </c>
      <c r="W116">
        <f t="shared" si="7"/>
        <v>0</v>
      </c>
      <c r="X116">
        <f t="shared" si="7"/>
        <v>0</v>
      </c>
      <c r="Y116">
        <f t="shared" si="7"/>
        <v>0</v>
      </c>
      <c r="Z116">
        <f t="shared" si="7"/>
        <v>0</v>
      </c>
      <c r="AA116">
        <f t="shared" si="7"/>
        <v>0</v>
      </c>
      <c r="AB116">
        <f t="shared" si="7"/>
        <v>0</v>
      </c>
      <c r="AC116">
        <f t="shared" si="7"/>
        <v>0</v>
      </c>
      <c r="AD116">
        <f>AD16</f>
        <v>0</v>
      </c>
      <c r="AE116">
        <f t="shared" ref="AE116:BW116" si="8">AE16</f>
        <v>0</v>
      </c>
      <c r="AF116">
        <f t="shared" si="8"/>
        <v>0</v>
      </c>
      <c r="AG116">
        <f t="shared" si="8"/>
        <v>0</v>
      </c>
      <c r="AH116">
        <f t="shared" si="8"/>
        <v>0</v>
      </c>
      <c r="AI116">
        <f t="shared" si="8"/>
        <v>0</v>
      </c>
      <c r="AJ116">
        <f t="shared" si="8"/>
        <v>0</v>
      </c>
      <c r="AK116">
        <f t="shared" si="8"/>
        <v>0</v>
      </c>
      <c r="AL116">
        <f t="shared" si="8"/>
        <v>0</v>
      </c>
      <c r="AM116">
        <f t="shared" si="8"/>
        <v>0</v>
      </c>
      <c r="AN116">
        <f t="shared" si="8"/>
        <v>0</v>
      </c>
      <c r="AO116">
        <f t="shared" si="8"/>
        <v>0</v>
      </c>
      <c r="AP116">
        <f t="shared" si="8"/>
        <v>0</v>
      </c>
      <c r="AQ116">
        <f t="shared" si="8"/>
        <v>0</v>
      </c>
      <c r="AR116">
        <f t="shared" si="8"/>
        <v>0</v>
      </c>
      <c r="AS116">
        <f t="shared" si="8"/>
        <v>0</v>
      </c>
      <c r="AT116">
        <f t="shared" si="8"/>
        <v>0</v>
      </c>
      <c r="AU116">
        <f t="shared" si="8"/>
        <v>0</v>
      </c>
      <c r="AV116">
        <f t="shared" si="8"/>
        <v>0</v>
      </c>
      <c r="AW116">
        <f t="shared" si="8"/>
        <v>0</v>
      </c>
      <c r="AX116">
        <f t="shared" si="8"/>
        <v>0</v>
      </c>
      <c r="AY116">
        <f t="shared" si="8"/>
        <v>0</v>
      </c>
      <c r="AZ116">
        <f t="shared" si="8"/>
        <v>0</v>
      </c>
      <c r="BA116">
        <f t="shared" si="8"/>
        <v>0</v>
      </c>
      <c r="BB116">
        <f t="shared" si="8"/>
        <v>0</v>
      </c>
      <c r="BC116">
        <f t="shared" si="8"/>
        <v>0</v>
      </c>
      <c r="BD116">
        <f t="shared" si="8"/>
        <v>0</v>
      </c>
      <c r="BE116">
        <f t="shared" si="8"/>
        <v>0</v>
      </c>
      <c r="BF116">
        <f t="shared" si="8"/>
        <v>0</v>
      </c>
      <c r="BG116">
        <f t="shared" si="8"/>
        <v>0</v>
      </c>
      <c r="BH116">
        <f t="shared" si="8"/>
        <v>0</v>
      </c>
      <c r="BI116">
        <f t="shared" si="8"/>
        <v>0</v>
      </c>
      <c r="BJ116">
        <f t="shared" si="8"/>
        <v>0</v>
      </c>
      <c r="BK116">
        <f t="shared" si="8"/>
        <v>0</v>
      </c>
      <c r="BL116">
        <f t="shared" si="8"/>
        <v>0</v>
      </c>
      <c r="BM116">
        <f t="shared" si="8"/>
        <v>0</v>
      </c>
      <c r="BN116">
        <f t="shared" si="8"/>
        <v>0</v>
      </c>
      <c r="BO116">
        <f t="shared" si="8"/>
        <v>0</v>
      </c>
      <c r="BP116">
        <f t="shared" si="8"/>
        <v>0</v>
      </c>
      <c r="BQ116">
        <f t="shared" si="8"/>
        <v>0</v>
      </c>
      <c r="BR116">
        <f t="shared" si="8"/>
        <v>0</v>
      </c>
      <c r="BS116">
        <f t="shared" si="8"/>
        <v>0</v>
      </c>
      <c r="BT116">
        <f t="shared" si="8"/>
        <v>0</v>
      </c>
      <c r="BU116">
        <f t="shared" si="8"/>
        <v>0</v>
      </c>
      <c r="BV116">
        <f t="shared" si="8"/>
        <v>0</v>
      </c>
      <c r="BW116">
        <f t="shared" si="8"/>
        <v>0</v>
      </c>
      <c r="BX116">
        <f t="shared" ref="BX116:CR116" si="9">BX16</f>
        <v>0</v>
      </c>
      <c r="BY116">
        <f t="shared" si="9"/>
        <v>0</v>
      </c>
      <c r="BZ116">
        <f t="shared" si="9"/>
        <v>0</v>
      </c>
      <c r="CA116">
        <f t="shared" si="9"/>
        <v>0</v>
      </c>
      <c r="CB116">
        <f t="shared" si="9"/>
        <v>0</v>
      </c>
      <c r="CC116">
        <f t="shared" si="9"/>
        <v>0</v>
      </c>
      <c r="CD116">
        <f t="shared" si="9"/>
        <v>0</v>
      </c>
      <c r="CE116">
        <f t="shared" si="9"/>
        <v>0</v>
      </c>
      <c r="CF116">
        <f t="shared" si="9"/>
        <v>0</v>
      </c>
      <c r="CG116">
        <f t="shared" si="9"/>
        <v>0</v>
      </c>
      <c r="CH116">
        <f t="shared" si="9"/>
        <v>0</v>
      </c>
      <c r="CI116">
        <f t="shared" si="9"/>
        <v>0</v>
      </c>
      <c r="CJ116">
        <f t="shared" si="9"/>
        <v>0</v>
      </c>
      <c r="CK116">
        <f t="shared" si="9"/>
        <v>0</v>
      </c>
      <c r="CL116">
        <f t="shared" si="9"/>
        <v>0</v>
      </c>
      <c r="CM116">
        <f t="shared" si="9"/>
        <v>0</v>
      </c>
      <c r="CN116">
        <f t="shared" si="9"/>
        <v>0</v>
      </c>
      <c r="CO116">
        <f t="shared" si="9"/>
        <v>0</v>
      </c>
      <c r="CP116">
        <f t="shared" si="9"/>
        <v>0</v>
      </c>
      <c r="CQ116">
        <f t="shared" si="9"/>
        <v>0</v>
      </c>
      <c r="CR116">
        <f t="shared" si="9"/>
        <v>0</v>
      </c>
      <c r="CS116">
        <f>CS16</f>
        <v>0</v>
      </c>
      <c r="CT116">
        <f t="shared" ref="CT116:CZ116" si="10">CT16</f>
        <v>0</v>
      </c>
      <c r="CU116">
        <f t="shared" si="10"/>
        <v>0</v>
      </c>
      <c r="CV116">
        <f t="shared" si="10"/>
        <v>0</v>
      </c>
      <c r="CW116">
        <f t="shared" si="10"/>
        <v>0</v>
      </c>
      <c r="CX116">
        <f t="shared" si="10"/>
        <v>0</v>
      </c>
      <c r="CY116">
        <f t="shared" si="10"/>
        <v>0</v>
      </c>
      <c r="CZ116">
        <f t="shared" si="10"/>
        <v>0</v>
      </c>
      <c r="DA116">
        <f>DA16</f>
        <v>0</v>
      </c>
    </row>
    <row r="117" spans="1:105">
      <c r="A117" s="64" t="s">
        <v>146</v>
      </c>
      <c r="B117" s="68">
        <v>50</v>
      </c>
      <c r="C117" s="66" t="e">
        <f t="shared" si="5"/>
        <v>#DIV/0!</v>
      </c>
      <c r="D117" s="66" t="e">
        <f t="shared" ref="D117:D120" si="11">C117^2</f>
        <v>#DIV/0!</v>
      </c>
      <c r="E117">
        <v>1.6761900000000001</v>
      </c>
      <c r="F117">
        <f t="shared" ref="F117:I117" si="12">F28</f>
        <v>0</v>
      </c>
      <c r="G117">
        <f t="shared" si="12"/>
        <v>0</v>
      </c>
      <c r="H117">
        <f t="shared" si="12"/>
        <v>0</v>
      </c>
      <c r="I117">
        <f t="shared" si="12"/>
        <v>0</v>
      </c>
      <c r="J117">
        <f t="shared" ref="J117:AC117" si="13">J28</f>
        <v>0</v>
      </c>
      <c r="K117">
        <f t="shared" si="13"/>
        <v>0</v>
      </c>
      <c r="L117">
        <f t="shared" si="13"/>
        <v>0</v>
      </c>
      <c r="M117">
        <f t="shared" si="13"/>
        <v>0</v>
      </c>
      <c r="N117">
        <f t="shared" si="13"/>
        <v>0</v>
      </c>
      <c r="O117">
        <f t="shared" si="13"/>
        <v>0</v>
      </c>
      <c r="P117">
        <f t="shared" si="13"/>
        <v>0</v>
      </c>
      <c r="Q117">
        <f t="shared" si="13"/>
        <v>0</v>
      </c>
      <c r="R117">
        <f t="shared" si="13"/>
        <v>0</v>
      </c>
      <c r="S117">
        <f t="shared" si="13"/>
        <v>0</v>
      </c>
      <c r="T117">
        <f t="shared" si="13"/>
        <v>0</v>
      </c>
      <c r="U117">
        <f t="shared" si="13"/>
        <v>0</v>
      </c>
      <c r="V117">
        <f t="shared" si="13"/>
        <v>0</v>
      </c>
      <c r="W117">
        <f t="shared" si="13"/>
        <v>0</v>
      </c>
      <c r="X117">
        <f t="shared" si="13"/>
        <v>0</v>
      </c>
      <c r="Y117">
        <f t="shared" si="13"/>
        <v>0</v>
      </c>
      <c r="Z117">
        <f t="shared" si="13"/>
        <v>0</v>
      </c>
      <c r="AA117">
        <f t="shared" si="13"/>
        <v>0</v>
      </c>
      <c r="AB117">
        <f t="shared" si="13"/>
        <v>0</v>
      </c>
      <c r="AC117">
        <f t="shared" si="13"/>
        <v>0</v>
      </c>
      <c r="AD117">
        <f>AD28</f>
        <v>0</v>
      </c>
      <c r="AE117">
        <f t="shared" ref="AE117:BW117" si="14">AE28</f>
        <v>0</v>
      </c>
      <c r="AF117">
        <f t="shared" si="14"/>
        <v>0</v>
      </c>
      <c r="AG117">
        <f t="shared" si="14"/>
        <v>0</v>
      </c>
      <c r="AH117">
        <f t="shared" si="14"/>
        <v>0</v>
      </c>
      <c r="AI117">
        <f t="shared" si="14"/>
        <v>0</v>
      </c>
      <c r="AJ117">
        <f t="shared" si="14"/>
        <v>0</v>
      </c>
      <c r="AK117">
        <f t="shared" si="14"/>
        <v>0</v>
      </c>
      <c r="AL117">
        <f t="shared" si="14"/>
        <v>0</v>
      </c>
      <c r="AM117">
        <f t="shared" si="14"/>
        <v>0</v>
      </c>
      <c r="AN117">
        <f t="shared" si="14"/>
        <v>0</v>
      </c>
      <c r="AO117">
        <f t="shared" si="14"/>
        <v>0</v>
      </c>
      <c r="AP117">
        <f t="shared" si="14"/>
        <v>0</v>
      </c>
      <c r="AQ117">
        <f t="shared" si="14"/>
        <v>0</v>
      </c>
      <c r="AR117">
        <f t="shared" si="14"/>
        <v>0</v>
      </c>
      <c r="AS117">
        <f t="shared" si="14"/>
        <v>0</v>
      </c>
      <c r="AT117">
        <f t="shared" si="14"/>
        <v>0</v>
      </c>
      <c r="AU117">
        <f t="shared" si="14"/>
        <v>0</v>
      </c>
      <c r="AV117">
        <f t="shared" si="14"/>
        <v>0</v>
      </c>
      <c r="AW117">
        <f t="shared" si="14"/>
        <v>0</v>
      </c>
      <c r="AX117">
        <f t="shared" si="14"/>
        <v>0</v>
      </c>
      <c r="AY117">
        <f t="shared" si="14"/>
        <v>0</v>
      </c>
      <c r="AZ117">
        <f t="shared" si="14"/>
        <v>0</v>
      </c>
      <c r="BA117">
        <f t="shared" si="14"/>
        <v>0</v>
      </c>
      <c r="BB117">
        <f t="shared" si="14"/>
        <v>0</v>
      </c>
      <c r="BC117">
        <f t="shared" si="14"/>
        <v>0</v>
      </c>
      <c r="BD117">
        <f t="shared" si="14"/>
        <v>0</v>
      </c>
      <c r="BE117">
        <f t="shared" si="14"/>
        <v>0</v>
      </c>
      <c r="BF117">
        <f t="shared" si="14"/>
        <v>0</v>
      </c>
      <c r="BG117">
        <f t="shared" si="14"/>
        <v>0</v>
      </c>
      <c r="BH117">
        <f t="shared" si="14"/>
        <v>0</v>
      </c>
      <c r="BI117">
        <f t="shared" si="14"/>
        <v>0</v>
      </c>
      <c r="BJ117">
        <f t="shared" si="14"/>
        <v>0</v>
      </c>
      <c r="BK117">
        <f t="shared" si="14"/>
        <v>0</v>
      </c>
      <c r="BL117">
        <f t="shared" si="14"/>
        <v>0</v>
      </c>
      <c r="BM117">
        <f t="shared" si="14"/>
        <v>0</v>
      </c>
      <c r="BN117">
        <f t="shared" si="14"/>
        <v>0</v>
      </c>
      <c r="BO117">
        <f t="shared" si="14"/>
        <v>0</v>
      </c>
      <c r="BP117">
        <f t="shared" si="14"/>
        <v>0</v>
      </c>
      <c r="BQ117">
        <f t="shared" si="14"/>
        <v>0</v>
      </c>
      <c r="BR117">
        <f t="shared" si="14"/>
        <v>0</v>
      </c>
      <c r="BS117">
        <f t="shared" si="14"/>
        <v>0</v>
      </c>
      <c r="BT117">
        <f t="shared" si="14"/>
        <v>0</v>
      </c>
      <c r="BU117">
        <f t="shared" si="14"/>
        <v>0</v>
      </c>
      <c r="BV117">
        <f t="shared" si="14"/>
        <v>0</v>
      </c>
      <c r="BW117">
        <f t="shared" si="14"/>
        <v>0</v>
      </c>
      <c r="BX117">
        <f t="shared" ref="BX117:CR117" si="15">BX28</f>
        <v>0</v>
      </c>
      <c r="BY117">
        <f t="shared" si="15"/>
        <v>0</v>
      </c>
      <c r="BZ117">
        <f t="shared" si="15"/>
        <v>0</v>
      </c>
      <c r="CA117">
        <f t="shared" si="15"/>
        <v>0</v>
      </c>
      <c r="CB117">
        <f t="shared" si="15"/>
        <v>0</v>
      </c>
      <c r="CC117">
        <f t="shared" si="15"/>
        <v>0</v>
      </c>
      <c r="CD117">
        <f t="shared" si="15"/>
        <v>0</v>
      </c>
      <c r="CE117">
        <f t="shared" si="15"/>
        <v>0</v>
      </c>
      <c r="CF117">
        <f t="shared" si="15"/>
        <v>0</v>
      </c>
      <c r="CG117">
        <f t="shared" si="15"/>
        <v>0</v>
      </c>
      <c r="CH117">
        <f t="shared" si="15"/>
        <v>0</v>
      </c>
      <c r="CI117">
        <f t="shared" si="15"/>
        <v>0</v>
      </c>
      <c r="CJ117">
        <f t="shared" si="15"/>
        <v>0</v>
      </c>
      <c r="CK117">
        <f t="shared" si="15"/>
        <v>0</v>
      </c>
      <c r="CL117">
        <f t="shared" si="15"/>
        <v>0</v>
      </c>
      <c r="CM117">
        <f t="shared" si="15"/>
        <v>0</v>
      </c>
      <c r="CN117">
        <f t="shared" si="15"/>
        <v>0</v>
      </c>
      <c r="CO117">
        <f t="shared" si="15"/>
        <v>0</v>
      </c>
      <c r="CP117">
        <f t="shared" si="15"/>
        <v>0</v>
      </c>
      <c r="CQ117">
        <f t="shared" si="15"/>
        <v>0</v>
      </c>
      <c r="CR117">
        <f t="shared" si="15"/>
        <v>0</v>
      </c>
      <c r="CS117">
        <f>CS28</f>
        <v>0</v>
      </c>
      <c r="CT117">
        <f t="shared" ref="CT117:CZ117" si="16">CT28</f>
        <v>0</v>
      </c>
      <c r="CU117">
        <f t="shared" si="16"/>
        <v>0</v>
      </c>
      <c r="CV117">
        <f t="shared" si="16"/>
        <v>0</v>
      </c>
      <c r="CW117">
        <f t="shared" si="16"/>
        <v>0</v>
      </c>
      <c r="CX117">
        <f t="shared" si="16"/>
        <v>0</v>
      </c>
      <c r="CY117">
        <f t="shared" si="16"/>
        <v>0</v>
      </c>
      <c r="CZ117">
        <f t="shared" si="16"/>
        <v>0</v>
      </c>
      <c r="DA117">
        <f>DA28</f>
        <v>0</v>
      </c>
    </row>
    <row r="118" spans="1:105">
      <c r="A118" s="64" t="s">
        <v>145</v>
      </c>
      <c r="B118" s="68">
        <v>64</v>
      </c>
      <c r="C118" s="66" t="e">
        <f t="shared" si="5"/>
        <v>#DIV/0!</v>
      </c>
      <c r="D118" s="66" t="e">
        <f t="shared" si="11"/>
        <v>#DIV/0!</v>
      </c>
      <c r="E118">
        <v>2.8715999999999999</v>
      </c>
      <c r="F118">
        <f t="shared" ref="F118:I118" si="17">F40</f>
        <v>0</v>
      </c>
      <c r="G118">
        <f t="shared" si="17"/>
        <v>0</v>
      </c>
      <c r="H118">
        <f t="shared" si="17"/>
        <v>0</v>
      </c>
      <c r="I118">
        <f t="shared" si="17"/>
        <v>0</v>
      </c>
      <c r="J118">
        <f t="shared" ref="J118:AC118" si="18">J40</f>
        <v>0</v>
      </c>
      <c r="K118">
        <f t="shared" si="18"/>
        <v>0</v>
      </c>
      <c r="L118">
        <f t="shared" si="18"/>
        <v>0</v>
      </c>
      <c r="M118">
        <f t="shared" si="18"/>
        <v>0</v>
      </c>
      <c r="N118">
        <f t="shared" si="18"/>
        <v>0</v>
      </c>
      <c r="O118">
        <f t="shared" si="18"/>
        <v>0</v>
      </c>
      <c r="P118">
        <f t="shared" si="18"/>
        <v>0</v>
      </c>
      <c r="Q118">
        <f t="shared" si="18"/>
        <v>0</v>
      </c>
      <c r="R118">
        <f t="shared" si="18"/>
        <v>0</v>
      </c>
      <c r="S118">
        <f t="shared" si="18"/>
        <v>0</v>
      </c>
      <c r="T118">
        <f t="shared" si="18"/>
        <v>0</v>
      </c>
      <c r="U118">
        <f t="shared" si="18"/>
        <v>0</v>
      </c>
      <c r="V118">
        <f t="shared" si="18"/>
        <v>0</v>
      </c>
      <c r="W118">
        <f t="shared" si="18"/>
        <v>0</v>
      </c>
      <c r="X118">
        <f t="shared" si="18"/>
        <v>0</v>
      </c>
      <c r="Y118">
        <f t="shared" si="18"/>
        <v>0</v>
      </c>
      <c r="Z118">
        <f t="shared" si="18"/>
        <v>0</v>
      </c>
      <c r="AA118">
        <f t="shared" si="18"/>
        <v>0</v>
      </c>
      <c r="AB118">
        <f t="shared" si="18"/>
        <v>0</v>
      </c>
      <c r="AC118">
        <f t="shared" si="18"/>
        <v>0</v>
      </c>
      <c r="AD118">
        <f>AD40</f>
        <v>0</v>
      </c>
      <c r="AE118">
        <f t="shared" ref="AE118:BW118" si="19">AE40</f>
        <v>0</v>
      </c>
      <c r="AF118">
        <f t="shared" si="19"/>
        <v>0</v>
      </c>
      <c r="AG118">
        <f t="shared" si="19"/>
        <v>0</v>
      </c>
      <c r="AH118">
        <f t="shared" si="19"/>
        <v>0</v>
      </c>
      <c r="AI118">
        <f t="shared" si="19"/>
        <v>0</v>
      </c>
      <c r="AJ118">
        <f t="shared" si="19"/>
        <v>0</v>
      </c>
      <c r="AK118">
        <f t="shared" si="19"/>
        <v>0</v>
      </c>
      <c r="AL118">
        <f t="shared" si="19"/>
        <v>0</v>
      </c>
      <c r="AM118">
        <f t="shared" si="19"/>
        <v>0</v>
      </c>
      <c r="AN118">
        <f t="shared" si="19"/>
        <v>0</v>
      </c>
      <c r="AO118">
        <f t="shared" si="19"/>
        <v>0</v>
      </c>
      <c r="AP118">
        <f t="shared" si="19"/>
        <v>0</v>
      </c>
      <c r="AQ118">
        <f t="shared" si="19"/>
        <v>0</v>
      </c>
      <c r="AR118">
        <f t="shared" si="19"/>
        <v>0</v>
      </c>
      <c r="AS118">
        <f t="shared" si="19"/>
        <v>0</v>
      </c>
      <c r="AT118">
        <f t="shared" si="19"/>
        <v>0</v>
      </c>
      <c r="AU118">
        <f t="shared" si="19"/>
        <v>0</v>
      </c>
      <c r="AV118">
        <f t="shared" si="19"/>
        <v>0</v>
      </c>
      <c r="AW118">
        <f t="shared" si="19"/>
        <v>0</v>
      </c>
      <c r="AX118">
        <f t="shared" si="19"/>
        <v>0</v>
      </c>
      <c r="AY118">
        <f t="shared" si="19"/>
        <v>0</v>
      </c>
      <c r="AZ118">
        <f t="shared" si="19"/>
        <v>0</v>
      </c>
      <c r="BA118">
        <f t="shared" si="19"/>
        <v>0</v>
      </c>
      <c r="BB118">
        <f t="shared" si="19"/>
        <v>0</v>
      </c>
      <c r="BC118">
        <f t="shared" si="19"/>
        <v>0</v>
      </c>
      <c r="BD118">
        <f t="shared" si="19"/>
        <v>0</v>
      </c>
      <c r="BE118">
        <f t="shared" si="19"/>
        <v>0</v>
      </c>
      <c r="BF118">
        <f t="shared" si="19"/>
        <v>0</v>
      </c>
      <c r="BG118">
        <f t="shared" si="19"/>
        <v>0</v>
      </c>
      <c r="BH118">
        <f t="shared" si="19"/>
        <v>0</v>
      </c>
      <c r="BI118">
        <f t="shared" si="19"/>
        <v>0</v>
      </c>
      <c r="BJ118">
        <f t="shared" si="19"/>
        <v>0</v>
      </c>
      <c r="BK118">
        <f t="shared" si="19"/>
        <v>0</v>
      </c>
      <c r="BL118">
        <f t="shared" si="19"/>
        <v>0</v>
      </c>
      <c r="BM118">
        <f t="shared" si="19"/>
        <v>0</v>
      </c>
      <c r="BN118">
        <f t="shared" si="19"/>
        <v>0</v>
      </c>
      <c r="BO118">
        <f t="shared" si="19"/>
        <v>0</v>
      </c>
      <c r="BP118">
        <f t="shared" si="19"/>
        <v>0</v>
      </c>
      <c r="BQ118">
        <f t="shared" si="19"/>
        <v>0</v>
      </c>
      <c r="BR118">
        <f t="shared" si="19"/>
        <v>0</v>
      </c>
      <c r="BS118">
        <f t="shared" si="19"/>
        <v>0</v>
      </c>
      <c r="BT118">
        <f t="shared" si="19"/>
        <v>0</v>
      </c>
      <c r="BU118">
        <f t="shared" si="19"/>
        <v>0</v>
      </c>
      <c r="BV118">
        <f t="shared" si="19"/>
        <v>0</v>
      </c>
      <c r="BW118">
        <f t="shared" si="19"/>
        <v>0</v>
      </c>
      <c r="BX118">
        <f t="shared" ref="BX118:CR118" si="20">BX40</f>
        <v>0</v>
      </c>
      <c r="BY118">
        <f t="shared" si="20"/>
        <v>0</v>
      </c>
      <c r="BZ118">
        <f t="shared" si="20"/>
        <v>0</v>
      </c>
      <c r="CA118">
        <f t="shared" si="20"/>
        <v>0</v>
      </c>
      <c r="CB118">
        <f t="shared" si="20"/>
        <v>0</v>
      </c>
      <c r="CC118">
        <f t="shared" si="20"/>
        <v>0</v>
      </c>
      <c r="CD118">
        <f t="shared" si="20"/>
        <v>0</v>
      </c>
      <c r="CE118">
        <f t="shared" si="20"/>
        <v>0</v>
      </c>
      <c r="CF118">
        <f t="shared" si="20"/>
        <v>0</v>
      </c>
      <c r="CG118">
        <f t="shared" si="20"/>
        <v>0</v>
      </c>
      <c r="CH118">
        <f t="shared" si="20"/>
        <v>0</v>
      </c>
      <c r="CI118">
        <f t="shared" si="20"/>
        <v>0</v>
      </c>
      <c r="CJ118">
        <f t="shared" si="20"/>
        <v>0</v>
      </c>
      <c r="CK118">
        <f t="shared" si="20"/>
        <v>0</v>
      </c>
      <c r="CL118">
        <f t="shared" si="20"/>
        <v>0</v>
      </c>
      <c r="CM118">
        <f t="shared" si="20"/>
        <v>0</v>
      </c>
      <c r="CN118">
        <f t="shared" si="20"/>
        <v>0</v>
      </c>
      <c r="CO118">
        <f t="shared" si="20"/>
        <v>0</v>
      </c>
      <c r="CP118">
        <f t="shared" si="20"/>
        <v>0</v>
      </c>
      <c r="CQ118">
        <f t="shared" si="20"/>
        <v>0</v>
      </c>
      <c r="CR118">
        <f t="shared" si="20"/>
        <v>0</v>
      </c>
      <c r="CS118">
        <f>CS40</f>
        <v>0</v>
      </c>
      <c r="CT118">
        <f t="shared" ref="CT118:CZ118" si="21">CT40</f>
        <v>0</v>
      </c>
      <c r="CU118">
        <f t="shared" si="21"/>
        <v>0</v>
      </c>
      <c r="CV118">
        <f t="shared" si="21"/>
        <v>0</v>
      </c>
      <c r="CW118">
        <f t="shared" si="21"/>
        <v>0</v>
      </c>
      <c r="CX118">
        <f t="shared" si="21"/>
        <v>0</v>
      </c>
      <c r="CY118">
        <f t="shared" si="21"/>
        <v>0</v>
      </c>
      <c r="CZ118">
        <f t="shared" si="21"/>
        <v>0</v>
      </c>
      <c r="DA118">
        <f>DA40</f>
        <v>0</v>
      </c>
    </row>
    <row r="119" spans="1:105">
      <c r="A119" s="64" t="s">
        <v>148</v>
      </c>
      <c r="B119" s="68">
        <v>81</v>
      </c>
      <c r="C119" s="66" t="e">
        <f t="shared" si="5"/>
        <v>#DIV/0!</v>
      </c>
      <c r="D119" s="66" t="e">
        <f t="shared" si="11"/>
        <v>#DIV/0!</v>
      </c>
      <c r="E119">
        <v>1.5945</v>
      </c>
      <c r="F119">
        <f t="shared" ref="F119:I119" si="22">F52</f>
        <v>0</v>
      </c>
      <c r="G119">
        <f t="shared" si="22"/>
        <v>0</v>
      </c>
      <c r="H119">
        <f t="shared" si="22"/>
        <v>0</v>
      </c>
      <c r="I119">
        <f t="shared" si="22"/>
        <v>0</v>
      </c>
      <c r="J119">
        <f t="shared" ref="J119:AC119" si="23">J52</f>
        <v>0</v>
      </c>
      <c r="K119">
        <f t="shared" si="23"/>
        <v>0</v>
      </c>
      <c r="L119">
        <f t="shared" si="23"/>
        <v>0</v>
      </c>
      <c r="M119">
        <f t="shared" si="23"/>
        <v>0</v>
      </c>
      <c r="N119">
        <f t="shared" si="23"/>
        <v>0</v>
      </c>
      <c r="O119">
        <f t="shared" si="23"/>
        <v>0</v>
      </c>
      <c r="P119">
        <f t="shared" si="23"/>
        <v>0</v>
      </c>
      <c r="Q119">
        <f t="shared" si="23"/>
        <v>0</v>
      </c>
      <c r="R119">
        <f t="shared" si="23"/>
        <v>0</v>
      </c>
      <c r="S119">
        <f t="shared" si="23"/>
        <v>0</v>
      </c>
      <c r="T119">
        <f t="shared" si="23"/>
        <v>0</v>
      </c>
      <c r="U119">
        <f t="shared" si="23"/>
        <v>0</v>
      </c>
      <c r="V119">
        <f t="shared" si="23"/>
        <v>0</v>
      </c>
      <c r="W119">
        <f t="shared" si="23"/>
        <v>0</v>
      </c>
      <c r="X119">
        <f t="shared" si="23"/>
        <v>0</v>
      </c>
      <c r="Y119">
        <f t="shared" si="23"/>
        <v>0</v>
      </c>
      <c r="Z119">
        <f t="shared" si="23"/>
        <v>0</v>
      </c>
      <c r="AA119">
        <f t="shared" si="23"/>
        <v>0</v>
      </c>
      <c r="AB119">
        <f t="shared" si="23"/>
        <v>0</v>
      </c>
      <c r="AC119">
        <f t="shared" si="23"/>
        <v>0</v>
      </c>
      <c r="AD119">
        <f>AD52</f>
        <v>0</v>
      </c>
      <c r="AE119">
        <f t="shared" ref="AE119:BW119" si="24">AE52</f>
        <v>0</v>
      </c>
      <c r="AF119">
        <f t="shared" si="24"/>
        <v>0</v>
      </c>
      <c r="AG119">
        <f t="shared" si="24"/>
        <v>0</v>
      </c>
      <c r="AH119">
        <f t="shared" si="24"/>
        <v>0</v>
      </c>
      <c r="AI119">
        <f t="shared" si="24"/>
        <v>0</v>
      </c>
      <c r="AJ119">
        <f t="shared" si="24"/>
        <v>0</v>
      </c>
      <c r="AK119">
        <f t="shared" si="24"/>
        <v>0</v>
      </c>
      <c r="AL119">
        <f t="shared" si="24"/>
        <v>0</v>
      </c>
      <c r="AM119">
        <f t="shared" si="24"/>
        <v>0</v>
      </c>
      <c r="AN119">
        <f t="shared" si="24"/>
        <v>0</v>
      </c>
      <c r="AO119">
        <f t="shared" si="24"/>
        <v>0</v>
      </c>
      <c r="AP119">
        <f t="shared" si="24"/>
        <v>0</v>
      </c>
      <c r="AQ119">
        <f t="shared" si="24"/>
        <v>0</v>
      </c>
      <c r="AR119">
        <f t="shared" si="24"/>
        <v>0</v>
      </c>
      <c r="AS119">
        <f t="shared" si="24"/>
        <v>0</v>
      </c>
      <c r="AT119">
        <f t="shared" si="24"/>
        <v>0</v>
      </c>
      <c r="AU119">
        <f t="shared" si="24"/>
        <v>0</v>
      </c>
      <c r="AV119">
        <f t="shared" si="24"/>
        <v>0</v>
      </c>
      <c r="AW119">
        <f t="shared" si="24"/>
        <v>0</v>
      </c>
      <c r="AX119">
        <f t="shared" si="24"/>
        <v>0</v>
      </c>
      <c r="AY119">
        <f t="shared" si="24"/>
        <v>0</v>
      </c>
      <c r="AZ119">
        <f t="shared" si="24"/>
        <v>0</v>
      </c>
      <c r="BA119">
        <f t="shared" si="24"/>
        <v>0</v>
      </c>
      <c r="BB119">
        <f t="shared" si="24"/>
        <v>0</v>
      </c>
      <c r="BC119">
        <f t="shared" si="24"/>
        <v>0</v>
      </c>
      <c r="BD119">
        <f t="shared" si="24"/>
        <v>0</v>
      </c>
      <c r="BE119">
        <f t="shared" si="24"/>
        <v>0</v>
      </c>
      <c r="BF119">
        <f t="shared" si="24"/>
        <v>0</v>
      </c>
      <c r="BG119">
        <f t="shared" si="24"/>
        <v>0</v>
      </c>
      <c r="BH119">
        <f t="shared" si="24"/>
        <v>0</v>
      </c>
      <c r="BI119">
        <f t="shared" si="24"/>
        <v>0</v>
      </c>
      <c r="BJ119">
        <f t="shared" si="24"/>
        <v>0</v>
      </c>
      <c r="BK119">
        <f t="shared" si="24"/>
        <v>0</v>
      </c>
      <c r="BL119">
        <f t="shared" si="24"/>
        <v>0</v>
      </c>
      <c r="BM119">
        <f t="shared" si="24"/>
        <v>0</v>
      </c>
      <c r="BN119">
        <f t="shared" si="24"/>
        <v>0</v>
      </c>
      <c r="BO119">
        <f t="shared" si="24"/>
        <v>0</v>
      </c>
      <c r="BP119">
        <f t="shared" si="24"/>
        <v>0</v>
      </c>
      <c r="BQ119">
        <f t="shared" si="24"/>
        <v>0</v>
      </c>
      <c r="BR119">
        <f t="shared" si="24"/>
        <v>0</v>
      </c>
      <c r="BS119">
        <f t="shared" si="24"/>
        <v>0</v>
      </c>
      <c r="BT119">
        <f t="shared" si="24"/>
        <v>0</v>
      </c>
      <c r="BU119">
        <f t="shared" si="24"/>
        <v>0</v>
      </c>
      <c r="BV119">
        <f t="shared" si="24"/>
        <v>0</v>
      </c>
      <c r="BW119">
        <f t="shared" si="24"/>
        <v>0</v>
      </c>
      <c r="BX119">
        <f t="shared" ref="BX119:CR119" si="25">BX52</f>
        <v>0</v>
      </c>
      <c r="BY119">
        <f t="shared" si="25"/>
        <v>0</v>
      </c>
      <c r="BZ119">
        <f t="shared" si="25"/>
        <v>0</v>
      </c>
      <c r="CA119">
        <f t="shared" si="25"/>
        <v>0</v>
      </c>
      <c r="CB119">
        <f t="shared" si="25"/>
        <v>0</v>
      </c>
      <c r="CC119">
        <f t="shared" si="25"/>
        <v>0</v>
      </c>
      <c r="CD119">
        <f t="shared" si="25"/>
        <v>0</v>
      </c>
      <c r="CE119">
        <f t="shared" si="25"/>
        <v>0</v>
      </c>
      <c r="CF119">
        <f t="shared" si="25"/>
        <v>0</v>
      </c>
      <c r="CG119">
        <f t="shared" si="25"/>
        <v>0</v>
      </c>
      <c r="CH119">
        <f t="shared" si="25"/>
        <v>0</v>
      </c>
      <c r="CI119">
        <f t="shared" si="25"/>
        <v>0</v>
      </c>
      <c r="CJ119">
        <f t="shared" si="25"/>
        <v>0</v>
      </c>
      <c r="CK119">
        <f t="shared" si="25"/>
        <v>0</v>
      </c>
      <c r="CL119">
        <f t="shared" si="25"/>
        <v>0</v>
      </c>
      <c r="CM119">
        <f t="shared" si="25"/>
        <v>0</v>
      </c>
      <c r="CN119">
        <f t="shared" si="25"/>
        <v>0</v>
      </c>
      <c r="CO119">
        <f t="shared" si="25"/>
        <v>0</v>
      </c>
      <c r="CP119">
        <f t="shared" si="25"/>
        <v>0</v>
      </c>
      <c r="CQ119">
        <f t="shared" si="25"/>
        <v>0</v>
      </c>
      <c r="CR119">
        <f t="shared" si="25"/>
        <v>0</v>
      </c>
      <c r="CS119">
        <f>CS52</f>
        <v>0</v>
      </c>
      <c r="CT119">
        <f t="shared" ref="CT119:CZ119" si="26">CT52</f>
        <v>0</v>
      </c>
      <c r="CU119">
        <f t="shared" si="26"/>
        <v>0</v>
      </c>
      <c r="CV119">
        <f t="shared" si="26"/>
        <v>0</v>
      </c>
      <c r="CW119">
        <f t="shared" si="26"/>
        <v>0</v>
      </c>
      <c r="CX119">
        <f t="shared" si="26"/>
        <v>0</v>
      </c>
      <c r="CY119">
        <f t="shared" si="26"/>
        <v>0</v>
      </c>
      <c r="CZ119">
        <f t="shared" si="26"/>
        <v>0</v>
      </c>
      <c r="DA119">
        <f>DA52</f>
        <v>0</v>
      </c>
    </row>
    <row r="120" spans="1:105">
      <c r="A120" s="64" t="s">
        <v>149</v>
      </c>
      <c r="B120" s="68">
        <v>99</v>
      </c>
      <c r="C120" s="66" t="e">
        <f t="shared" si="5"/>
        <v>#DIV/0!</v>
      </c>
      <c r="D120" s="66" t="e">
        <f t="shared" si="11"/>
        <v>#DIV/0!</v>
      </c>
      <c r="E120">
        <v>0.86514999999999997</v>
      </c>
      <c r="F120">
        <f t="shared" ref="F120:I120" si="27">F64</f>
        <v>0</v>
      </c>
      <c r="G120">
        <f t="shared" si="27"/>
        <v>0</v>
      </c>
      <c r="H120">
        <f t="shared" si="27"/>
        <v>0</v>
      </c>
      <c r="I120">
        <f t="shared" si="27"/>
        <v>0</v>
      </c>
      <c r="J120">
        <f t="shared" ref="J120:AC120" si="28">J64</f>
        <v>0</v>
      </c>
      <c r="K120">
        <f t="shared" si="28"/>
        <v>0</v>
      </c>
      <c r="L120">
        <f t="shared" si="28"/>
        <v>0</v>
      </c>
      <c r="M120">
        <f t="shared" si="28"/>
        <v>0</v>
      </c>
      <c r="N120">
        <f t="shared" si="28"/>
        <v>0</v>
      </c>
      <c r="O120">
        <f t="shared" si="28"/>
        <v>0</v>
      </c>
      <c r="P120">
        <f t="shared" si="28"/>
        <v>0</v>
      </c>
      <c r="Q120">
        <f t="shared" si="28"/>
        <v>0</v>
      </c>
      <c r="R120">
        <f t="shared" si="28"/>
        <v>0</v>
      </c>
      <c r="S120">
        <f t="shared" si="28"/>
        <v>0</v>
      </c>
      <c r="T120">
        <f t="shared" si="28"/>
        <v>0</v>
      </c>
      <c r="U120">
        <f t="shared" si="28"/>
        <v>0</v>
      </c>
      <c r="V120">
        <f t="shared" si="28"/>
        <v>0</v>
      </c>
      <c r="W120">
        <f t="shared" si="28"/>
        <v>0</v>
      </c>
      <c r="X120">
        <f t="shared" si="28"/>
        <v>0</v>
      </c>
      <c r="Y120">
        <f t="shared" si="28"/>
        <v>0</v>
      </c>
      <c r="Z120">
        <f t="shared" si="28"/>
        <v>0</v>
      </c>
      <c r="AA120">
        <f t="shared" si="28"/>
        <v>0</v>
      </c>
      <c r="AB120">
        <f t="shared" si="28"/>
        <v>0</v>
      </c>
      <c r="AC120">
        <f t="shared" si="28"/>
        <v>0</v>
      </c>
      <c r="AD120">
        <f>AD64</f>
        <v>0</v>
      </c>
      <c r="AE120">
        <f t="shared" ref="AE120:BW120" si="29">AE64</f>
        <v>0</v>
      </c>
      <c r="AF120">
        <f t="shared" si="29"/>
        <v>0</v>
      </c>
      <c r="AG120">
        <f t="shared" si="29"/>
        <v>0</v>
      </c>
      <c r="AH120">
        <f t="shared" si="29"/>
        <v>0</v>
      </c>
      <c r="AI120">
        <f t="shared" si="29"/>
        <v>0</v>
      </c>
      <c r="AJ120">
        <f t="shared" si="29"/>
        <v>0</v>
      </c>
      <c r="AK120">
        <f t="shared" si="29"/>
        <v>0</v>
      </c>
      <c r="AL120">
        <f t="shared" si="29"/>
        <v>0</v>
      </c>
      <c r="AM120">
        <f t="shared" si="29"/>
        <v>0</v>
      </c>
      <c r="AN120">
        <f t="shared" si="29"/>
        <v>0</v>
      </c>
      <c r="AO120">
        <f t="shared" si="29"/>
        <v>0</v>
      </c>
      <c r="AP120">
        <f t="shared" si="29"/>
        <v>0</v>
      </c>
      <c r="AQ120">
        <f t="shared" si="29"/>
        <v>0</v>
      </c>
      <c r="AR120">
        <f t="shared" si="29"/>
        <v>0</v>
      </c>
      <c r="AS120">
        <f t="shared" si="29"/>
        <v>0</v>
      </c>
      <c r="AT120">
        <f t="shared" si="29"/>
        <v>0</v>
      </c>
      <c r="AU120">
        <f t="shared" si="29"/>
        <v>0</v>
      </c>
      <c r="AV120">
        <f t="shared" si="29"/>
        <v>0</v>
      </c>
      <c r="AW120">
        <f t="shared" si="29"/>
        <v>0</v>
      </c>
      <c r="AX120">
        <f t="shared" si="29"/>
        <v>0</v>
      </c>
      <c r="AY120">
        <f t="shared" si="29"/>
        <v>0</v>
      </c>
      <c r="AZ120">
        <f t="shared" si="29"/>
        <v>0</v>
      </c>
      <c r="BA120">
        <f t="shared" si="29"/>
        <v>0</v>
      </c>
      <c r="BB120">
        <f t="shared" si="29"/>
        <v>0</v>
      </c>
      <c r="BC120">
        <f t="shared" si="29"/>
        <v>0</v>
      </c>
      <c r="BD120">
        <f t="shared" si="29"/>
        <v>0</v>
      </c>
      <c r="BE120">
        <f t="shared" si="29"/>
        <v>0</v>
      </c>
      <c r="BF120">
        <f t="shared" si="29"/>
        <v>0</v>
      </c>
      <c r="BG120">
        <f t="shared" si="29"/>
        <v>0</v>
      </c>
      <c r="BH120">
        <f t="shared" si="29"/>
        <v>0</v>
      </c>
      <c r="BI120">
        <f t="shared" si="29"/>
        <v>0</v>
      </c>
      <c r="BJ120">
        <f t="shared" si="29"/>
        <v>0</v>
      </c>
      <c r="BK120">
        <f t="shared" si="29"/>
        <v>0</v>
      </c>
      <c r="BL120">
        <f t="shared" si="29"/>
        <v>0</v>
      </c>
      <c r="BM120">
        <f t="shared" si="29"/>
        <v>0</v>
      </c>
      <c r="BN120">
        <f t="shared" si="29"/>
        <v>0</v>
      </c>
      <c r="BO120">
        <f t="shared" si="29"/>
        <v>0</v>
      </c>
      <c r="BP120">
        <f t="shared" si="29"/>
        <v>0</v>
      </c>
      <c r="BQ120">
        <f t="shared" si="29"/>
        <v>0</v>
      </c>
      <c r="BR120">
        <f t="shared" si="29"/>
        <v>0</v>
      </c>
      <c r="BS120">
        <f t="shared" si="29"/>
        <v>0</v>
      </c>
      <c r="BT120">
        <f t="shared" si="29"/>
        <v>0</v>
      </c>
      <c r="BU120">
        <f t="shared" si="29"/>
        <v>0</v>
      </c>
      <c r="BV120">
        <f t="shared" si="29"/>
        <v>0</v>
      </c>
      <c r="BW120">
        <f t="shared" si="29"/>
        <v>0</v>
      </c>
      <c r="BX120">
        <f t="shared" ref="BX120:CR120" si="30">BX64</f>
        <v>0</v>
      </c>
      <c r="BY120">
        <f t="shared" si="30"/>
        <v>0</v>
      </c>
      <c r="BZ120">
        <f t="shared" si="30"/>
        <v>0</v>
      </c>
      <c r="CA120">
        <f t="shared" si="30"/>
        <v>0</v>
      </c>
      <c r="CB120">
        <f t="shared" si="30"/>
        <v>0</v>
      </c>
      <c r="CC120">
        <f t="shared" si="30"/>
        <v>0</v>
      </c>
      <c r="CD120">
        <f t="shared" si="30"/>
        <v>0</v>
      </c>
      <c r="CE120">
        <f t="shared" si="30"/>
        <v>0</v>
      </c>
      <c r="CF120">
        <f t="shared" si="30"/>
        <v>0</v>
      </c>
      <c r="CG120">
        <f t="shared" si="30"/>
        <v>0</v>
      </c>
      <c r="CH120">
        <f t="shared" si="30"/>
        <v>0</v>
      </c>
      <c r="CI120">
        <f t="shared" si="30"/>
        <v>0</v>
      </c>
      <c r="CJ120">
        <f t="shared" si="30"/>
        <v>0</v>
      </c>
      <c r="CK120">
        <f t="shared" si="30"/>
        <v>0</v>
      </c>
      <c r="CL120">
        <f t="shared" si="30"/>
        <v>0</v>
      </c>
      <c r="CM120">
        <f t="shared" si="30"/>
        <v>0</v>
      </c>
      <c r="CN120">
        <f t="shared" si="30"/>
        <v>0</v>
      </c>
      <c r="CO120">
        <f t="shared" si="30"/>
        <v>0</v>
      </c>
      <c r="CP120">
        <f t="shared" si="30"/>
        <v>0</v>
      </c>
      <c r="CQ120">
        <f t="shared" si="30"/>
        <v>0</v>
      </c>
      <c r="CR120">
        <f t="shared" si="30"/>
        <v>0</v>
      </c>
      <c r="CS120">
        <f>CS64</f>
        <v>0</v>
      </c>
      <c r="CT120">
        <f t="shared" ref="CT120:CZ120" si="31">CT64</f>
        <v>0</v>
      </c>
      <c r="CU120">
        <f t="shared" si="31"/>
        <v>0</v>
      </c>
      <c r="CV120">
        <f t="shared" si="31"/>
        <v>0</v>
      </c>
      <c r="CW120">
        <f t="shared" si="31"/>
        <v>0</v>
      </c>
      <c r="CX120">
        <f t="shared" si="31"/>
        <v>0</v>
      </c>
      <c r="CY120">
        <f t="shared" si="31"/>
        <v>0</v>
      </c>
      <c r="CZ120">
        <f t="shared" si="31"/>
        <v>0</v>
      </c>
      <c r="DA120">
        <f>DA64</f>
        <v>0</v>
      </c>
    </row>
    <row r="121" spans="1:105">
      <c r="A121" s="64" t="s">
        <v>151</v>
      </c>
      <c r="B121" s="68">
        <v>117</v>
      </c>
      <c r="C121" s="66" t="e">
        <f t="shared" si="5"/>
        <v>#DIV/0!</v>
      </c>
      <c r="D121" s="66" t="e">
        <f t="shared" ref="D121" si="32">C121^2</f>
        <v>#DIV/0!</v>
      </c>
      <c r="E121">
        <v>1.5507599999999999</v>
      </c>
      <c r="F121">
        <f t="shared" ref="F121:I121" si="33">F76</f>
        <v>0</v>
      </c>
      <c r="G121">
        <f t="shared" si="33"/>
        <v>0</v>
      </c>
      <c r="H121">
        <f t="shared" si="33"/>
        <v>0</v>
      </c>
      <c r="I121">
        <f t="shared" si="33"/>
        <v>0</v>
      </c>
      <c r="J121">
        <f t="shared" ref="J121:AC121" si="34">J76</f>
        <v>0</v>
      </c>
      <c r="K121">
        <f t="shared" si="34"/>
        <v>0</v>
      </c>
      <c r="L121">
        <f t="shared" si="34"/>
        <v>0</v>
      </c>
      <c r="M121">
        <f t="shared" si="34"/>
        <v>0</v>
      </c>
      <c r="N121">
        <f t="shared" si="34"/>
        <v>0</v>
      </c>
      <c r="O121">
        <f t="shared" si="34"/>
        <v>0</v>
      </c>
      <c r="P121">
        <f t="shared" si="34"/>
        <v>0</v>
      </c>
      <c r="Q121">
        <f t="shared" si="34"/>
        <v>0</v>
      </c>
      <c r="R121">
        <f t="shared" si="34"/>
        <v>0</v>
      </c>
      <c r="S121">
        <f t="shared" si="34"/>
        <v>0</v>
      </c>
      <c r="T121">
        <f t="shared" si="34"/>
        <v>0</v>
      </c>
      <c r="U121">
        <f t="shared" si="34"/>
        <v>0</v>
      </c>
      <c r="V121">
        <f t="shared" si="34"/>
        <v>0</v>
      </c>
      <c r="W121">
        <f t="shared" si="34"/>
        <v>0</v>
      </c>
      <c r="X121">
        <f t="shared" si="34"/>
        <v>0</v>
      </c>
      <c r="Y121">
        <f t="shared" si="34"/>
        <v>0</v>
      </c>
      <c r="Z121">
        <f t="shared" si="34"/>
        <v>0</v>
      </c>
      <c r="AA121">
        <f t="shared" si="34"/>
        <v>0</v>
      </c>
      <c r="AB121">
        <f t="shared" si="34"/>
        <v>0</v>
      </c>
      <c r="AC121">
        <f t="shared" si="34"/>
        <v>0</v>
      </c>
      <c r="AD121">
        <f>AD76</f>
        <v>0</v>
      </c>
      <c r="AE121">
        <f t="shared" ref="AE121:BW121" si="35">AE76</f>
        <v>0</v>
      </c>
      <c r="AF121">
        <f t="shared" si="35"/>
        <v>0</v>
      </c>
      <c r="AG121">
        <f t="shared" si="35"/>
        <v>0</v>
      </c>
      <c r="AH121">
        <f t="shared" si="35"/>
        <v>0</v>
      </c>
      <c r="AI121">
        <f t="shared" si="35"/>
        <v>0</v>
      </c>
      <c r="AJ121">
        <f t="shared" si="35"/>
        <v>0</v>
      </c>
      <c r="AK121">
        <f t="shared" si="35"/>
        <v>0</v>
      </c>
      <c r="AL121">
        <f t="shared" si="35"/>
        <v>0</v>
      </c>
      <c r="AM121">
        <f t="shared" si="35"/>
        <v>0</v>
      </c>
      <c r="AN121">
        <f t="shared" si="35"/>
        <v>0</v>
      </c>
      <c r="AO121">
        <f t="shared" si="35"/>
        <v>0</v>
      </c>
      <c r="AP121">
        <f t="shared" si="35"/>
        <v>0</v>
      </c>
      <c r="AQ121">
        <f t="shared" si="35"/>
        <v>0</v>
      </c>
      <c r="AR121">
        <f t="shared" si="35"/>
        <v>0</v>
      </c>
      <c r="AS121">
        <f t="shared" si="35"/>
        <v>0</v>
      </c>
      <c r="AT121">
        <f t="shared" si="35"/>
        <v>0</v>
      </c>
      <c r="AU121">
        <f t="shared" si="35"/>
        <v>0</v>
      </c>
      <c r="AV121">
        <f t="shared" si="35"/>
        <v>0</v>
      </c>
      <c r="AW121">
        <f t="shared" si="35"/>
        <v>0</v>
      </c>
      <c r="AX121">
        <f t="shared" si="35"/>
        <v>0</v>
      </c>
      <c r="AY121">
        <f t="shared" si="35"/>
        <v>0</v>
      </c>
      <c r="AZ121">
        <f t="shared" si="35"/>
        <v>0</v>
      </c>
      <c r="BA121">
        <f t="shared" si="35"/>
        <v>0</v>
      </c>
      <c r="BB121">
        <f t="shared" si="35"/>
        <v>0</v>
      </c>
      <c r="BC121">
        <f t="shared" si="35"/>
        <v>0</v>
      </c>
      <c r="BD121">
        <f t="shared" si="35"/>
        <v>0</v>
      </c>
      <c r="BE121">
        <f t="shared" si="35"/>
        <v>0</v>
      </c>
      <c r="BF121">
        <f t="shared" si="35"/>
        <v>0</v>
      </c>
      <c r="BG121">
        <f t="shared" si="35"/>
        <v>0</v>
      </c>
      <c r="BH121">
        <f t="shared" si="35"/>
        <v>0</v>
      </c>
      <c r="BI121">
        <f t="shared" si="35"/>
        <v>0</v>
      </c>
      <c r="BJ121">
        <f t="shared" si="35"/>
        <v>0</v>
      </c>
      <c r="BK121">
        <f t="shared" si="35"/>
        <v>0</v>
      </c>
      <c r="BL121">
        <f t="shared" si="35"/>
        <v>0</v>
      </c>
      <c r="BM121">
        <f t="shared" si="35"/>
        <v>0</v>
      </c>
      <c r="BN121">
        <f t="shared" si="35"/>
        <v>0</v>
      </c>
      <c r="BO121">
        <f t="shared" si="35"/>
        <v>0</v>
      </c>
      <c r="BP121">
        <f t="shared" si="35"/>
        <v>0</v>
      </c>
      <c r="BQ121">
        <f t="shared" si="35"/>
        <v>0</v>
      </c>
      <c r="BR121">
        <f t="shared" si="35"/>
        <v>0</v>
      </c>
      <c r="BS121">
        <f t="shared" si="35"/>
        <v>0</v>
      </c>
      <c r="BT121">
        <f t="shared" si="35"/>
        <v>0</v>
      </c>
      <c r="BU121">
        <f t="shared" si="35"/>
        <v>0</v>
      </c>
      <c r="BV121">
        <f t="shared" si="35"/>
        <v>0</v>
      </c>
      <c r="BW121">
        <f t="shared" si="35"/>
        <v>0</v>
      </c>
      <c r="BX121">
        <f t="shared" ref="BX121:CR121" si="36">BX76</f>
        <v>0</v>
      </c>
      <c r="BY121">
        <f t="shared" si="36"/>
        <v>0</v>
      </c>
      <c r="BZ121">
        <f t="shared" si="36"/>
        <v>0</v>
      </c>
      <c r="CA121">
        <f t="shared" si="36"/>
        <v>0</v>
      </c>
      <c r="CB121">
        <f t="shared" si="36"/>
        <v>0</v>
      </c>
      <c r="CC121">
        <f t="shared" si="36"/>
        <v>0</v>
      </c>
      <c r="CD121">
        <f t="shared" si="36"/>
        <v>0</v>
      </c>
      <c r="CE121">
        <f t="shared" si="36"/>
        <v>0</v>
      </c>
      <c r="CF121">
        <f t="shared" si="36"/>
        <v>0</v>
      </c>
      <c r="CG121">
        <f t="shared" si="36"/>
        <v>0</v>
      </c>
      <c r="CH121">
        <f t="shared" si="36"/>
        <v>0</v>
      </c>
      <c r="CI121">
        <f t="shared" si="36"/>
        <v>0</v>
      </c>
      <c r="CJ121">
        <f t="shared" si="36"/>
        <v>0</v>
      </c>
      <c r="CK121">
        <f t="shared" si="36"/>
        <v>0</v>
      </c>
      <c r="CL121">
        <f t="shared" si="36"/>
        <v>0</v>
      </c>
      <c r="CM121">
        <f t="shared" si="36"/>
        <v>0</v>
      </c>
      <c r="CN121">
        <f t="shared" si="36"/>
        <v>0</v>
      </c>
      <c r="CO121">
        <f t="shared" si="36"/>
        <v>0</v>
      </c>
      <c r="CP121">
        <f t="shared" si="36"/>
        <v>0</v>
      </c>
      <c r="CQ121">
        <f t="shared" si="36"/>
        <v>0</v>
      </c>
      <c r="CR121">
        <f t="shared" si="36"/>
        <v>0</v>
      </c>
      <c r="CS121">
        <f>CS76</f>
        <v>0</v>
      </c>
      <c r="CT121">
        <f t="shared" ref="CT121:CZ121" si="37">CT76</f>
        <v>0</v>
      </c>
      <c r="CU121">
        <f t="shared" si="37"/>
        <v>0</v>
      </c>
      <c r="CV121">
        <f t="shared" si="37"/>
        <v>0</v>
      </c>
      <c r="CW121">
        <f t="shared" si="37"/>
        <v>0</v>
      </c>
      <c r="CX121">
        <f t="shared" si="37"/>
        <v>0</v>
      </c>
      <c r="CY121">
        <f t="shared" si="37"/>
        <v>0</v>
      </c>
      <c r="CZ121">
        <f t="shared" si="37"/>
        <v>0</v>
      </c>
      <c r="DA121">
        <f>DA76</f>
        <v>0</v>
      </c>
    </row>
    <row r="122" spans="1:105">
      <c r="A122" s="64" t="s">
        <v>150</v>
      </c>
      <c r="B122" s="68">
        <v>134</v>
      </c>
      <c r="C122" s="66" t="e">
        <f t="shared" ref="C122:C123" si="38">4*PI()*RefinFinal*SIN(RADIANS(B122/2))/(LamnmFinal/10000000)</f>
        <v>#DIV/0!</v>
      </c>
      <c r="D122" s="66" t="e">
        <f t="shared" ref="D122:D123" si="39">C122^2</f>
        <v>#DIV/0!</v>
      </c>
      <c r="E122">
        <v>2.39642</v>
      </c>
      <c r="F122">
        <f t="shared" ref="F122:I122" si="40">F88</f>
        <v>0</v>
      </c>
      <c r="G122">
        <f t="shared" si="40"/>
        <v>0</v>
      </c>
      <c r="H122">
        <f t="shared" si="40"/>
        <v>0</v>
      </c>
      <c r="I122">
        <f t="shared" si="40"/>
        <v>0</v>
      </c>
      <c r="J122">
        <f t="shared" ref="J122:AC122" si="41">J88</f>
        <v>0</v>
      </c>
      <c r="K122">
        <f t="shared" si="41"/>
        <v>0</v>
      </c>
      <c r="L122">
        <f t="shared" si="41"/>
        <v>0</v>
      </c>
      <c r="M122">
        <f t="shared" si="41"/>
        <v>0</v>
      </c>
      <c r="N122">
        <f t="shared" si="41"/>
        <v>0</v>
      </c>
      <c r="O122">
        <f t="shared" si="41"/>
        <v>0</v>
      </c>
      <c r="P122">
        <f t="shared" si="41"/>
        <v>0</v>
      </c>
      <c r="Q122">
        <f t="shared" si="41"/>
        <v>0</v>
      </c>
      <c r="R122">
        <f t="shared" si="41"/>
        <v>0</v>
      </c>
      <c r="S122">
        <f t="shared" si="41"/>
        <v>0</v>
      </c>
      <c r="T122">
        <f t="shared" si="41"/>
        <v>0</v>
      </c>
      <c r="U122">
        <f t="shared" si="41"/>
        <v>0</v>
      </c>
      <c r="V122">
        <f t="shared" si="41"/>
        <v>0</v>
      </c>
      <c r="W122">
        <f t="shared" si="41"/>
        <v>0</v>
      </c>
      <c r="X122">
        <f t="shared" si="41"/>
        <v>0</v>
      </c>
      <c r="Y122">
        <f t="shared" si="41"/>
        <v>0</v>
      </c>
      <c r="Z122">
        <f t="shared" si="41"/>
        <v>0</v>
      </c>
      <c r="AA122">
        <f t="shared" si="41"/>
        <v>0</v>
      </c>
      <c r="AB122">
        <f t="shared" si="41"/>
        <v>0</v>
      </c>
      <c r="AC122">
        <f t="shared" si="41"/>
        <v>0</v>
      </c>
      <c r="AD122">
        <f>AD88</f>
        <v>0</v>
      </c>
      <c r="AE122">
        <f t="shared" ref="AE122:BW122" si="42">AE88</f>
        <v>0</v>
      </c>
      <c r="AF122">
        <f t="shared" si="42"/>
        <v>0</v>
      </c>
      <c r="AG122">
        <f t="shared" si="42"/>
        <v>0</v>
      </c>
      <c r="AH122">
        <f t="shared" si="42"/>
        <v>0</v>
      </c>
      <c r="AI122">
        <f t="shared" si="42"/>
        <v>0</v>
      </c>
      <c r="AJ122">
        <f t="shared" si="42"/>
        <v>0</v>
      </c>
      <c r="AK122">
        <f t="shared" si="42"/>
        <v>0</v>
      </c>
      <c r="AL122">
        <f t="shared" si="42"/>
        <v>0</v>
      </c>
      <c r="AM122">
        <f t="shared" si="42"/>
        <v>0</v>
      </c>
      <c r="AN122">
        <f t="shared" si="42"/>
        <v>0</v>
      </c>
      <c r="AO122">
        <f t="shared" si="42"/>
        <v>0</v>
      </c>
      <c r="AP122">
        <f t="shared" si="42"/>
        <v>0</v>
      </c>
      <c r="AQ122">
        <f t="shared" si="42"/>
        <v>0</v>
      </c>
      <c r="AR122">
        <f t="shared" si="42"/>
        <v>0</v>
      </c>
      <c r="AS122">
        <f t="shared" si="42"/>
        <v>0</v>
      </c>
      <c r="AT122">
        <f t="shared" si="42"/>
        <v>0</v>
      </c>
      <c r="AU122">
        <f t="shared" si="42"/>
        <v>0</v>
      </c>
      <c r="AV122">
        <f t="shared" si="42"/>
        <v>0</v>
      </c>
      <c r="AW122">
        <f t="shared" si="42"/>
        <v>0</v>
      </c>
      <c r="AX122">
        <f t="shared" si="42"/>
        <v>0</v>
      </c>
      <c r="AY122">
        <f t="shared" si="42"/>
        <v>0</v>
      </c>
      <c r="AZ122">
        <f t="shared" si="42"/>
        <v>0</v>
      </c>
      <c r="BA122">
        <f t="shared" si="42"/>
        <v>0</v>
      </c>
      <c r="BB122">
        <f t="shared" si="42"/>
        <v>0</v>
      </c>
      <c r="BC122">
        <f t="shared" si="42"/>
        <v>0</v>
      </c>
      <c r="BD122">
        <f t="shared" si="42"/>
        <v>0</v>
      </c>
      <c r="BE122">
        <f t="shared" si="42"/>
        <v>0</v>
      </c>
      <c r="BF122">
        <f t="shared" si="42"/>
        <v>0</v>
      </c>
      <c r="BG122">
        <f t="shared" si="42"/>
        <v>0</v>
      </c>
      <c r="BH122">
        <f t="shared" si="42"/>
        <v>0</v>
      </c>
      <c r="BI122">
        <f t="shared" si="42"/>
        <v>0</v>
      </c>
      <c r="BJ122">
        <f t="shared" si="42"/>
        <v>0</v>
      </c>
      <c r="BK122">
        <f t="shared" si="42"/>
        <v>0</v>
      </c>
      <c r="BL122">
        <f t="shared" si="42"/>
        <v>0</v>
      </c>
      <c r="BM122">
        <f t="shared" si="42"/>
        <v>0</v>
      </c>
      <c r="BN122">
        <f t="shared" si="42"/>
        <v>0</v>
      </c>
      <c r="BO122">
        <f t="shared" si="42"/>
        <v>0</v>
      </c>
      <c r="BP122">
        <f t="shared" si="42"/>
        <v>0</v>
      </c>
      <c r="BQ122">
        <f t="shared" si="42"/>
        <v>0</v>
      </c>
      <c r="BR122">
        <f t="shared" si="42"/>
        <v>0</v>
      </c>
      <c r="BS122">
        <f t="shared" si="42"/>
        <v>0</v>
      </c>
      <c r="BT122">
        <f t="shared" si="42"/>
        <v>0</v>
      </c>
      <c r="BU122">
        <f t="shared" si="42"/>
        <v>0</v>
      </c>
      <c r="BV122">
        <f t="shared" si="42"/>
        <v>0</v>
      </c>
      <c r="BW122">
        <f t="shared" si="42"/>
        <v>0</v>
      </c>
      <c r="BX122">
        <f t="shared" ref="BX122:CR122" si="43">BX88</f>
        <v>0</v>
      </c>
      <c r="BY122">
        <f t="shared" si="43"/>
        <v>0</v>
      </c>
      <c r="BZ122">
        <f t="shared" si="43"/>
        <v>0</v>
      </c>
      <c r="CA122">
        <f t="shared" si="43"/>
        <v>0</v>
      </c>
      <c r="CB122">
        <f t="shared" si="43"/>
        <v>0</v>
      </c>
      <c r="CC122">
        <f t="shared" si="43"/>
        <v>0</v>
      </c>
      <c r="CD122">
        <f t="shared" si="43"/>
        <v>0</v>
      </c>
      <c r="CE122">
        <f t="shared" si="43"/>
        <v>0</v>
      </c>
      <c r="CF122">
        <f t="shared" si="43"/>
        <v>0</v>
      </c>
      <c r="CG122">
        <f t="shared" si="43"/>
        <v>0</v>
      </c>
      <c r="CH122">
        <f t="shared" si="43"/>
        <v>0</v>
      </c>
      <c r="CI122">
        <f t="shared" si="43"/>
        <v>0</v>
      </c>
      <c r="CJ122">
        <f t="shared" si="43"/>
        <v>0</v>
      </c>
      <c r="CK122">
        <f t="shared" si="43"/>
        <v>0</v>
      </c>
      <c r="CL122">
        <f t="shared" si="43"/>
        <v>0</v>
      </c>
      <c r="CM122">
        <f t="shared" si="43"/>
        <v>0</v>
      </c>
      <c r="CN122">
        <f t="shared" si="43"/>
        <v>0</v>
      </c>
      <c r="CO122">
        <f t="shared" si="43"/>
        <v>0</v>
      </c>
      <c r="CP122">
        <f t="shared" si="43"/>
        <v>0</v>
      </c>
      <c r="CQ122">
        <f t="shared" si="43"/>
        <v>0</v>
      </c>
      <c r="CR122">
        <f t="shared" si="43"/>
        <v>0</v>
      </c>
      <c r="CS122">
        <f>CS88</f>
        <v>0</v>
      </c>
      <c r="CT122">
        <f t="shared" ref="CT122:CZ122" si="44">CT88</f>
        <v>0</v>
      </c>
      <c r="CU122">
        <f t="shared" si="44"/>
        <v>0</v>
      </c>
      <c r="CV122">
        <f t="shared" si="44"/>
        <v>0</v>
      </c>
      <c r="CW122">
        <f t="shared" si="44"/>
        <v>0</v>
      </c>
      <c r="CX122">
        <f t="shared" si="44"/>
        <v>0</v>
      </c>
      <c r="CY122">
        <f t="shared" si="44"/>
        <v>0</v>
      </c>
      <c r="CZ122">
        <f t="shared" si="44"/>
        <v>0</v>
      </c>
      <c r="DA122">
        <f>DA88</f>
        <v>0</v>
      </c>
    </row>
    <row r="123" spans="1:105">
      <c r="A123" s="64" t="s">
        <v>147</v>
      </c>
      <c r="B123" s="68">
        <v>147</v>
      </c>
      <c r="C123" s="66" t="e">
        <f t="shared" si="38"/>
        <v>#DIV/0!</v>
      </c>
      <c r="D123" s="66" t="e">
        <f t="shared" si="39"/>
        <v>#DIV/0!</v>
      </c>
      <c r="E123">
        <v>2.9711099999999999</v>
      </c>
      <c r="F123">
        <f t="shared" ref="F123:I123" si="45">F100</f>
        <v>0</v>
      </c>
      <c r="G123">
        <f t="shared" si="45"/>
        <v>0</v>
      </c>
      <c r="H123">
        <f t="shared" si="45"/>
        <v>0</v>
      </c>
      <c r="I123">
        <f t="shared" si="45"/>
        <v>0</v>
      </c>
      <c r="J123">
        <f t="shared" ref="J123:AC123" si="46">J100</f>
        <v>0</v>
      </c>
      <c r="K123">
        <f t="shared" si="46"/>
        <v>0</v>
      </c>
      <c r="L123">
        <f t="shared" si="46"/>
        <v>0</v>
      </c>
      <c r="M123">
        <f t="shared" si="46"/>
        <v>0</v>
      </c>
      <c r="N123">
        <f t="shared" si="46"/>
        <v>0</v>
      </c>
      <c r="O123">
        <f t="shared" si="46"/>
        <v>0</v>
      </c>
      <c r="P123">
        <f t="shared" si="46"/>
        <v>0</v>
      </c>
      <c r="Q123">
        <f t="shared" si="46"/>
        <v>0</v>
      </c>
      <c r="R123">
        <f t="shared" si="46"/>
        <v>0</v>
      </c>
      <c r="S123">
        <f t="shared" si="46"/>
        <v>0</v>
      </c>
      <c r="T123">
        <f t="shared" si="46"/>
        <v>0</v>
      </c>
      <c r="U123">
        <f t="shared" si="46"/>
        <v>0</v>
      </c>
      <c r="V123">
        <f t="shared" si="46"/>
        <v>0</v>
      </c>
      <c r="W123">
        <f t="shared" si="46"/>
        <v>0</v>
      </c>
      <c r="X123">
        <f t="shared" si="46"/>
        <v>0</v>
      </c>
      <c r="Y123">
        <f t="shared" si="46"/>
        <v>0</v>
      </c>
      <c r="Z123">
        <f t="shared" si="46"/>
        <v>0</v>
      </c>
      <c r="AA123">
        <f t="shared" si="46"/>
        <v>0</v>
      </c>
      <c r="AB123">
        <f t="shared" si="46"/>
        <v>0</v>
      </c>
      <c r="AC123">
        <f t="shared" si="46"/>
        <v>0</v>
      </c>
      <c r="AD123">
        <f>AD100</f>
        <v>0</v>
      </c>
      <c r="AE123">
        <f t="shared" ref="AE123:BW123" si="47">AE100</f>
        <v>0</v>
      </c>
      <c r="AF123">
        <f t="shared" si="47"/>
        <v>0</v>
      </c>
      <c r="AG123">
        <f t="shared" si="47"/>
        <v>0</v>
      </c>
      <c r="AH123">
        <f t="shared" si="47"/>
        <v>0</v>
      </c>
      <c r="AI123">
        <f t="shared" si="47"/>
        <v>0</v>
      </c>
      <c r="AJ123">
        <f t="shared" si="47"/>
        <v>0</v>
      </c>
      <c r="AK123">
        <f t="shared" si="47"/>
        <v>0</v>
      </c>
      <c r="AL123">
        <f t="shared" si="47"/>
        <v>0</v>
      </c>
      <c r="AM123">
        <f t="shared" si="47"/>
        <v>0</v>
      </c>
      <c r="AN123">
        <f t="shared" si="47"/>
        <v>0</v>
      </c>
      <c r="AO123">
        <f t="shared" si="47"/>
        <v>0</v>
      </c>
      <c r="AP123">
        <f t="shared" si="47"/>
        <v>0</v>
      </c>
      <c r="AQ123">
        <f t="shared" si="47"/>
        <v>0</v>
      </c>
      <c r="AR123">
        <f t="shared" si="47"/>
        <v>0</v>
      </c>
      <c r="AS123">
        <f t="shared" si="47"/>
        <v>0</v>
      </c>
      <c r="AT123">
        <f t="shared" si="47"/>
        <v>0</v>
      </c>
      <c r="AU123">
        <f t="shared" si="47"/>
        <v>0</v>
      </c>
      <c r="AV123">
        <f t="shared" si="47"/>
        <v>0</v>
      </c>
      <c r="AW123">
        <f t="shared" si="47"/>
        <v>0</v>
      </c>
      <c r="AX123">
        <f t="shared" si="47"/>
        <v>0</v>
      </c>
      <c r="AY123">
        <f t="shared" si="47"/>
        <v>0</v>
      </c>
      <c r="AZ123">
        <f t="shared" si="47"/>
        <v>0</v>
      </c>
      <c r="BA123">
        <f t="shared" si="47"/>
        <v>0</v>
      </c>
      <c r="BB123">
        <f t="shared" si="47"/>
        <v>0</v>
      </c>
      <c r="BC123">
        <f t="shared" si="47"/>
        <v>0</v>
      </c>
      <c r="BD123">
        <f t="shared" si="47"/>
        <v>0</v>
      </c>
      <c r="BE123">
        <f t="shared" si="47"/>
        <v>0</v>
      </c>
      <c r="BF123">
        <f t="shared" si="47"/>
        <v>0</v>
      </c>
      <c r="BG123">
        <f t="shared" si="47"/>
        <v>0</v>
      </c>
      <c r="BH123">
        <f t="shared" si="47"/>
        <v>0</v>
      </c>
      <c r="BI123">
        <f t="shared" si="47"/>
        <v>0</v>
      </c>
      <c r="BJ123">
        <f t="shared" si="47"/>
        <v>0</v>
      </c>
      <c r="BK123">
        <f t="shared" si="47"/>
        <v>0</v>
      </c>
      <c r="BL123">
        <f t="shared" si="47"/>
        <v>0</v>
      </c>
      <c r="BM123">
        <f t="shared" si="47"/>
        <v>0</v>
      </c>
      <c r="BN123">
        <f t="shared" si="47"/>
        <v>0</v>
      </c>
      <c r="BO123">
        <f t="shared" si="47"/>
        <v>0</v>
      </c>
      <c r="BP123">
        <f t="shared" si="47"/>
        <v>0</v>
      </c>
      <c r="BQ123">
        <f t="shared" si="47"/>
        <v>0</v>
      </c>
      <c r="BR123">
        <f t="shared" si="47"/>
        <v>0</v>
      </c>
      <c r="BS123">
        <f t="shared" si="47"/>
        <v>0</v>
      </c>
      <c r="BT123">
        <f t="shared" si="47"/>
        <v>0</v>
      </c>
      <c r="BU123">
        <f t="shared" si="47"/>
        <v>0</v>
      </c>
      <c r="BV123">
        <f t="shared" si="47"/>
        <v>0</v>
      </c>
      <c r="BW123">
        <f t="shared" si="47"/>
        <v>0</v>
      </c>
      <c r="BX123">
        <f t="shared" ref="BX123:CR123" si="48">BX100</f>
        <v>0</v>
      </c>
      <c r="BY123">
        <f t="shared" si="48"/>
        <v>0</v>
      </c>
      <c r="BZ123">
        <f t="shared" si="48"/>
        <v>0</v>
      </c>
      <c r="CA123">
        <f t="shared" si="48"/>
        <v>0</v>
      </c>
      <c r="CB123">
        <f t="shared" si="48"/>
        <v>0</v>
      </c>
      <c r="CC123">
        <f t="shared" si="48"/>
        <v>0</v>
      </c>
      <c r="CD123">
        <f t="shared" si="48"/>
        <v>0</v>
      </c>
      <c r="CE123">
        <f t="shared" si="48"/>
        <v>0</v>
      </c>
      <c r="CF123">
        <f t="shared" si="48"/>
        <v>0</v>
      </c>
      <c r="CG123">
        <f t="shared" si="48"/>
        <v>0</v>
      </c>
      <c r="CH123">
        <f t="shared" si="48"/>
        <v>0</v>
      </c>
      <c r="CI123">
        <f t="shared" si="48"/>
        <v>0</v>
      </c>
      <c r="CJ123">
        <f t="shared" si="48"/>
        <v>0</v>
      </c>
      <c r="CK123">
        <f t="shared" si="48"/>
        <v>0</v>
      </c>
      <c r="CL123">
        <f t="shared" si="48"/>
        <v>0</v>
      </c>
      <c r="CM123">
        <f t="shared" si="48"/>
        <v>0</v>
      </c>
      <c r="CN123">
        <f t="shared" si="48"/>
        <v>0</v>
      </c>
      <c r="CO123">
        <f t="shared" si="48"/>
        <v>0</v>
      </c>
      <c r="CP123">
        <f t="shared" si="48"/>
        <v>0</v>
      </c>
      <c r="CQ123">
        <f t="shared" si="48"/>
        <v>0</v>
      </c>
      <c r="CR123">
        <f t="shared" si="48"/>
        <v>0</v>
      </c>
      <c r="CS123">
        <f>CS100</f>
        <v>0</v>
      </c>
      <c r="CT123">
        <f t="shared" ref="CT123:CZ123" si="49">CT100</f>
        <v>0</v>
      </c>
      <c r="CU123">
        <f t="shared" si="49"/>
        <v>0</v>
      </c>
      <c r="CV123">
        <f t="shared" si="49"/>
        <v>0</v>
      </c>
      <c r="CW123">
        <f t="shared" si="49"/>
        <v>0</v>
      </c>
      <c r="CX123">
        <f t="shared" si="49"/>
        <v>0</v>
      </c>
      <c r="CY123">
        <f t="shared" si="49"/>
        <v>0</v>
      </c>
      <c r="CZ123">
        <f t="shared" si="49"/>
        <v>0</v>
      </c>
      <c r="DA123">
        <f>DA100</f>
        <v>0</v>
      </c>
    </row>
    <row r="125" spans="1:105">
      <c r="E125" s="78" t="s">
        <v>156</v>
      </c>
    </row>
    <row r="126" spans="1:105">
      <c r="E126" s="78" t="s">
        <v>157</v>
      </c>
    </row>
    <row r="127" spans="1:105">
      <c r="E127" s="78" t="s">
        <v>152</v>
      </c>
    </row>
    <row r="128" spans="1:105">
      <c r="A128" s="64"/>
      <c r="B128" s="64" t="s">
        <v>34</v>
      </c>
      <c r="C128" s="64" t="s">
        <v>136</v>
      </c>
      <c r="D128" s="64" t="s">
        <v>53</v>
      </c>
      <c r="E128" s="83" t="s">
        <v>168</v>
      </c>
    </row>
    <row r="129" spans="1:105">
      <c r="A129" s="64" t="s">
        <v>144</v>
      </c>
      <c r="B129" s="68">
        <v>44</v>
      </c>
      <c r="C129" s="66" t="e">
        <f t="shared" ref="C129:C136" si="50">4*PI()*RefinFinal*SIN(RADIANS(B129/2))/(LamnmFinal/10000000)</f>
        <v>#DIV/0!</v>
      </c>
      <c r="D129" s="66" t="e">
        <f>C129^2</f>
        <v>#DIV/0!</v>
      </c>
      <c r="E129" s="77">
        <f>0.00161349107962709*1.0207</f>
        <v>1.6468903449753706E-3</v>
      </c>
      <c r="F129">
        <f>NormDet1*(F116-ISolventDet1)</f>
        <v>-2.8827333287483386E-3</v>
      </c>
      <c r="G129">
        <f t="shared" ref="G129:I129" si="51">NormDet1*(G116-ISolventDet1)</f>
        <v>-2.8827333287483386E-3</v>
      </c>
      <c r="H129">
        <f t="shared" si="51"/>
        <v>-2.8827333287483386E-3</v>
      </c>
      <c r="I129">
        <f t="shared" si="51"/>
        <v>-2.8827333287483386E-3</v>
      </c>
      <c r="J129">
        <f t="shared" ref="J129:AK129" si="52">NormDet1*(J116-ISolventDet1)</f>
        <v>-2.8827333287483386E-3</v>
      </c>
      <c r="K129">
        <f t="shared" si="52"/>
        <v>-2.8827333287483386E-3</v>
      </c>
      <c r="L129">
        <f t="shared" si="52"/>
        <v>-2.8827333287483386E-3</v>
      </c>
      <c r="M129">
        <f t="shared" si="52"/>
        <v>-2.8827333287483386E-3</v>
      </c>
      <c r="N129">
        <f t="shared" si="52"/>
        <v>-2.8827333287483386E-3</v>
      </c>
      <c r="O129">
        <f t="shared" si="52"/>
        <v>-2.8827333287483386E-3</v>
      </c>
      <c r="P129">
        <f t="shared" si="52"/>
        <v>-2.8827333287483386E-3</v>
      </c>
      <c r="Q129">
        <f t="shared" si="52"/>
        <v>-2.8827333287483386E-3</v>
      </c>
      <c r="R129">
        <f t="shared" si="52"/>
        <v>-2.8827333287483386E-3</v>
      </c>
      <c r="S129">
        <f t="shared" si="52"/>
        <v>-2.8827333287483386E-3</v>
      </c>
      <c r="T129">
        <f t="shared" si="52"/>
        <v>-2.8827333287483386E-3</v>
      </c>
      <c r="U129">
        <f t="shared" si="52"/>
        <v>-2.8827333287483386E-3</v>
      </c>
      <c r="V129">
        <f t="shared" si="52"/>
        <v>-2.8827333287483386E-3</v>
      </c>
      <c r="W129">
        <f t="shared" si="52"/>
        <v>-2.8827333287483386E-3</v>
      </c>
      <c r="X129">
        <f t="shared" si="52"/>
        <v>-2.8827333287483386E-3</v>
      </c>
      <c r="Y129">
        <f t="shared" si="52"/>
        <v>-2.8827333287483386E-3</v>
      </c>
      <c r="Z129">
        <f t="shared" si="52"/>
        <v>-2.8827333287483386E-3</v>
      </c>
      <c r="AA129">
        <f t="shared" si="52"/>
        <v>-2.8827333287483386E-3</v>
      </c>
      <c r="AB129">
        <f t="shared" si="52"/>
        <v>-2.8827333287483386E-3</v>
      </c>
      <c r="AC129">
        <f t="shared" si="52"/>
        <v>-2.8827333287483386E-3</v>
      </c>
      <c r="AD129">
        <f t="shared" si="52"/>
        <v>-2.8827333287483386E-3</v>
      </c>
      <c r="AE129">
        <f t="shared" si="52"/>
        <v>-2.8827333287483386E-3</v>
      </c>
      <c r="AF129">
        <f t="shared" si="52"/>
        <v>-2.8827333287483386E-3</v>
      </c>
      <c r="AG129">
        <f t="shared" si="52"/>
        <v>-2.8827333287483386E-3</v>
      </c>
      <c r="AH129">
        <f t="shared" si="52"/>
        <v>-2.8827333287483386E-3</v>
      </c>
      <c r="AI129">
        <f t="shared" si="52"/>
        <v>-2.8827333287483386E-3</v>
      </c>
      <c r="AJ129">
        <f t="shared" si="52"/>
        <v>-2.8827333287483386E-3</v>
      </c>
      <c r="AK129">
        <f t="shared" si="52"/>
        <v>-2.8827333287483386E-3</v>
      </c>
      <c r="AL129">
        <f t="shared" ref="AL129:BQ129" si="53">NormDet1*(AL116-ISolventDet1)</f>
        <v>-2.8827333287483386E-3</v>
      </c>
      <c r="AM129">
        <f t="shared" si="53"/>
        <v>-2.8827333287483386E-3</v>
      </c>
      <c r="AN129">
        <f t="shared" si="53"/>
        <v>-2.8827333287483386E-3</v>
      </c>
      <c r="AO129">
        <f t="shared" si="53"/>
        <v>-2.8827333287483386E-3</v>
      </c>
      <c r="AP129">
        <f t="shared" si="53"/>
        <v>-2.8827333287483386E-3</v>
      </c>
      <c r="AQ129">
        <f t="shared" si="53"/>
        <v>-2.8827333287483386E-3</v>
      </c>
      <c r="AR129">
        <f t="shared" si="53"/>
        <v>-2.8827333287483386E-3</v>
      </c>
      <c r="AS129">
        <f t="shared" si="53"/>
        <v>-2.8827333287483386E-3</v>
      </c>
      <c r="AT129">
        <f t="shared" si="53"/>
        <v>-2.8827333287483386E-3</v>
      </c>
      <c r="AU129">
        <f t="shared" si="53"/>
        <v>-2.8827333287483386E-3</v>
      </c>
      <c r="AV129">
        <f t="shared" si="53"/>
        <v>-2.8827333287483386E-3</v>
      </c>
      <c r="AW129">
        <f t="shared" si="53"/>
        <v>-2.8827333287483386E-3</v>
      </c>
      <c r="AX129">
        <f t="shared" si="53"/>
        <v>-2.8827333287483386E-3</v>
      </c>
      <c r="AY129">
        <f t="shared" si="53"/>
        <v>-2.8827333287483386E-3</v>
      </c>
      <c r="AZ129">
        <f t="shared" si="53"/>
        <v>-2.8827333287483386E-3</v>
      </c>
      <c r="BA129">
        <f t="shared" si="53"/>
        <v>-2.8827333287483386E-3</v>
      </c>
      <c r="BB129">
        <f t="shared" si="53"/>
        <v>-2.8827333287483386E-3</v>
      </c>
      <c r="BC129">
        <f t="shared" si="53"/>
        <v>-2.8827333287483386E-3</v>
      </c>
      <c r="BD129">
        <f t="shared" si="53"/>
        <v>-2.8827333287483386E-3</v>
      </c>
      <c r="BE129">
        <f t="shared" si="53"/>
        <v>-2.8827333287483386E-3</v>
      </c>
      <c r="BF129">
        <f t="shared" si="53"/>
        <v>-2.8827333287483386E-3</v>
      </c>
      <c r="BG129">
        <f t="shared" si="53"/>
        <v>-2.8827333287483386E-3</v>
      </c>
      <c r="BH129">
        <f t="shared" si="53"/>
        <v>-2.8827333287483386E-3</v>
      </c>
      <c r="BI129">
        <f t="shared" si="53"/>
        <v>-2.8827333287483386E-3</v>
      </c>
      <c r="BJ129">
        <f t="shared" si="53"/>
        <v>-2.8827333287483386E-3</v>
      </c>
      <c r="BK129">
        <f t="shared" si="53"/>
        <v>-2.8827333287483386E-3</v>
      </c>
      <c r="BL129">
        <f t="shared" si="53"/>
        <v>-2.8827333287483386E-3</v>
      </c>
      <c r="BM129">
        <f t="shared" si="53"/>
        <v>-2.8827333287483386E-3</v>
      </c>
      <c r="BN129">
        <f t="shared" si="53"/>
        <v>-2.8827333287483386E-3</v>
      </c>
      <c r="BO129">
        <f t="shared" si="53"/>
        <v>-2.8827333287483386E-3</v>
      </c>
      <c r="BP129">
        <f t="shared" si="53"/>
        <v>-2.8827333287483386E-3</v>
      </c>
      <c r="BQ129">
        <f t="shared" si="53"/>
        <v>-2.8827333287483386E-3</v>
      </c>
      <c r="BR129">
        <f t="shared" ref="BR129:DA129" si="54">NormDet1*(BR116-ISolventDet1)</f>
        <v>-2.8827333287483386E-3</v>
      </c>
      <c r="BS129">
        <f t="shared" si="54"/>
        <v>-2.8827333287483386E-3</v>
      </c>
      <c r="BT129">
        <f t="shared" si="54"/>
        <v>-2.8827333287483386E-3</v>
      </c>
      <c r="BU129">
        <f t="shared" si="54"/>
        <v>-2.8827333287483386E-3</v>
      </c>
      <c r="BV129">
        <f t="shared" si="54"/>
        <v>-2.8827333287483386E-3</v>
      </c>
      <c r="BW129">
        <f t="shared" si="54"/>
        <v>-2.8827333287483386E-3</v>
      </c>
      <c r="BX129">
        <f t="shared" si="54"/>
        <v>-2.8827333287483386E-3</v>
      </c>
      <c r="BY129">
        <f t="shared" si="54"/>
        <v>-2.8827333287483386E-3</v>
      </c>
      <c r="BZ129">
        <f t="shared" si="54"/>
        <v>-2.8827333287483386E-3</v>
      </c>
      <c r="CA129">
        <f t="shared" si="54"/>
        <v>-2.8827333287483386E-3</v>
      </c>
      <c r="CB129">
        <f t="shared" si="54"/>
        <v>-2.8827333287483386E-3</v>
      </c>
      <c r="CC129">
        <f t="shared" si="54"/>
        <v>-2.8827333287483386E-3</v>
      </c>
      <c r="CD129">
        <f t="shared" si="54"/>
        <v>-2.8827333287483386E-3</v>
      </c>
      <c r="CE129">
        <f t="shared" si="54"/>
        <v>-2.8827333287483386E-3</v>
      </c>
      <c r="CF129">
        <f t="shared" si="54"/>
        <v>-2.8827333287483386E-3</v>
      </c>
      <c r="CG129">
        <f t="shared" si="54"/>
        <v>-2.8827333287483386E-3</v>
      </c>
      <c r="CH129">
        <f t="shared" si="54"/>
        <v>-2.8827333287483386E-3</v>
      </c>
      <c r="CI129">
        <f t="shared" si="54"/>
        <v>-2.8827333287483386E-3</v>
      </c>
      <c r="CJ129">
        <f t="shared" si="54"/>
        <v>-2.8827333287483386E-3</v>
      </c>
      <c r="CK129">
        <f t="shared" si="54"/>
        <v>-2.8827333287483386E-3</v>
      </c>
      <c r="CL129">
        <f t="shared" si="54"/>
        <v>-2.8827333287483386E-3</v>
      </c>
      <c r="CM129">
        <f t="shared" si="54"/>
        <v>-2.8827333287483386E-3</v>
      </c>
      <c r="CN129">
        <f t="shared" si="54"/>
        <v>-2.8827333287483386E-3</v>
      </c>
      <c r="CO129">
        <f t="shared" si="54"/>
        <v>-2.8827333287483386E-3</v>
      </c>
      <c r="CP129">
        <f t="shared" si="54"/>
        <v>-2.8827333287483386E-3</v>
      </c>
      <c r="CQ129">
        <f t="shared" si="54"/>
        <v>-2.8827333287483386E-3</v>
      </c>
      <c r="CR129">
        <f t="shared" si="54"/>
        <v>-2.8827333287483386E-3</v>
      </c>
      <c r="CS129">
        <f t="shared" si="54"/>
        <v>-2.8827333287483386E-3</v>
      </c>
      <c r="CT129">
        <f t="shared" si="54"/>
        <v>-2.8827333287483386E-3</v>
      </c>
      <c r="CU129">
        <f t="shared" si="54"/>
        <v>-2.8827333287483386E-3</v>
      </c>
      <c r="CV129">
        <f t="shared" si="54"/>
        <v>-2.8827333287483386E-3</v>
      </c>
      <c r="CW129">
        <f t="shared" si="54"/>
        <v>-2.8827333287483386E-3</v>
      </c>
      <c r="CX129">
        <f t="shared" si="54"/>
        <v>-2.8827333287483386E-3</v>
      </c>
      <c r="CY129">
        <f t="shared" si="54"/>
        <v>-2.8827333287483386E-3</v>
      </c>
      <c r="CZ129">
        <f t="shared" si="54"/>
        <v>-2.8827333287483386E-3</v>
      </c>
      <c r="DA129">
        <f t="shared" si="54"/>
        <v>-2.8827333287483386E-3</v>
      </c>
    </row>
    <row r="130" spans="1:105">
      <c r="A130" s="64" t="s">
        <v>146</v>
      </c>
      <c r="B130" s="68">
        <v>50</v>
      </c>
      <c r="C130" s="66" t="e">
        <f t="shared" si="50"/>
        <v>#DIV/0!</v>
      </c>
      <c r="D130" s="66" t="e">
        <f t="shared" ref="D130:D136" si="55">C130^2</f>
        <v>#DIV/0!</v>
      </c>
      <c r="E130" s="77">
        <f>0.00151351698899302*1.0634</f>
        <v>1.6094739660951773E-3</v>
      </c>
      <c r="F130">
        <f t="shared" ref="F130:I130" si="56">NormDet2*(F117-ISolventDet2)</f>
        <v>-2.6977841672290756E-3</v>
      </c>
      <c r="G130">
        <f t="shared" si="56"/>
        <v>-2.6977841672290756E-3</v>
      </c>
      <c r="H130">
        <f t="shared" si="56"/>
        <v>-2.6977841672290756E-3</v>
      </c>
      <c r="I130">
        <f t="shared" si="56"/>
        <v>-2.6977841672290756E-3</v>
      </c>
      <c r="J130">
        <f t="shared" ref="J130:AK130" si="57">NormDet2*(J117-ISolventDet2)</f>
        <v>-2.6977841672290756E-3</v>
      </c>
      <c r="K130">
        <f t="shared" si="57"/>
        <v>-2.6977841672290756E-3</v>
      </c>
      <c r="L130">
        <f t="shared" si="57"/>
        <v>-2.6977841672290756E-3</v>
      </c>
      <c r="M130">
        <f t="shared" si="57"/>
        <v>-2.6977841672290756E-3</v>
      </c>
      <c r="N130">
        <f t="shared" si="57"/>
        <v>-2.6977841672290756E-3</v>
      </c>
      <c r="O130">
        <f t="shared" si="57"/>
        <v>-2.6977841672290756E-3</v>
      </c>
      <c r="P130">
        <f t="shared" si="57"/>
        <v>-2.6977841672290756E-3</v>
      </c>
      <c r="Q130">
        <f t="shared" si="57"/>
        <v>-2.6977841672290756E-3</v>
      </c>
      <c r="R130">
        <f t="shared" si="57"/>
        <v>-2.6977841672290756E-3</v>
      </c>
      <c r="S130">
        <f t="shared" si="57"/>
        <v>-2.6977841672290756E-3</v>
      </c>
      <c r="T130">
        <f t="shared" si="57"/>
        <v>-2.6977841672290756E-3</v>
      </c>
      <c r="U130">
        <f t="shared" si="57"/>
        <v>-2.6977841672290756E-3</v>
      </c>
      <c r="V130">
        <f t="shared" si="57"/>
        <v>-2.6977841672290756E-3</v>
      </c>
      <c r="W130">
        <f t="shared" si="57"/>
        <v>-2.6977841672290756E-3</v>
      </c>
      <c r="X130">
        <f t="shared" si="57"/>
        <v>-2.6977841672290756E-3</v>
      </c>
      <c r="Y130">
        <f t="shared" si="57"/>
        <v>-2.6977841672290756E-3</v>
      </c>
      <c r="Z130">
        <f t="shared" si="57"/>
        <v>-2.6977841672290756E-3</v>
      </c>
      <c r="AA130">
        <f t="shared" si="57"/>
        <v>-2.6977841672290756E-3</v>
      </c>
      <c r="AB130">
        <f t="shared" si="57"/>
        <v>-2.6977841672290756E-3</v>
      </c>
      <c r="AC130">
        <f t="shared" si="57"/>
        <v>-2.6977841672290756E-3</v>
      </c>
      <c r="AD130">
        <f t="shared" si="57"/>
        <v>-2.6977841672290756E-3</v>
      </c>
      <c r="AE130">
        <f t="shared" si="57"/>
        <v>-2.6977841672290756E-3</v>
      </c>
      <c r="AF130">
        <f t="shared" si="57"/>
        <v>-2.6977841672290756E-3</v>
      </c>
      <c r="AG130">
        <f t="shared" si="57"/>
        <v>-2.6977841672290756E-3</v>
      </c>
      <c r="AH130">
        <f t="shared" si="57"/>
        <v>-2.6977841672290756E-3</v>
      </c>
      <c r="AI130">
        <f t="shared" si="57"/>
        <v>-2.6977841672290756E-3</v>
      </c>
      <c r="AJ130">
        <f t="shared" si="57"/>
        <v>-2.6977841672290756E-3</v>
      </c>
      <c r="AK130">
        <f t="shared" si="57"/>
        <v>-2.6977841672290756E-3</v>
      </c>
      <c r="AL130">
        <f t="shared" ref="AL130:BQ130" si="58">NormDet2*(AL117-ISolventDet2)</f>
        <v>-2.6977841672290756E-3</v>
      </c>
      <c r="AM130">
        <f t="shared" si="58"/>
        <v>-2.6977841672290756E-3</v>
      </c>
      <c r="AN130">
        <f t="shared" si="58"/>
        <v>-2.6977841672290756E-3</v>
      </c>
      <c r="AO130">
        <f t="shared" si="58"/>
        <v>-2.6977841672290756E-3</v>
      </c>
      <c r="AP130">
        <f t="shared" si="58"/>
        <v>-2.6977841672290756E-3</v>
      </c>
      <c r="AQ130">
        <f t="shared" si="58"/>
        <v>-2.6977841672290756E-3</v>
      </c>
      <c r="AR130">
        <f t="shared" si="58"/>
        <v>-2.6977841672290756E-3</v>
      </c>
      <c r="AS130">
        <f t="shared" si="58"/>
        <v>-2.6977841672290756E-3</v>
      </c>
      <c r="AT130">
        <f t="shared" si="58"/>
        <v>-2.6977841672290756E-3</v>
      </c>
      <c r="AU130">
        <f t="shared" si="58"/>
        <v>-2.6977841672290756E-3</v>
      </c>
      <c r="AV130">
        <f t="shared" si="58"/>
        <v>-2.6977841672290756E-3</v>
      </c>
      <c r="AW130">
        <f t="shared" si="58"/>
        <v>-2.6977841672290756E-3</v>
      </c>
      <c r="AX130">
        <f t="shared" si="58"/>
        <v>-2.6977841672290756E-3</v>
      </c>
      <c r="AY130">
        <f t="shared" si="58"/>
        <v>-2.6977841672290756E-3</v>
      </c>
      <c r="AZ130">
        <f t="shared" si="58"/>
        <v>-2.6977841672290756E-3</v>
      </c>
      <c r="BA130">
        <f t="shared" si="58"/>
        <v>-2.6977841672290756E-3</v>
      </c>
      <c r="BB130">
        <f t="shared" si="58"/>
        <v>-2.6977841672290756E-3</v>
      </c>
      <c r="BC130">
        <f t="shared" si="58"/>
        <v>-2.6977841672290756E-3</v>
      </c>
      <c r="BD130">
        <f t="shared" si="58"/>
        <v>-2.6977841672290756E-3</v>
      </c>
      <c r="BE130">
        <f t="shared" si="58"/>
        <v>-2.6977841672290756E-3</v>
      </c>
      <c r="BF130">
        <f t="shared" si="58"/>
        <v>-2.6977841672290756E-3</v>
      </c>
      <c r="BG130">
        <f t="shared" si="58"/>
        <v>-2.6977841672290756E-3</v>
      </c>
      <c r="BH130">
        <f t="shared" si="58"/>
        <v>-2.6977841672290756E-3</v>
      </c>
      <c r="BI130">
        <f t="shared" si="58"/>
        <v>-2.6977841672290756E-3</v>
      </c>
      <c r="BJ130">
        <f t="shared" si="58"/>
        <v>-2.6977841672290756E-3</v>
      </c>
      <c r="BK130">
        <f t="shared" si="58"/>
        <v>-2.6977841672290756E-3</v>
      </c>
      <c r="BL130">
        <f t="shared" si="58"/>
        <v>-2.6977841672290756E-3</v>
      </c>
      <c r="BM130">
        <f t="shared" si="58"/>
        <v>-2.6977841672290756E-3</v>
      </c>
      <c r="BN130">
        <f t="shared" si="58"/>
        <v>-2.6977841672290756E-3</v>
      </c>
      <c r="BO130">
        <f t="shared" si="58"/>
        <v>-2.6977841672290756E-3</v>
      </c>
      <c r="BP130">
        <f t="shared" si="58"/>
        <v>-2.6977841672290756E-3</v>
      </c>
      <c r="BQ130">
        <f t="shared" si="58"/>
        <v>-2.6977841672290756E-3</v>
      </c>
      <c r="BR130">
        <f t="shared" ref="BR130:DA130" si="59">NormDet2*(BR117-ISolventDet2)</f>
        <v>-2.6977841672290756E-3</v>
      </c>
      <c r="BS130">
        <f t="shared" si="59"/>
        <v>-2.6977841672290756E-3</v>
      </c>
      <c r="BT130">
        <f t="shared" si="59"/>
        <v>-2.6977841672290756E-3</v>
      </c>
      <c r="BU130">
        <f t="shared" si="59"/>
        <v>-2.6977841672290756E-3</v>
      </c>
      <c r="BV130">
        <f t="shared" si="59"/>
        <v>-2.6977841672290756E-3</v>
      </c>
      <c r="BW130">
        <f t="shared" si="59"/>
        <v>-2.6977841672290756E-3</v>
      </c>
      <c r="BX130">
        <f t="shared" si="59"/>
        <v>-2.6977841672290756E-3</v>
      </c>
      <c r="BY130">
        <f t="shared" si="59"/>
        <v>-2.6977841672290756E-3</v>
      </c>
      <c r="BZ130">
        <f t="shared" si="59"/>
        <v>-2.6977841672290756E-3</v>
      </c>
      <c r="CA130">
        <f t="shared" si="59"/>
        <v>-2.6977841672290756E-3</v>
      </c>
      <c r="CB130">
        <f t="shared" si="59"/>
        <v>-2.6977841672290756E-3</v>
      </c>
      <c r="CC130">
        <f t="shared" si="59"/>
        <v>-2.6977841672290756E-3</v>
      </c>
      <c r="CD130">
        <f t="shared" si="59"/>
        <v>-2.6977841672290756E-3</v>
      </c>
      <c r="CE130">
        <f t="shared" si="59"/>
        <v>-2.6977841672290756E-3</v>
      </c>
      <c r="CF130">
        <f t="shared" si="59"/>
        <v>-2.6977841672290756E-3</v>
      </c>
      <c r="CG130">
        <f t="shared" si="59"/>
        <v>-2.6977841672290756E-3</v>
      </c>
      <c r="CH130">
        <f t="shared" si="59"/>
        <v>-2.6977841672290756E-3</v>
      </c>
      <c r="CI130">
        <f t="shared" si="59"/>
        <v>-2.6977841672290756E-3</v>
      </c>
      <c r="CJ130">
        <f t="shared" si="59"/>
        <v>-2.6977841672290756E-3</v>
      </c>
      <c r="CK130">
        <f t="shared" si="59"/>
        <v>-2.6977841672290756E-3</v>
      </c>
      <c r="CL130">
        <f t="shared" si="59"/>
        <v>-2.6977841672290756E-3</v>
      </c>
      <c r="CM130">
        <f t="shared" si="59"/>
        <v>-2.6977841672290756E-3</v>
      </c>
      <c r="CN130">
        <f t="shared" si="59"/>
        <v>-2.6977841672290756E-3</v>
      </c>
      <c r="CO130">
        <f t="shared" si="59"/>
        <v>-2.6977841672290756E-3</v>
      </c>
      <c r="CP130">
        <f t="shared" si="59"/>
        <v>-2.6977841672290756E-3</v>
      </c>
      <c r="CQ130">
        <f t="shared" si="59"/>
        <v>-2.6977841672290756E-3</v>
      </c>
      <c r="CR130">
        <f t="shared" si="59"/>
        <v>-2.6977841672290756E-3</v>
      </c>
      <c r="CS130">
        <f t="shared" si="59"/>
        <v>-2.6977841672290756E-3</v>
      </c>
      <c r="CT130">
        <f t="shared" si="59"/>
        <v>-2.6977841672290756E-3</v>
      </c>
      <c r="CU130">
        <f t="shared" si="59"/>
        <v>-2.6977841672290756E-3</v>
      </c>
      <c r="CV130">
        <f t="shared" si="59"/>
        <v>-2.6977841672290756E-3</v>
      </c>
      <c r="CW130">
        <f t="shared" si="59"/>
        <v>-2.6977841672290756E-3</v>
      </c>
      <c r="CX130">
        <f t="shared" si="59"/>
        <v>-2.6977841672290756E-3</v>
      </c>
      <c r="CY130">
        <f t="shared" si="59"/>
        <v>-2.6977841672290756E-3</v>
      </c>
      <c r="CZ130">
        <f t="shared" si="59"/>
        <v>-2.6977841672290756E-3</v>
      </c>
      <c r="DA130">
        <f t="shared" si="59"/>
        <v>-2.6977841672290756E-3</v>
      </c>
    </row>
    <row r="131" spans="1:105">
      <c r="A131" s="64" t="s">
        <v>145</v>
      </c>
      <c r="B131" s="68">
        <v>64</v>
      </c>
      <c r="C131" s="66" t="e">
        <f t="shared" si="50"/>
        <v>#DIV/0!</v>
      </c>
      <c r="D131" s="66" t="e">
        <f t="shared" si="55"/>
        <v>#DIV/0!</v>
      </c>
      <c r="E131" s="77">
        <f>0.00163515942714146*1.028</f>
        <v>1.6809438911014208E-3</v>
      </c>
      <c r="F131">
        <f t="shared" ref="F131:I131" si="60">NormDet3*(F118-ISolventDet3)</f>
        <v>-4.8269984776868396E-3</v>
      </c>
      <c r="G131">
        <f t="shared" si="60"/>
        <v>-4.8269984776868396E-3</v>
      </c>
      <c r="H131">
        <f t="shared" si="60"/>
        <v>-4.8269984776868396E-3</v>
      </c>
      <c r="I131">
        <f t="shared" si="60"/>
        <v>-4.8269984776868396E-3</v>
      </c>
      <c r="J131">
        <f t="shared" ref="J131:AK131" si="61">NormDet3*(J118-ISolventDet3)</f>
        <v>-4.8269984776868396E-3</v>
      </c>
      <c r="K131">
        <f t="shared" si="61"/>
        <v>-4.8269984776868396E-3</v>
      </c>
      <c r="L131">
        <f t="shared" si="61"/>
        <v>-4.8269984776868396E-3</v>
      </c>
      <c r="M131">
        <f t="shared" si="61"/>
        <v>-4.8269984776868396E-3</v>
      </c>
      <c r="N131">
        <f t="shared" si="61"/>
        <v>-4.8269984776868396E-3</v>
      </c>
      <c r="O131">
        <f t="shared" si="61"/>
        <v>-4.8269984776868396E-3</v>
      </c>
      <c r="P131">
        <f t="shared" si="61"/>
        <v>-4.8269984776868396E-3</v>
      </c>
      <c r="Q131">
        <f t="shared" si="61"/>
        <v>-4.8269984776868396E-3</v>
      </c>
      <c r="R131">
        <f t="shared" si="61"/>
        <v>-4.8269984776868396E-3</v>
      </c>
      <c r="S131">
        <f t="shared" si="61"/>
        <v>-4.8269984776868396E-3</v>
      </c>
      <c r="T131">
        <f t="shared" si="61"/>
        <v>-4.8269984776868396E-3</v>
      </c>
      <c r="U131">
        <f t="shared" si="61"/>
        <v>-4.8269984776868396E-3</v>
      </c>
      <c r="V131">
        <f t="shared" si="61"/>
        <v>-4.8269984776868396E-3</v>
      </c>
      <c r="W131">
        <f t="shared" si="61"/>
        <v>-4.8269984776868396E-3</v>
      </c>
      <c r="X131">
        <f t="shared" si="61"/>
        <v>-4.8269984776868396E-3</v>
      </c>
      <c r="Y131">
        <f t="shared" si="61"/>
        <v>-4.8269984776868396E-3</v>
      </c>
      <c r="Z131">
        <f t="shared" si="61"/>
        <v>-4.8269984776868396E-3</v>
      </c>
      <c r="AA131">
        <f t="shared" si="61"/>
        <v>-4.8269984776868396E-3</v>
      </c>
      <c r="AB131">
        <f t="shared" si="61"/>
        <v>-4.8269984776868396E-3</v>
      </c>
      <c r="AC131">
        <f t="shared" si="61"/>
        <v>-4.8269984776868396E-3</v>
      </c>
      <c r="AD131">
        <f t="shared" si="61"/>
        <v>-4.8269984776868396E-3</v>
      </c>
      <c r="AE131">
        <f t="shared" si="61"/>
        <v>-4.8269984776868396E-3</v>
      </c>
      <c r="AF131">
        <f t="shared" si="61"/>
        <v>-4.8269984776868396E-3</v>
      </c>
      <c r="AG131">
        <f t="shared" si="61"/>
        <v>-4.8269984776868396E-3</v>
      </c>
      <c r="AH131">
        <f t="shared" si="61"/>
        <v>-4.8269984776868396E-3</v>
      </c>
      <c r="AI131">
        <f t="shared" si="61"/>
        <v>-4.8269984776868396E-3</v>
      </c>
      <c r="AJ131">
        <f t="shared" si="61"/>
        <v>-4.8269984776868396E-3</v>
      </c>
      <c r="AK131">
        <f t="shared" si="61"/>
        <v>-4.8269984776868396E-3</v>
      </c>
      <c r="AL131">
        <f t="shared" ref="AL131:BQ131" si="62">NormDet3*(AL118-ISolventDet3)</f>
        <v>-4.8269984776868396E-3</v>
      </c>
      <c r="AM131">
        <f t="shared" si="62"/>
        <v>-4.8269984776868396E-3</v>
      </c>
      <c r="AN131">
        <f t="shared" si="62"/>
        <v>-4.8269984776868396E-3</v>
      </c>
      <c r="AO131">
        <f t="shared" si="62"/>
        <v>-4.8269984776868396E-3</v>
      </c>
      <c r="AP131">
        <f t="shared" si="62"/>
        <v>-4.8269984776868396E-3</v>
      </c>
      <c r="AQ131">
        <f t="shared" si="62"/>
        <v>-4.8269984776868396E-3</v>
      </c>
      <c r="AR131">
        <f t="shared" si="62"/>
        <v>-4.8269984776868396E-3</v>
      </c>
      <c r="AS131">
        <f t="shared" si="62"/>
        <v>-4.8269984776868396E-3</v>
      </c>
      <c r="AT131">
        <f t="shared" si="62"/>
        <v>-4.8269984776868396E-3</v>
      </c>
      <c r="AU131">
        <f t="shared" si="62"/>
        <v>-4.8269984776868396E-3</v>
      </c>
      <c r="AV131">
        <f t="shared" si="62"/>
        <v>-4.8269984776868396E-3</v>
      </c>
      <c r="AW131">
        <f t="shared" si="62"/>
        <v>-4.8269984776868396E-3</v>
      </c>
      <c r="AX131">
        <f t="shared" si="62"/>
        <v>-4.8269984776868396E-3</v>
      </c>
      <c r="AY131">
        <f t="shared" si="62"/>
        <v>-4.8269984776868396E-3</v>
      </c>
      <c r="AZ131">
        <f t="shared" si="62"/>
        <v>-4.8269984776868396E-3</v>
      </c>
      <c r="BA131">
        <f t="shared" si="62"/>
        <v>-4.8269984776868396E-3</v>
      </c>
      <c r="BB131">
        <f t="shared" si="62"/>
        <v>-4.8269984776868396E-3</v>
      </c>
      <c r="BC131">
        <f t="shared" si="62"/>
        <v>-4.8269984776868396E-3</v>
      </c>
      <c r="BD131">
        <f t="shared" si="62"/>
        <v>-4.8269984776868396E-3</v>
      </c>
      <c r="BE131">
        <f t="shared" si="62"/>
        <v>-4.8269984776868396E-3</v>
      </c>
      <c r="BF131">
        <f t="shared" si="62"/>
        <v>-4.8269984776868396E-3</v>
      </c>
      <c r="BG131">
        <f t="shared" si="62"/>
        <v>-4.8269984776868396E-3</v>
      </c>
      <c r="BH131">
        <f t="shared" si="62"/>
        <v>-4.8269984776868396E-3</v>
      </c>
      <c r="BI131">
        <f t="shared" si="62"/>
        <v>-4.8269984776868396E-3</v>
      </c>
      <c r="BJ131">
        <f t="shared" si="62"/>
        <v>-4.8269984776868396E-3</v>
      </c>
      <c r="BK131">
        <f t="shared" si="62"/>
        <v>-4.8269984776868396E-3</v>
      </c>
      <c r="BL131">
        <f t="shared" si="62"/>
        <v>-4.8269984776868396E-3</v>
      </c>
      <c r="BM131">
        <f t="shared" si="62"/>
        <v>-4.8269984776868396E-3</v>
      </c>
      <c r="BN131">
        <f t="shared" si="62"/>
        <v>-4.8269984776868396E-3</v>
      </c>
      <c r="BO131">
        <f t="shared" si="62"/>
        <v>-4.8269984776868396E-3</v>
      </c>
      <c r="BP131">
        <f t="shared" si="62"/>
        <v>-4.8269984776868396E-3</v>
      </c>
      <c r="BQ131">
        <f t="shared" si="62"/>
        <v>-4.8269984776868396E-3</v>
      </c>
      <c r="BR131">
        <f t="shared" ref="BR131:DA131" si="63">NormDet3*(BR118-ISolventDet3)</f>
        <v>-4.8269984776868396E-3</v>
      </c>
      <c r="BS131">
        <f t="shared" si="63"/>
        <v>-4.8269984776868396E-3</v>
      </c>
      <c r="BT131">
        <f t="shared" si="63"/>
        <v>-4.8269984776868396E-3</v>
      </c>
      <c r="BU131">
        <f t="shared" si="63"/>
        <v>-4.8269984776868396E-3</v>
      </c>
      <c r="BV131">
        <f t="shared" si="63"/>
        <v>-4.8269984776868396E-3</v>
      </c>
      <c r="BW131">
        <f t="shared" si="63"/>
        <v>-4.8269984776868396E-3</v>
      </c>
      <c r="BX131">
        <f t="shared" si="63"/>
        <v>-4.8269984776868396E-3</v>
      </c>
      <c r="BY131">
        <f t="shared" si="63"/>
        <v>-4.8269984776868396E-3</v>
      </c>
      <c r="BZ131">
        <f t="shared" si="63"/>
        <v>-4.8269984776868396E-3</v>
      </c>
      <c r="CA131">
        <f t="shared" si="63"/>
        <v>-4.8269984776868396E-3</v>
      </c>
      <c r="CB131">
        <f t="shared" si="63"/>
        <v>-4.8269984776868396E-3</v>
      </c>
      <c r="CC131">
        <f t="shared" si="63"/>
        <v>-4.8269984776868396E-3</v>
      </c>
      <c r="CD131">
        <f t="shared" si="63"/>
        <v>-4.8269984776868396E-3</v>
      </c>
      <c r="CE131">
        <f t="shared" si="63"/>
        <v>-4.8269984776868396E-3</v>
      </c>
      <c r="CF131">
        <f t="shared" si="63"/>
        <v>-4.8269984776868396E-3</v>
      </c>
      <c r="CG131">
        <f t="shared" si="63"/>
        <v>-4.8269984776868396E-3</v>
      </c>
      <c r="CH131">
        <f t="shared" si="63"/>
        <v>-4.8269984776868396E-3</v>
      </c>
      <c r="CI131">
        <f t="shared" si="63"/>
        <v>-4.8269984776868396E-3</v>
      </c>
      <c r="CJ131">
        <f t="shared" si="63"/>
        <v>-4.8269984776868396E-3</v>
      </c>
      <c r="CK131">
        <f t="shared" si="63"/>
        <v>-4.8269984776868396E-3</v>
      </c>
      <c r="CL131">
        <f t="shared" si="63"/>
        <v>-4.8269984776868396E-3</v>
      </c>
      <c r="CM131">
        <f t="shared" si="63"/>
        <v>-4.8269984776868396E-3</v>
      </c>
      <c r="CN131">
        <f t="shared" si="63"/>
        <v>-4.8269984776868396E-3</v>
      </c>
      <c r="CO131">
        <f t="shared" si="63"/>
        <v>-4.8269984776868396E-3</v>
      </c>
      <c r="CP131">
        <f t="shared" si="63"/>
        <v>-4.8269984776868396E-3</v>
      </c>
      <c r="CQ131">
        <f t="shared" si="63"/>
        <v>-4.8269984776868396E-3</v>
      </c>
      <c r="CR131">
        <f t="shared" si="63"/>
        <v>-4.8269984776868396E-3</v>
      </c>
      <c r="CS131">
        <f t="shared" si="63"/>
        <v>-4.8269984776868396E-3</v>
      </c>
      <c r="CT131">
        <f t="shared" si="63"/>
        <v>-4.8269984776868396E-3</v>
      </c>
      <c r="CU131">
        <f t="shared" si="63"/>
        <v>-4.8269984776868396E-3</v>
      </c>
      <c r="CV131">
        <f t="shared" si="63"/>
        <v>-4.8269984776868396E-3</v>
      </c>
      <c r="CW131">
        <f t="shared" si="63"/>
        <v>-4.8269984776868396E-3</v>
      </c>
      <c r="CX131">
        <f t="shared" si="63"/>
        <v>-4.8269984776868396E-3</v>
      </c>
      <c r="CY131">
        <f t="shared" si="63"/>
        <v>-4.8269984776868396E-3</v>
      </c>
      <c r="CZ131">
        <f t="shared" si="63"/>
        <v>-4.8269984776868396E-3</v>
      </c>
      <c r="DA131">
        <f t="shared" si="63"/>
        <v>-4.8269984776868396E-3</v>
      </c>
    </row>
    <row r="132" spans="1:105">
      <c r="A132" s="64" t="s">
        <v>148</v>
      </c>
      <c r="B132" s="68">
        <v>81</v>
      </c>
      <c r="C132" s="66" t="e">
        <f t="shared" si="50"/>
        <v>#DIV/0!</v>
      </c>
      <c r="D132" s="66" t="e">
        <f t="shared" si="55"/>
        <v>#DIV/0!</v>
      </c>
      <c r="E132" s="77">
        <f>0.0021382*0.7982</f>
        <v>1.70671124E-3</v>
      </c>
      <c r="F132">
        <f t="shared" ref="F132:I132" si="64">NormDet4*(F119-ISolventDet4)</f>
        <v>-2.7213510721800001E-3</v>
      </c>
      <c r="G132">
        <f t="shared" si="64"/>
        <v>-2.7213510721800001E-3</v>
      </c>
      <c r="H132">
        <f t="shared" si="64"/>
        <v>-2.7213510721800001E-3</v>
      </c>
      <c r="I132">
        <f t="shared" si="64"/>
        <v>-2.7213510721800001E-3</v>
      </c>
      <c r="J132">
        <f t="shared" ref="J132:AK132" si="65">NormDet4*(J119-ISolventDet4)</f>
        <v>-2.7213510721800001E-3</v>
      </c>
      <c r="K132">
        <f t="shared" si="65"/>
        <v>-2.7213510721800001E-3</v>
      </c>
      <c r="L132">
        <f t="shared" si="65"/>
        <v>-2.7213510721800001E-3</v>
      </c>
      <c r="M132">
        <f t="shared" si="65"/>
        <v>-2.7213510721800001E-3</v>
      </c>
      <c r="N132">
        <f t="shared" si="65"/>
        <v>-2.7213510721800001E-3</v>
      </c>
      <c r="O132">
        <f t="shared" si="65"/>
        <v>-2.7213510721800001E-3</v>
      </c>
      <c r="P132">
        <f t="shared" si="65"/>
        <v>-2.7213510721800001E-3</v>
      </c>
      <c r="Q132">
        <f t="shared" si="65"/>
        <v>-2.7213510721800001E-3</v>
      </c>
      <c r="R132">
        <f t="shared" si="65"/>
        <v>-2.7213510721800001E-3</v>
      </c>
      <c r="S132">
        <f t="shared" si="65"/>
        <v>-2.7213510721800001E-3</v>
      </c>
      <c r="T132">
        <f t="shared" si="65"/>
        <v>-2.7213510721800001E-3</v>
      </c>
      <c r="U132">
        <f t="shared" si="65"/>
        <v>-2.7213510721800001E-3</v>
      </c>
      <c r="V132">
        <f t="shared" si="65"/>
        <v>-2.7213510721800001E-3</v>
      </c>
      <c r="W132">
        <f t="shared" si="65"/>
        <v>-2.7213510721800001E-3</v>
      </c>
      <c r="X132">
        <f t="shared" si="65"/>
        <v>-2.7213510721800001E-3</v>
      </c>
      <c r="Y132">
        <f t="shared" si="65"/>
        <v>-2.7213510721800001E-3</v>
      </c>
      <c r="Z132">
        <f t="shared" si="65"/>
        <v>-2.7213510721800001E-3</v>
      </c>
      <c r="AA132">
        <f t="shared" si="65"/>
        <v>-2.7213510721800001E-3</v>
      </c>
      <c r="AB132">
        <f t="shared" si="65"/>
        <v>-2.7213510721800001E-3</v>
      </c>
      <c r="AC132">
        <f t="shared" si="65"/>
        <v>-2.7213510721800001E-3</v>
      </c>
      <c r="AD132">
        <f t="shared" si="65"/>
        <v>-2.7213510721800001E-3</v>
      </c>
      <c r="AE132">
        <f t="shared" si="65"/>
        <v>-2.7213510721800001E-3</v>
      </c>
      <c r="AF132">
        <f t="shared" si="65"/>
        <v>-2.7213510721800001E-3</v>
      </c>
      <c r="AG132">
        <f t="shared" si="65"/>
        <v>-2.7213510721800001E-3</v>
      </c>
      <c r="AH132">
        <f t="shared" si="65"/>
        <v>-2.7213510721800001E-3</v>
      </c>
      <c r="AI132">
        <f t="shared" si="65"/>
        <v>-2.7213510721800001E-3</v>
      </c>
      <c r="AJ132">
        <f t="shared" si="65"/>
        <v>-2.7213510721800001E-3</v>
      </c>
      <c r="AK132">
        <f t="shared" si="65"/>
        <v>-2.7213510721800001E-3</v>
      </c>
      <c r="AL132">
        <f t="shared" ref="AL132:BQ132" si="66">NormDet4*(AL119-ISolventDet4)</f>
        <v>-2.7213510721800001E-3</v>
      </c>
      <c r="AM132">
        <f t="shared" si="66"/>
        <v>-2.7213510721800001E-3</v>
      </c>
      <c r="AN132">
        <f t="shared" si="66"/>
        <v>-2.7213510721800001E-3</v>
      </c>
      <c r="AO132">
        <f t="shared" si="66"/>
        <v>-2.7213510721800001E-3</v>
      </c>
      <c r="AP132">
        <f t="shared" si="66"/>
        <v>-2.7213510721800001E-3</v>
      </c>
      <c r="AQ132">
        <f t="shared" si="66"/>
        <v>-2.7213510721800001E-3</v>
      </c>
      <c r="AR132">
        <f t="shared" si="66"/>
        <v>-2.7213510721800001E-3</v>
      </c>
      <c r="AS132">
        <f t="shared" si="66"/>
        <v>-2.7213510721800001E-3</v>
      </c>
      <c r="AT132">
        <f t="shared" si="66"/>
        <v>-2.7213510721800001E-3</v>
      </c>
      <c r="AU132">
        <f t="shared" si="66"/>
        <v>-2.7213510721800001E-3</v>
      </c>
      <c r="AV132">
        <f t="shared" si="66"/>
        <v>-2.7213510721800001E-3</v>
      </c>
      <c r="AW132">
        <f t="shared" si="66"/>
        <v>-2.7213510721800001E-3</v>
      </c>
      <c r="AX132">
        <f t="shared" si="66"/>
        <v>-2.7213510721800001E-3</v>
      </c>
      <c r="AY132">
        <f t="shared" si="66"/>
        <v>-2.7213510721800001E-3</v>
      </c>
      <c r="AZ132">
        <f t="shared" si="66"/>
        <v>-2.7213510721800001E-3</v>
      </c>
      <c r="BA132">
        <f t="shared" si="66"/>
        <v>-2.7213510721800001E-3</v>
      </c>
      <c r="BB132">
        <f t="shared" si="66"/>
        <v>-2.7213510721800001E-3</v>
      </c>
      <c r="BC132">
        <f t="shared" si="66"/>
        <v>-2.7213510721800001E-3</v>
      </c>
      <c r="BD132">
        <f t="shared" si="66"/>
        <v>-2.7213510721800001E-3</v>
      </c>
      <c r="BE132">
        <f t="shared" si="66"/>
        <v>-2.7213510721800001E-3</v>
      </c>
      <c r="BF132">
        <f t="shared" si="66"/>
        <v>-2.7213510721800001E-3</v>
      </c>
      <c r="BG132">
        <f t="shared" si="66"/>
        <v>-2.7213510721800001E-3</v>
      </c>
      <c r="BH132">
        <f t="shared" si="66"/>
        <v>-2.7213510721800001E-3</v>
      </c>
      <c r="BI132">
        <f t="shared" si="66"/>
        <v>-2.7213510721800001E-3</v>
      </c>
      <c r="BJ132">
        <f t="shared" si="66"/>
        <v>-2.7213510721800001E-3</v>
      </c>
      <c r="BK132">
        <f t="shared" si="66"/>
        <v>-2.7213510721800001E-3</v>
      </c>
      <c r="BL132">
        <f t="shared" si="66"/>
        <v>-2.7213510721800001E-3</v>
      </c>
      <c r="BM132">
        <f t="shared" si="66"/>
        <v>-2.7213510721800001E-3</v>
      </c>
      <c r="BN132">
        <f t="shared" si="66"/>
        <v>-2.7213510721800001E-3</v>
      </c>
      <c r="BO132">
        <f t="shared" si="66"/>
        <v>-2.7213510721800001E-3</v>
      </c>
      <c r="BP132">
        <f t="shared" si="66"/>
        <v>-2.7213510721800001E-3</v>
      </c>
      <c r="BQ132">
        <f t="shared" si="66"/>
        <v>-2.7213510721800001E-3</v>
      </c>
      <c r="BR132">
        <f t="shared" ref="BR132:DA132" si="67">NormDet4*(BR119-ISolventDet4)</f>
        <v>-2.7213510721800001E-3</v>
      </c>
      <c r="BS132">
        <f t="shared" si="67"/>
        <v>-2.7213510721800001E-3</v>
      </c>
      <c r="BT132">
        <f t="shared" si="67"/>
        <v>-2.7213510721800001E-3</v>
      </c>
      <c r="BU132">
        <f t="shared" si="67"/>
        <v>-2.7213510721800001E-3</v>
      </c>
      <c r="BV132">
        <f t="shared" si="67"/>
        <v>-2.7213510721800001E-3</v>
      </c>
      <c r="BW132">
        <f t="shared" si="67"/>
        <v>-2.7213510721800001E-3</v>
      </c>
      <c r="BX132">
        <f t="shared" si="67"/>
        <v>-2.7213510721800001E-3</v>
      </c>
      <c r="BY132">
        <f t="shared" si="67"/>
        <v>-2.7213510721800001E-3</v>
      </c>
      <c r="BZ132">
        <f t="shared" si="67"/>
        <v>-2.7213510721800001E-3</v>
      </c>
      <c r="CA132">
        <f t="shared" si="67"/>
        <v>-2.7213510721800001E-3</v>
      </c>
      <c r="CB132">
        <f t="shared" si="67"/>
        <v>-2.7213510721800001E-3</v>
      </c>
      <c r="CC132">
        <f t="shared" si="67"/>
        <v>-2.7213510721800001E-3</v>
      </c>
      <c r="CD132">
        <f t="shared" si="67"/>
        <v>-2.7213510721800001E-3</v>
      </c>
      <c r="CE132">
        <f t="shared" si="67"/>
        <v>-2.7213510721800001E-3</v>
      </c>
      <c r="CF132">
        <f t="shared" si="67"/>
        <v>-2.7213510721800001E-3</v>
      </c>
      <c r="CG132">
        <f t="shared" si="67"/>
        <v>-2.7213510721800001E-3</v>
      </c>
      <c r="CH132">
        <f t="shared" si="67"/>
        <v>-2.7213510721800001E-3</v>
      </c>
      <c r="CI132">
        <f t="shared" si="67"/>
        <v>-2.7213510721800001E-3</v>
      </c>
      <c r="CJ132">
        <f t="shared" si="67"/>
        <v>-2.7213510721800001E-3</v>
      </c>
      <c r="CK132">
        <f t="shared" si="67"/>
        <v>-2.7213510721800001E-3</v>
      </c>
      <c r="CL132">
        <f t="shared" si="67"/>
        <v>-2.7213510721800001E-3</v>
      </c>
      <c r="CM132">
        <f t="shared" si="67"/>
        <v>-2.7213510721800001E-3</v>
      </c>
      <c r="CN132">
        <f t="shared" si="67"/>
        <v>-2.7213510721800001E-3</v>
      </c>
      <c r="CO132">
        <f t="shared" si="67"/>
        <v>-2.7213510721800001E-3</v>
      </c>
      <c r="CP132">
        <f t="shared" si="67"/>
        <v>-2.7213510721800001E-3</v>
      </c>
      <c r="CQ132">
        <f t="shared" si="67"/>
        <v>-2.7213510721800001E-3</v>
      </c>
      <c r="CR132">
        <f t="shared" si="67"/>
        <v>-2.7213510721800001E-3</v>
      </c>
      <c r="CS132">
        <f t="shared" si="67"/>
        <v>-2.7213510721800001E-3</v>
      </c>
      <c r="CT132">
        <f t="shared" si="67"/>
        <v>-2.7213510721800001E-3</v>
      </c>
      <c r="CU132">
        <f t="shared" si="67"/>
        <v>-2.7213510721800001E-3</v>
      </c>
      <c r="CV132">
        <f t="shared" si="67"/>
        <v>-2.7213510721800001E-3</v>
      </c>
      <c r="CW132">
        <f t="shared" si="67"/>
        <v>-2.7213510721800001E-3</v>
      </c>
      <c r="CX132">
        <f t="shared" si="67"/>
        <v>-2.7213510721800001E-3</v>
      </c>
      <c r="CY132">
        <f t="shared" si="67"/>
        <v>-2.7213510721800001E-3</v>
      </c>
      <c r="CZ132">
        <f t="shared" si="67"/>
        <v>-2.7213510721800001E-3</v>
      </c>
      <c r="DA132">
        <f t="shared" si="67"/>
        <v>-2.7213510721800001E-3</v>
      </c>
    </row>
    <row r="133" spans="1:105">
      <c r="A133" s="64" t="s">
        <v>149</v>
      </c>
      <c r="B133" s="68">
        <v>99</v>
      </c>
      <c r="C133" s="66" t="e">
        <f t="shared" si="50"/>
        <v>#DIV/0!</v>
      </c>
      <c r="D133" s="66" t="e">
        <f t="shared" si="55"/>
        <v>#DIV/0!</v>
      </c>
      <c r="E133" s="77">
        <f>0.0074552*0.972</f>
        <v>7.2464544000000004E-3</v>
      </c>
      <c r="F133">
        <f t="shared" ref="F133:I133" si="68">NormDet5*(F120-ISolventDet5)</f>
        <v>-6.2692700241599999E-3</v>
      </c>
      <c r="G133">
        <f t="shared" si="68"/>
        <v>-6.2692700241599999E-3</v>
      </c>
      <c r="H133">
        <f t="shared" si="68"/>
        <v>-6.2692700241599999E-3</v>
      </c>
      <c r="I133">
        <f t="shared" si="68"/>
        <v>-6.2692700241599999E-3</v>
      </c>
      <c r="J133">
        <f t="shared" ref="J133:AK133" si="69">NormDet5*(J120-ISolventDet5)</f>
        <v>-6.2692700241599999E-3</v>
      </c>
      <c r="K133">
        <f t="shared" si="69"/>
        <v>-6.2692700241599999E-3</v>
      </c>
      <c r="L133">
        <f t="shared" si="69"/>
        <v>-6.2692700241599999E-3</v>
      </c>
      <c r="M133">
        <f t="shared" si="69"/>
        <v>-6.2692700241599999E-3</v>
      </c>
      <c r="N133">
        <f t="shared" si="69"/>
        <v>-6.2692700241599999E-3</v>
      </c>
      <c r="O133">
        <f t="shared" si="69"/>
        <v>-6.2692700241599999E-3</v>
      </c>
      <c r="P133">
        <f t="shared" si="69"/>
        <v>-6.2692700241599999E-3</v>
      </c>
      <c r="Q133">
        <f t="shared" si="69"/>
        <v>-6.2692700241599999E-3</v>
      </c>
      <c r="R133">
        <f t="shared" si="69"/>
        <v>-6.2692700241599999E-3</v>
      </c>
      <c r="S133">
        <f t="shared" si="69"/>
        <v>-6.2692700241599999E-3</v>
      </c>
      <c r="T133">
        <f t="shared" si="69"/>
        <v>-6.2692700241599999E-3</v>
      </c>
      <c r="U133">
        <f t="shared" si="69"/>
        <v>-6.2692700241599999E-3</v>
      </c>
      <c r="V133">
        <f t="shared" si="69"/>
        <v>-6.2692700241599999E-3</v>
      </c>
      <c r="W133">
        <f t="shared" si="69"/>
        <v>-6.2692700241599999E-3</v>
      </c>
      <c r="X133">
        <f t="shared" si="69"/>
        <v>-6.2692700241599999E-3</v>
      </c>
      <c r="Y133">
        <f t="shared" si="69"/>
        <v>-6.2692700241599999E-3</v>
      </c>
      <c r="Z133">
        <f t="shared" si="69"/>
        <v>-6.2692700241599999E-3</v>
      </c>
      <c r="AA133">
        <f t="shared" si="69"/>
        <v>-6.2692700241599999E-3</v>
      </c>
      <c r="AB133">
        <f t="shared" si="69"/>
        <v>-6.2692700241599999E-3</v>
      </c>
      <c r="AC133">
        <f t="shared" si="69"/>
        <v>-6.2692700241599999E-3</v>
      </c>
      <c r="AD133">
        <f t="shared" si="69"/>
        <v>-6.2692700241599999E-3</v>
      </c>
      <c r="AE133">
        <f t="shared" si="69"/>
        <v>-6.2692700241599999E-3</v>
      </c>
      <c r="AF133">
        <f t="shared" si="69"/>
        <v>-6.2692700241599999E-3</v>
      </c>
      <c r="AG133">
        <f t="shared" si="69"/>
        <v>-6.2692700241599999E-3</v>
      </c>
      <c r="AH133">
        <f t="shared" si="69"/>
        <v>-6.2692700241599999E-3</v>
      </c>
      <c r="AI133">
        <f t="shared" si="69"/>
        <v>-6.2692700241599999E-3</v>
      </c>
      <c r="AJ133">
        <f t="shared" si="69"/>
        <v>-6.2692700241599999E-3</v>
      </c>
      <c r="AK133">
        <f t="shared" si="69"/>
        <v>-6.2692700241599999E-3</v>
      </c>
      <c r="AL133">
        <f t="shared" ref="AL133:BQ133" si="70">NormDet5*(AL120-ISolventDet5)</f>
        <v>-6.2692700241599999E-3</v>
      </c>
      <c r="AM133">
        <f t="shared" si="70"/>
        <v>-6.2692700241599999E-3</v>
      </c>
      <c r="AN133">
        <f t="shared" si="70"/>
        <v>-6.2692700241599999E-3</v>
      </c>
      <c r="AO133">
        <f t="shared" si="70"/>
        <v>-6.2692700241599999E-3</v>
      </c>
      <c r="AP133">
        <f t="shared" si="70"/>
        <v>-6.2692700241599999E-3</v>
      </c>
      <c r="AQ133">
        <f t="shared" si="70"/>
        <v>-6.2692700241599999E-3</v>
      </c>
      <c r="AR133">
        <f t="shared" si="70"/>
        <v>-6.2692700241599999E-3</v>
      </c>
      <c r="AS133">
        <f t="shared" si="70"/>
        <v>-6.2692700241599999E-3</v>
      </c>
      <c r="AT133">
        <f t="shared" si="70"/>
        <v>-6.2692700241599999E-3</v>
      </c>
      <c r="AU133">
        <f t="shared" si="70"/>
        <v>-6.2692700241599999E-3</v>
      </c>
      <c r="AV133">
        <f t="shared" si="70"/>
        <v>-6.2692700241599999E-3</v>
      </c>
      <c r="AW133">
        <f t="shared" si="70"/>
        <v>-6.2692700241599999E-3</v>
      </c>
      <c r="AX133">
        <f t="shared" si="70"/>
        <v>-6.2692700241599999E-3</v>
      </c>
      <c r="AY133">
        <f t="shared" si="70"/>
        <v>-6.2692700241599999E-3</v>
      </c>
      <c r="AZ133">
        <f t="shared" si="70"/>
        <v>-6.2692700241599999E-3</v>
      </c>
      <c r="BA133">
        <f t="shared" si="70"/>
        <v>-6.2692700241599999E-3</v>
      </c>
      <c r="BB133">
        <f t="shared" si="70"/>
        <v>-6.2692700241599999E-3</v>
      </c>
      <c r="BC133">
        <f t="shared" si="70"/>
        <v>-6.2692700241599999E-3</v>
      </c>
      <c r="BD133">
        <f t="shared" si="70"/>
        <v>-6.2692700241599999E-3</v>
      </c>
      <c r="BE133">
        <f t="shared" si="70"/>
        <v>-6.2692700241599999E-3</v>
      </c>
      <c r="BF133">
        <f t="shared" si="70"/>
        <v>-6.2692700241599999E-3</v>
      </c>
      <c r="BG133">
        <f t="shared" si="70"/>
        <v>-6.2692700241599999E-3</v>
      </c>
      <c r="BH133">
        <f t="shared" si="70"/>
        <v>-6.2692700241599999E-3</v>
      </c>
      <c r="BI133">
        <f t="shared" si="70"/>
        <v>-6.2692700241599999E-3</v>
      </c>
      <c r="BJ133">
        <f t="shared" si="70"/>
        <v>-6.2692700241599999E-3</v>
      </c>
      <c r="BK133">
        <f t="shared" si="70"/>
        <v>-6.2692700241599999E-3</v>
      </c>
      <c r="BL133">
        <f t="shared" si="70"/>
        <v>-6.2692700241599999E-3</v>
      </c>
      <c r="BM133">
        <f t="shared" si="70"/>
        <v>-6.2692700241599999E-3</v>
      </c>
      <c r="BN133">
        <f t="shared" si="70"/>
        <v>-6.2692700241599999E-3</v>
      </c>
      <c r="BO133">
        <f t="shared" si="70"/>
        <v>-6.2692700241599999E-3</v>
      </c>
      <c r="BP133">
        <f t="shared" si="70"/>
        <v>-6.2692700241599999E-3</v>
      </c>
      <c r="BQ133">
        <f t="shared" si="70"/>
        <v>-6.2692700241599999E-3</v>
      </c>
      <c r="BR133">
        <f t="shared" ref="BR133:DA133" si="71">NormDet5*(BR120-ISolventDet5)</f>
        <v>-6.2692700241599999E-3</v>
      </c>
      <c r="BS133">
        <f t="shared" si="71"/>
        <v>-6.2692700241599999E-3</v>
      </c>
      <c r="BT133">
        <f t="shared" si="71"/>
        <v>-6.2692700241599999E-3</v>
      </c>
      <c r="BU133">
        <f t="shared" si="71"/>
        <v>-6.2692700241599999E-3</v>
      </c>
      <c r="BV133">
        <f t="shared" si="71"/>
        <v>-6.2692700241599999E-3</v>
      </c>
      <c r="BW133">
        <f t="shared" si="71"/>
        <v>-6.2692700241599999E-3</v>
      </c>
      <c r="BX133">
        <f t="shared" si="71"/>
        <v>-6.2692700241599999E-3</v>
      </c>
      <c r="BY133">
        <f t="shared" si="71"/>
        <v>-6.2692700241599999E-3</v>
      </c>
      <c r="BZ133">
        <f t="shared" si="71"/>
        <v>-6.2692700241599999E-3</v>
      </c>
      <c r="CA133">
        <f t="shared" si="71"/>
        <v>-6.2692700241599999E-3</v>
      </c>
      <c r="CB133">
        <f t="shared" si="71"/>
        <v>-6.2692700241599999E-3</v>
      </c>
      <c r="CC133">
        <f t="shared" si="71"/>
        <v>-6.2692700241599999E-3</v>
      </c>
      <c r="CD133">
        <f t="shared" si="71"/>
        <v>-6.2692700241599999E-3</v>
      </c>
      <c r="CE133">
        <f t="shared" si="71"/>
        <v>-6.2692700241599999E-3</v>
      </c>
      <c r="CF133">
        <f t="shared" si="71"/>
        <v>-6.2692700241599999E-3</v>
      </c>
      <c r="CG133">
        <f t="shared" si="71"/>
        <v>-6.2692700241599999E-3</v>
      </c>
      <c r="CH133">
        <f t="shared" si="71"/>
        <v>-6.2692700241599999E-3</v>
      </c>
      <c r="CI133">
        <f t="shared" si="71"/>
        <v>-6.2692700241599999E-3</v>
      </c>
      <c r="CJ133">
        <f t="shared" si="71"/>
        <v>-6.2692700241599999E-3</v>
      </c>
      <c r="CK133">
        <f t="shared" si="71"/>
        <v>-6.2692700241599999E-3</v>
      </c>
      <c r="CL133">
        <f t="shared" si="71"/>
        <v>-6.2692700241599999E-3</v>
      </c>
      <c r="CM133">
        <f t="shared" si="71"/>
        <v>-6.2692700241599999E-3</v>
      </c>
      <c r="CN133">
        <f t="shared" si="71"/>
        <v>-6.2692700241599999E-3</v>
      </c>
      <c r="CO133">
        <f t="shared" si="71"/>
        <v>-6.2692700241599999E-3</v>
      </c>
      <c r="CP133">
        <f t="shared" si="71"/>
        <v>-6.2692700241599999E-3</v>
      </c>
      <c r="CQ133">
        <f t="shared" si="71"/>
        <v>-6.2692700241599999E-3</v>
      </c>
      <c r="CR133">
        <f t="shared" si="71"/>
        <v>-6.2692700241599999E-3</v>
      </c>
      <c r="CS133">
        <f t="shared" si="71"/>
        <v>-6.2692700241599999E-3</v>
      </c>
      <c r="CT133">
        <f t="shared" si="71"/>
        <v>-6.2692700241599999E-3</v>
      </c>
      <c r="CU133">
        <f t="shared" si="71"/>
        <v>-6.2692700241599999E-3</v>
      </c>
      <c r="CV133">
        <f t="shared" si="71"/>
        <v>-6.2692700241599999E-3</v>
      </c>
      <c r="CW133">
        <f t="shared" si="71"/>
        <v>-6.2692700241599999E-3</v>
      </c>
      <c r="CX133">
        <f t="shared" si="71"/>
        <v>-6.2692700241599999E-3</v>
      </c>
      <c r="CY133">
        <f t="shared" si="71"/>
        <v>-6.2692700241599999E-3</v>
      </c>
      <c r="CZ133">
        <f t="shared" si="71"/>
        <v>-6.2692700241599999E-3</v>
      </c>
      <c r="DA133">
        <f t="shared" si="71"/>
        <v>-6.2692700241599999E-3</v>
      </c>
    </row>
    <row r="134" spans="1:105">
      <c r="A134" s="64" t="s">
        <v>151</v>
      </c>
      <c r="B134" s="68">
        <v>117</v>
      </c>
      <c r="C134" s="66" t="e">
        <f t="shared" si="50"/>
        <v>#DIV/0!</v>
      </c>
      <c r="D134" s="66" t="e">
        <f t="shared" si="55"/>
        <v>#DIV/0!</v>
      </c>
      <c r="E134" s="77">
        <f>0.003362*1.007</f>
        <v>3.3855339999999995E-3</v>
      </c>
      <c r="F134">
        <f t="shared" ref="F134:I134" si="72">NormDet6*(F121-ISolventDet6)</f>
        <v>-5.2501507058399987E-3</v>
      </c>
      <c r="G134">
        <f t="shared" si="72"/>
        <v>-5.2501507058399987E-3</v>
      </c>
      <c r="H134">
        <f t="shared" si="72"/>
        <v>-5.2501507058399987E-3</v>
      </c>
      <c r="I134">
        <f t="shared" si="72"/>
        <v>-5.2501507058399987E-3</v>
      </c>
      <c r="J134">
        <f t="shared" ref="J134:AK134" si="73">NormDet6*(J121-ISolventDet6)</f>
        <v>-5.2501507058399987E-3</v>
      </c>
      <c r="K134">
        <f t="shared" si="73"/>
        <v>-5.2501507058399987E-3</v>
      </c>
      <c r="L134">
        <f t="shared" si="73"/>
        <v>-5.2501507058399987E-3</v>
      </c>
      <c r="M134">
        <f t="shared" si="73"/>
        <v>-5.2501507058399987E-3</v>
      </c>
      <c r="N134">
        <f t="shared" si="73"/>
        <v>-5.2501507058399987E-3</v>
      </c>
      <c r="O134">
        <f t="shared" si="73"/>
        <v>-5.2501507058399987E-3</v>
      </c>
      <c r="P134">
        <f t="shared" si="73"/>
        <v>-5.2501507058399987E-3</v>
      </c>
      <c r="Q134">
        <f t="shared" si="73"/>
        <v>-5.2501507058399987E-3</v>
      </c>
      <c r="R134">
        <f t="shared" si="73"/>
        <v>-5.2501507058399987E-3</v>
      </c>
      <c r="S134">
        <f t="shared" si="73"/>
        <v>-5.2501507058399987E-3</v>
      </c>
      <c r="T134">
        <f t="shared" si="73"/>
        <v>-5.2501507058399987E-3</v>
      </c>
      <c r="U134">
        <f t="shared" si="73"/>
        <v>-5.2501507058399987E-3</v>
      </c>
      <c r="V134">
        <f t="shared" si="73"/>
        <v>-5.2501507058399987E-3</v>
      </c>
      <c r="W134">
        <f t="shared" si="73"/>
        <v>-5.2501507058399987E-3</v>
      </c>
      <c r="X134">
        <f t="shared" si="73"/>
        <v>-5.2501507058399987E-3</v>
      </c>
      <c r="Y134">
        <f t="shared" si="73"/>
        <v>-5.2501507058399987E-3</v>
      </c>
      <c r="Z134">
        <f t="shared" si="73"/>
        <v>-5.2501507058399987E-3</v>
      </c>
      <c r="AA134">
        <f t="shared" si="73"/>
        <v>-5.2501507058399987E-3</v>
      </c>
      <c r="AB134">
        <f t="shared" si="73"/>
        <v>-5.2501507058399987E-3</v>
      </c>
      <c r="AC134">
        <f t="shared" si="73"/>
        <v>-5.2501507058399987E-3</v>
      </c>
      <c r="AD134">
        <f t="shared" si="73"/>
        <v>-5.2501507058399987E-3</v>
      </c>
      <c r="AE134">
        <f t="shared" si="73"/>
        <v>-5.2501507058399987E-3</v>
      </c>
      <c r="AF134">
        <f t="shared" si="73"/>
        <v>-5.2501507058399987E-3</v>
      </c>
      <c r="AG134">
        <f t="shared" si="73"/>
        <v>-5.2501507058399987E-3</v>
      </c>
      <c r="AH134">
        <f t="shared" si="73"/>
        <v>-5.2501507058399987E-3</v>
      </c>
      <c r="AI134">
        <f t="shared" si="73"/>
        <v>-5.2501507058399987E-3</v>
      </c>
      <c r="AJ134">
        <f t="shared" si="73"/>
        <v>-5.2501507058399987E-3</v>
      </c>
      <c r="AK134">
        <f t="shared" si="73"/>
        <v>-5.2501507058399987E-3</v>
      </c>
      <c r="AL134">
        <f t="shared" ref="AL134:BQ134" si="74">NormDet6*(AL121-ISolventDet6)</f>
        <v>-5.2501507058399987E-3</v>
      </c>
      <c r="AM134">
        <f t="shared" si="74"/>
        <v>-5.2501507058399987E-3</v>
      </c>
      <c r="AN134">
        <f t="shared" si="74"/>
        <v>-5.2501507058399987E-3</v>
      </c>
      <c r="AO134">
        <f t="shared" si="74"/>
        <v>-5.2501507058399987E-3</v>
      </c>
      <c r="AP134">
        <f t="shared" si="74"/>
        <v>-5.2501507058399987E-3</v>
      </c>
      <c r="AQ134">
        <f t="shared" si="74"/>
        <v>-5.2501507058399987E-3</v>
      </c>
      <c r="AR134">
        <f t="shared" si="74"/>
        <v>-5.2501507058399987E-3</v>
      </c>
      <c r="AS134">
        <f t="shared" si="74"/>
        <v>-5.2501507058399987E-3</v>
      </c>
      <c r="AT134">
        <f t="shared" si="74"/>
        <v>-5.2501507058399987E-3</v>
      </c>
      <c r="AU134">
        <f t="shared" si="74"/>
        <v>-5.2501507058399987E-3</v>
      </c>
      <c r="AV134">
        <f t="shared" si="74"/>
        <v>-5.2501507058399987E-3</v>
      </c>
      <c r="AW134">
        <f t="shared" si="74"/>
        <v>-5.2501507058399987E-3</v>
      </c>
      <c r="AX134">
        <f t="shared" si="74"/>
        <v>-5.2501507058399987E-3</v>
      </c>
      <c r="AY134">
        <f t="shared" si="74"/>
        <v>-5.2501507058399987E-3</v>
      </c>
      <c r="AZ134">
        <f t="shared" si="74"/>
        <v>-5.2501507058399987E-3</v>
      </c>
      <c r="BA134">
        <f t="shared" si="74"/>
        <v>-5.2501507058399987E-3</v>
      </c>
      <c r="BB134">
        <f t="shared" si="74"/>
        <v>-5.2501507058399987E-3</v>
      </c>
      <c r="BC134">
        <f t="shared" si="74"/>
        <v>-5.2501507058399987E-3</v>
      </c>
      <c r="BD134">
        <f t="shared" si="74"/>
        <v>-5.2501507058399987E-3</v>
      </c>
      <c r="BE134">
        <f t="shared" si="74"/>
        <v>-5.2501507058399987E-3</v>
      </c>
      <c r="BF134">
        <f t="shared" si="74"/>
        <v>-5.2501507058399987E-3</v>
      </c>
      <c r="BG134">
        <f t="shared" si="74"/>
        <v>-5.2501507058399987E-3</v>
      </c>
      <c r="BH134">
        <f t="shared" si="74"/>
        <v>-5.2501507058399987E-3</v>
      </c>
      <c r="BI134">
        <f t="shared" si="74"/>
        <v>-5.2501507058399987E-3</v>
      </c>
      <c r="BJ134">
        <f t="shared" si="74"/>
        <v>-5.2501507058399987E-3</v>
      </c>
      <c r="BK134">
        <f t="shared" si="74"/>
        <v>-5.2501507058399987E-3</v>
      </c>
      <c r="BL134">
        <f t="shared" si="74"/>
        <v>-5.2501507058399987E-3</v>
      </c>
      <c r="BM134">
        <f t="shared" si="74"/>
        <v>-5.2501507058399987E-3</v>
      </c>
      <c r="BN134">
        <f t="shared" si="74"/>
        <v>-5.2501507058399987E-3</v>
      </c>
      <c r="BO134">
        <f t="shared" si="74"/>
        <v>-5.2501507058399987E-3</v>
      </c>
      <c r="BP134">
        <f t="shared" si="74"/>
        <v>-5.2501507058399987E-3</v>
      </c>
      <c r="BQ134">
        <f t="shared" si="74"/>
        <v>-5.2501507058399987E-3</v>
      </c>
      <c r="BR134">
        <f t="shared" ref="BR134:DA134" si="75">NormDet6*(BR121-ISolventDet6)</f>
        <v>-5.2501507058399987E-3</v>
      </c>
      <c r="BS134">
        <f t="shared" si="75"/>
        <v>-5.2501507058399987E-3</v>
      </c>
      <c r="BT134">
        <f t="shared" si="75"/>
        <v>-5.2501507058399987E-3</v>
      </c>
      <c r="BU134">
        <f t="shared" si="75"/>
        <v>-5.2501507058399987E-3</v>
      </c>
      <c r="BV134">
        <f t="shared" si="75"/>
        <v>-5.2501507058399987E-3</v>
      </c>
      <c r="BW134">
        <f t="shared" si="75"/>
        <v>-5.2501507058399987E-3</v>
      </c>
      <c r="BX134">
        <f t="shared" si="75"/>
        <v>-5.2501507058399987E-3</v>
      </c>
      <c r="BY134">
        <f t="shared" si="75"/>
        <v>-5.2501507058399987E-3</v>
      </c>
      <c r="BZ134">
        <f t="shared" si="75"/>
        <v>-5.2501507058399987E-3</v>
      </c>
      <c r="CA134">
        <f t="shared" si="75"/>
        <v>-5.2501507058399987E-3</v>
      </c>
      <c r="CB134">
        <f t="shared" si="75"/>
        <v>-5.2501507058399987E-3</v>
      </c>
      <c r="CC134">
        <f t="shared" si="75"/>
        <v>-5.2501507058399987E-3</v>
      </c>
      <c r="CD134">
        <f t="shared" si="75"/>
        <v>-5.2501507058399987E-3</v>
      </c>
      <c r="CE134">
        <f t="shared" si="75"/>
        <v>-5.2501507058399987E-3</v>
      </c>
      <c r="CF134">
        <f t="shared" si="75"/>
        <v>-5.2501507058399987E-3</v>
      </c>
      <c r="CG134">
        <f t="shared" si="75"/>
        <v>-5.2501507058399987E-3</v>
      </c>
      <c r="CH134">
        <f t="shared" si="75"/>
        <v>-5.2501507058399987E-3</v>
      </c>
      <c r="CI134">
        <f t="shared" si="75"/>
        <v>-5.2501507058399987E-3</v>
      </c>
      <c r="CJ134">
        <f t="shared" si="75"/>
        <v>-5.2501507058399987E-3</v>
      </c>
      <c r="CK134">
        <f t="shared" si="75"/>
        <v>-5.2501507058399987E-3</v>
      </c>
      <c r="CL134">
        <f t="shared" si="75"/>
        <v>-5.2501507058399987E-3</v>
      </c>
      <c r="CM134">
        <f t="shared" si="75"/>
        <v>-5.2501507058399987E-3</v>
      </c>
      <c r="CN134">
        <f t="shared" si="75"/>
        <v>-5.2501507058399987E-3</v>
      </c>
      <c r="CO134">
        <f t="shared" si="75"/>
        <v>-5.2501507058399987E-3</v>
      </c>
      <c r="CP134">
        <f t="shared" si="75"/>
        <v>-5.2501507058399987E-3</v>
      </c>
      <c r="CQ134">
        <f t="shared" si="75"/>
        <v>-5.2501507058399987E-3</v>
      </c>
      <c r="CR134">
        <f t="shared" si="75"/>
        <v>-5.2501507058399987E-3</v>
      </c>
      <c r="CS134">
        <f t="shared" si="75"/>
        <v>-5.2501507058399987E-3</v>
      </c>
      <c r="CT134">
        <f t="shared" si="75"/>
        <v>-5.2501507058399987E-3</v>
      </c>
      <c r="CU134">
        <f t="shared" si="75"/>
        <v>-5.2501507058399987E-3</v>
      </c>
      <c r="CV134">
        <f t="shared" si="75"/>
        <v>-5.2501507058399987E-3</v>
      </c>
      <c r="CW134">
        <f t="shared" si="75"/>
        <v>-5.2501507058399987E-3</v>
      </c>
      <c r="CX134">
        <f t="shared" si="75"/>
        <v>-5.2501507058399987E-3</v>
      </c>
      <c r="CY134">
        <f t="shared" si="75"/>
        <v>-5.2501507058399987E-3</v>
      </c>
      <c r="CZ134">
        <f t="shared" si="75"/>
        <v>-5.2501507058399987E-3</v>
      </c>
      <c r="DA134">
        <f t="shared" si="75"/>
        <v>-5.2501507058399987E-3</v>
      </c>
    </row>
    <row r="135" spans="1:105">
      <c r="A135" s="64" t="s">
        <v>150</v>
      </c>
      <c r="B135" s="68">
        <v>134</v>
      </c>
      <c r="C135" s="66" t="e">
        <f t="shared" si="50"/>
        <v>#DIV/0!</v>
      </c>
      <c r="D135" s="66" t="e">
        <f t="shared" si="55"/>
        <v>#DIV/0!</v>
      </c>
      <c r="E135" s="77">
        <f>0.0032717*0.9363</f>
        <v>3.0632927100000002E-3</v>
      </c>
      <c r="F135">
        <f t="shared" ref="F135:I135" si="76">NormDet7*(F122-ISolventDet7)</f>
        <v>-7.3409359160982006E-3</v>
      </c>
      <c r="G135">
        <f t="shared" si="76"/>
        <v>-7.3409359160982006E-3</v>
      </c>
      <c r="H135">
        <f t="shared" si="76"/>
        <v>-7.3409359160982006E-3</v>
      </c>
      <c r="I135">
        <f t="shared" si="76"/>
        <v>-7.3409359160982006E-3</v>
      </c>
      <c r="J135">
        <f t="shared" ref="J135:AK135" si="77">NormDet7*(J122-ISolventDet7)</f>
        <v>-7.3409359160982006E-3</v>
      </c>
      <c r="K135">
        <f t="shared" si="77"/>
        <v>-7.3409359160982006E-3</v>
      </c>
      <c r="L135">
        <f t="shared" si="77"/>
        <v>-7.3409359160982006E-3</v>
      </c>
      <c r="M135">
        <f t="shared" si="77"/>
        <v>-7.3409359160982006E-3</v>
      </c>
      <c r="N135">
        <f t="shared" si="77"/>
        <v>-7.3409359160982006E-3</v>
      </c>
      <c r="O135">
        <f t="shared" si="77"/>
        <v>-7.3409359160982006E-3</v>
      </c>
      <c r="P135">
        <f t="shared" si="77"/>
        <v>-7.3409359160982006E-3</v>
      </c>
      <c r="Q135">
        <f t="shared" si="77"/>
        <v>-7.3409359160982006E-3</v>
      </c>
      <c r="R135">
        <f t="shared" si="77"/>
        <v>-7.3409359160982006E-3</v>
      </c>
      <c r="S135">
        <f t="shared" si="77"/>
        <v>-7.3409359160982006E-3</v>
      </c>
      <c r="T135">
        <f t="shared" si="77"/>
        <v>-7.3409359160982006E-3</v>
      </c>
      <c r="U135">
        <f t="shared" si="77"/>
        <v>-7.3409359160982006E-3</v>
      </c>
      <c r="V135">
        <f t="shared" si="77"/>
        <v>-7.3409359160982006E-3</v>
      </c>
      <c r="W135">
        <f t="shared" si="77"/>
        <v>-7.3409359160982006E-3</v>
      </c>
      <c r="X135">
        <f t="shared" si="77"/>
        <v>-7.3409359160982006E-3</v>
      </c>
      <c r="Y135">
        <f t="shared" si="77"/>
        <v>-7.3409359160982006E-3</v>
      </c>
      <c r="Z135">
        <f t="shared" si="77"/>
        <v>-7.3409359160982006E-3</v>
      </c>
      <c r="AA135">
        <f t="shared" si="77"/>
        <v>-7.3409359160982006E-3</v>
      </c>
      <c r="AB135">
        <f t="shared" si="77"/>
        <v>-7.3409359160982006E-3</v>
      </c>
      <c r="AC135">
        <f t="shared" si="77"/>
        <v>-7.3409359160982006E-3</v>
      </c>
      <c r="AD135">
        <f t="shared" si="77"/>
        <v>-7.3409359160982006E-3</v>
      </c>
      <c r="AE135">
        <f t="shared" si="77"/>
        <v>-7.3409359160982006E-3</v>
      </c>
      <c r="AF135">
        <f t="shared" si="77"/>
        <v>-7.3409359160982006E-3</v>
      </c>
      <c r="AG135">
        <f t="shared" si="77"/>
        <v>-7.3409359160982006E-3</v>
      </c>
      <c r="AH135">
        <f t="shared" si="77"/>
        <v>-7.3409359160982006E-3</v>
      </c>
      <c r="AI135">
        <f t="shared" si="77"/>
        <v>-7.3409359160982006E-3</v>
      </c>
      <c r="AJ135">
        <f t="shared" si="77"/>
        <v>-7.3409359160982006E-3</v>
      </c>
      <c r="AK135">
        <f t="shared" si="77"/>
        <v>-7.3409359160982006E-3</v>
      </c>
      <c r="AL135">
        <f t="shared" ref="AL135:BQ135" si="78">NormDet7*(AL122-ISolventDet7)</f>
        <v>-7.3409359160982006E-3</v>
      </c>
      <c r="AM135">
        <f t="shared" si="78"/>
        <v>-7.3409359160982006E-3</v>
      </c>
      <c r="AN135">
        <f t="shared" si="78"/>
        <v>-7.3409359160982006E-3</v>
      </c>
      <c r="AO135">
        <f t="shared" si="78"/>
        <v>-7.3409359160982006E-3</v>
      </c>
      <c r="AP135">
        <f t="shared" si="78"/>
        <v>-7.3409359160982006E-3</v>
      </c>
      <c r="AQ135">
        <f t="shared" si="78"/>
        <v>-7.3409359160982006E-3</v>
      </c>
      <c r="AR135">
        <f t="shared" si="78"/>
        <v>-7.3409359160982006E-3</v>
      </c>
      <c r="AS135">
        <f t="shared" si="78"/>
        <v>-7.3409359160982006E-3</v>
      </c>
      <c r="AT135">
        <f t="shared" si="78"/>
        <v>-7.3409359160982006E-3</v>
      </c>
      <c r="AU135">
        <f t="shared" si="78"/>
        <v>-7.3409359160982006E-3</v>
      </c>
      <c r="AV135">
        <f t="shared" si="78"/>
        <v>-7.3409359160982006E-3</v>
      </c>
      <c r="AW135">
        <f t="shared" si="78"/>
        <v>-7.3409359160982006E-3</v>
      </c>
      <c r="AX135">
        <f t="shared" si="78"/>
        <v>-7.3409359160982006E-3</v>
      </c>
      <c r="AY135">
        <f t="shared" si="78"/>
        <v>-7.3409359160982006E-3</v>
      </c>
      <c r="AZ135">
        <f t="shared" si="78"/>
        <v>-7.3409359160982006E-3</v>
      </c>
      <c r="BA135">
        <f t="shared" si="78"/>
        <v>-7.3409359160982006E-3</v>
      </c>
      <c r="BB135">
        <f t="shared" si="78"/>
        <v>-7.3409359160982006E-3</v>
      </c>
      <c r="BC135">
        <f t="shared" si="78"/>
        <v>-7.3409359160982006E-3</v>
      </c>
      <c r="BD135">
        <f t="shared" si="78"/>
        <v>-7.3409359160982006E-3</v>
      </c>
      <c r="BE135">
        <f t="shared" si="78"/>
        <v>-7.3409359160982006E-3</v>
      </c>
      <c r="BF135">
        <f t="shared" si="78"/>
        <v>-7.3409359160982006E-3</v>
      </c>
      <c r="BG135">
        <f t="shared" si="78"/>
        <v>-7.3409359160982006E-3</v>
      </c>
      <c r="BH135">
        <f t="shared" si="78"/>
        <v>-7.3409359160982006E-3</v>
      </c>
      <c r="BI135">
        <f t="shared" si="78"/>
        <v>-7.3409359160982006E-3</v>
      </c>
      <c r="BJ135">
        <f t="shared" si="78"/>
        <v>-7.3409359160982006E-3</v>
      </c>
      <c r="BK135">
        <f t="shared" si="78"/>
        <v>-7.3409359160982006E-3</v>
      </c>
      <c r="BL135">
        <f t="shared" si="78"/>
        <v>-7.3409359160982006E-3</v>
      </c>
      <c r="BM135">
        <f t="shared" si="78"/>
        <v>-7.3409359160982006E-3</v>
      </c>
      <c r="BN135">
        <f t="shared" si="78"/>
        <v>-7.3409359160982006E-3</v>
      </c>
      <c r="BO135">
        <f t="shared" si="78"/>
        <v>-7.3409359160982006E-3</v>
      </c>
      <c r="BP135">
        <f t="shared" si="78"/>
        <v>-7.3409359160982006E-3</v>
      </c>
      <c r="BQ135">
        <f t="shared" si="78"/>
        <v>-7.3409359160982006E-3</v>
      </c>
      <c r="BR135">
        <f t="shared" ref="BR135:DA135" si="79">NormDet7*(BR122-ISolventDet7)</f>
        <v>-7.3409359160982006E-3</v>
      </c>
      <c r="BS135">
        <f t="shared" si="79"/>
        <v>-7.3409359160982006E-3</v>
      </c>
      <c r="BT135">
        <f t="shared" si="79"/>
        <v>-7.3409359160982006E-3</v>
      </c>
      <c r="BU135">
        <f t="shared" si="79"/>
        <v>-7.3409359160982006E-3</v>
      </c>
      <c r="BV135">
        <f t="shared" si="79"/>
        <v>-7.3409359160982006E-3</v>
      </c>
      <c r="BW135">
        <f t="shared" si="79"/>
        <v>-7.3409359160982006E-3</v>
      </c>
      <c r="BX135">
        <f t="shared" si="79"/>
        <v>-7.3409359160982006E-3</v>
      </c>
      <c r="BY135">
        <f t="shared" si="79"/>
        <v>-7.3409359160982006E-3</v>
      </c>
      <c r="BZ135">
        <f t="shared" si="79"/>
        <v>-7.3409359160982006E-3</v>
      </c>
      <c r="CA135">
        <f t="shared" si="79"/>
        <v>-7.3409359160982006E-3</v>
      </c>
      <c r="CB135">
        <f t="shared" si="79"/>
        <v>-7.3409359160982006E-3</v>
      </c>
      <c r="CC135">
        <f t="shared" si="79"/>
        <v>-7.3409359160982006E-3</v>
      </c>
      <c r="CD135">
        <f t="shared" si="79"/>
        <v>-7.3409359160982006E-3</v>
      </c>
      <c r="CE135">
        <f t="shared" si="79"/>
        <v>-7.3409359160982006E-3</v>
      </c>
      <c r="CF135">
        <f t="shared" si="79"/>
        <v>-7.3409359160982006E-3</v>
      </c>
      <c r="CG135">
        <f t="shared" si="79"/>
        <v>-7.3409359160982006E-3</v>
      </c>
      <c r="CH135">
        <f t="shared" si="79"/>
        <v>-7.3409359160982006E-3</v>
      </c>
      <c r="CI135">
        <f t="shared" si="79"/>
        <v>-7.3409359160982006E-3</v>
      </c>
      <c r="CJ135">
        <f t="shared" si="79"/>
        <v>-7.3409359160982006E-3</v>
      </c>
      <c r="CK135">
        <f t="shared" si="79"/>
        <v>-7.3409359160982006E-3</v>
      </c>
      <c r="CL135">
        <f t="shared" si="79"/>
        <v>-7.3409359160982006E-3</v>
      </c>
      <c r="CM135">
        <f t="shared" si="79"/>
        <v>-7.3409359160982006E-3</v>
      </c>
      <c r="CN135">
        <f t="shared" si="79"/>
        <v>-7.3409359160982006E-3</v>
      </c>
      <c r="CO135">
        <f t="shared" si="79"/>
        <v>-7.3409359160982006E-3</v>
      </c>
      <c r="CP135">
        <f t="shared" si="79"/>
        <v>-7.3409359160982006E-3</v>
      </c>
      <c r="CQ135">
        <f t="shared" si="79"/>
        <v>-7.3409359160982006E-3</v>
      </c>
      <c r="CR135">
        <f t="shared" si="79"/>
        <v>-7.3409359160982006E-3</v>
      </c>
      <c r="CS135">
        <f t="shared" si="79"/>
        <v>-7.3409359160982006E-3</v>
      </c>
      <c r="CT135">
        <f t="shared" si="79"/>
        <v>-7.3409359160982006E-3</v>
      </c>
      <c r="CU135">
        <f t="shared" si="79"/>
        <v>-7.3409359160982006E-3</v>
      </c>
      <c r="CV135">
        <f t="shared" si="79"/>
        <v>-7.3409359160982006E-3</v>
      </c>
      <c r="CW135">
        <f t="shared" si="79"/>
        <v>-7.3409359160982006E-3</v>
      </c>
      <c r="CX135">
        <f t="shared" si="79"/>
        <v>-7.3409359160982006E-3</v>
      </c>
      <c r="CY135">
        <f t="shared" si="79"/>
        <v>-7.3409359160982006E-3</v>
      </c>
      <c r="CZ135">
        <f t="shared" si="79"/>
        <v>-7.3409359160982006E-3</v>
      </c>
      <c r="DA135">
        <f t="shared" si="79"/>
        <v>-7.3409359160982006E-3</v>
      </c>
    </row>
    <row r="136" spans="1:105">
      <c r="A136" s="64" t="s">
        <v>147</v>
      </c>
      <c r="B136" s="68">
        <v>147</v>
      </c>
      <c r="C136" s="66" t="e">
        <f t="shared" si="50"/>
        <v>#DIV/0!</v>
      </c>
      <c r="D136" s="66" t="e">
        <f t="shared" si="55"/>
        <v>#DIV/0!</v>
      </c>
      <c r="E136" s="77">
        <f>0.0018012*1.0825</f>
        <v>1.9497990000000001E-3</v>
      </c>
      <c r="F136">
        <f t="shared" ref="F136:I136" si="80">NormDet8*(F123-ISolventDet8)</f>
        <v>-5.7930673068900002E-3</v>
      </c>
      <c r="G136">
        <f t="shared" si="80"/>
        <v>-5.7930673068900002E-3</v>
      </c>
      <c r="H136">
        <f t="shared" si="80"/>
        <v>-5.7930673068900002E-3</v>
      </c>
      <c r="I136">
        <f t="shared" si="80"/>
        <v>-5.7930673068900002E-3</v>
      </c>
      <c r="J136">
        <f t="shared" ref="J136:AK136" si="81">NormDet8*(J123-ISolventDet8)</f>
        <v>-5.7930673068900002E-3</v>
      </c>
      <c r="K136">
        <f t="shared" si="81"/>
        <v>-5.7930673068900002E-3</v>
      </c>
      <c r="L136">
        <f t="shared" si="81"/>
        <v>-5.7930673068900002E-3</v>
      </c>
      <c r="M136">
        <f t="shared" si="81"/>
        <v>-5.7930673068900002E-3</v>
      </c>
      <c r="N136">
        <f t="shared" si="81"/>
        <v>-5.7930673068900002E-3</v>
      </c>
      <c r="O136">
        <f t="shared" si="81"/>
        <v>-5.7930673068900002E-3</v>
      </c>
      <c r="P136">
        <f t="shared" si="81"/>
        <v>-5.7930673068900002E-3</v>
      </c>
      <c r="Q136">
        <f t="shared" si="81"/>
        <v>-5.7930673068900002E-3</v>
      </c>
      <c r="R136">
        <f t="shared" si="81"/>
        <v>-5.7930673068900002E-3</v>
      </c>
      <c r="S136">
        <f t="shared" si="81"/>
        <v>-5.7930673068900002E-3</v>
      </c>
      <c r="T136">
        <f t="shared" si="81"/>
        <v>-5.7930673068900002E-3</v>
      </c>
      <c r="U136">
        <f t="shared" si="81"/>
        <v>-5.7930673068900002E-3</v>
      </c>
      <c r="V136">
        <f t="shared" si="81"/>
        <v>-5.7930673068900002E-3</v>
      </c>
      <c r="W136">
        <f t="shared" si="81"/>
        <v>-5.7930673068900002E-3</v>
      </c>
      <c r="X136">
        <f t="shared" si="81"/>
        <v>-5.7930673068900002E-3</v>
      </c>
      <c r="Y136">
        <f t="shared" si="81"/>
        <v>-5.7930673068900002E-3</v>
      </c>
      <c r="Z136">
        <f t="shared" si="81"/>
        <v>-5.7930673068900002E-3</v>
      </c>
      <c r="AA136">
        <f t="shared" si="81"/>
        <v>-5.7930673068900002E-3</v>
      </c>
      <c r="AB136">
        <f t="shared" si="81"/>
        <v>-5.7930673068900002E-3</v>
      </c>
      <c r="AC136">
        <f t="shared" si="81"/>
        <v>-5.7930673068900002E-3</v>
      </c>
      <c r="AD136">
        <f t="shared" si="81"/>
        <v>-5.7930673068900002E-3</v>
      </c>
      <c r="AE136">
        <f t="shared" si="81"/>
        <v>-5.7930673068900002E-3</v>
      </c>
      <c r="AF136">
        <f t="shared" si="81"/>
        <v>-5.7930673068900002E-3</v>
      </c>
      <c r="AG136">
        <f t="shared" si="81"/>
        <v>-5.7930673068900002E-3</v>
      </c>
      <c r="AH136">
        <f t="shared" si="81"/>
        <v>-5.7930673068900002E-3</v>
      </c>
      <c r="AI136">
        <f t="shared" si="81"/>
        <v>-5.7930673068900002E-3</v>
      </c>
      <c r="AJ136">
        <f t="shared" si="81"/>
        <v>-5.7930673068900002E-3</v>
      </c>
      <c r="AK136">
        <f t="shared" si="81"/>
        <v>-5.7930673068900002E-3</v>
      </c>
      <c r="AL136">
        <f t="shared" ref="AL136:BQ136" si="82">NormDet8*(AL123-ISolventDet8)</f>
        <v>-5.7930673068900002E-3</v>
      </c>
      <c r="AM136">
        <f t="shared" si="82"/>
        <v>-5.7930673068900002E-3</v>
      </c>
      <c r="AN136">
        <f t="shared" si="82"/>
        <v>-5.7930673068900002E-3</v>
      </c>
      <c r="AO136">
        <f t="shared" si="82"/>
        <v>-5.7930673068900002E-3</v>
      </c>
      <c r="AP136">
        <f t="shared" si="82"/>
        <v>-5.7930673068900002E-3</v>
      </c>
      <c r="AQ136">
        <f t="shared" si="82"/>
        <v>-5.7930673068900002E-3</v>
      </c>
      <c r="AR136">
        <f t="shared" si="82"/>
        <v>-5.7930673068900002E-3</v>
      </c>
      <c r="AS136">
        <f t="shared" si="82"/>
        <v>-5.7930673068900002E-3</v>
      </c>
      <c r="AT136">
        <f t="shared" si="82"/>
        <v>-5.7930673068900002E-3</v>
      </c>
      <c r="AU136">
        <f t="shared" si="82"/>
        <v>-5.7930673068900002E-3</v>
      </c>
      <c r="AV136">
        <f t="shared" si="82"/>
        <v>-5.7930673068900002E-3</v>
      </c>
      <c r="AW136">
        <f t="shared" si="82"/>
        <v>-5.7930673068900002E-3</v>
      </c>
      <c r="AX136">
        <f t="shared" si="82"/>
        <v>-5.7930673068900002E-3</v>
      </c>
      <c r="AY136">
        <f t="shared" si="82"/>
        <v>-5.7930673068900002E-3</v>
      </c>
      <c r="AZ136">
        <f t="shared" si="82"/>
        <v>-5.7930673068900002E-3</v>
      </c>
      <c r="BA136">
        <f t="shared" si="82"/>
        <v>-5.7930673068900002E-3</v>
      </c>
      <c r="BB136">
        <f t="shared" si="82"/>
        <v>-5.7930673068900002E-3</v>
      </c>
      <c r="BC136">
        <f t="shared" si="82"/>
        <v>-5.7930673068900002E-3</v>
      </c>
      <c r="BD136">
        <f t="shared" si="82"/>
        <v>-5.7930673068900002E-3</v>
      </c>
      <c r="BE136">
        <f t="shared" si="82"/>
        <v>-5.7930673068900002E-3</v>
      </c>
      <c r="BF136">
        <f t="shared" si="82"/>
        <v>-5.7930673068900002E-3</v>
      </c>
      <c r="BG136">
        <f t="shared" si="82"/>
        <v>-5.7930673068900002E-3</v>
      </c>
      <c r="BH136">
        <f t="shared" si="82"/>
        <v>-5.7930673068900002E-3</v>
      </c>
      <c r="BI136">
        <f t="shared" si="82"/>
        <v>-5.7930673068900002E-3</v>
      </c>
      <c r="BJ136">
        <f t="shared" si="82"/>
        <v>-5.7930673068900002E-3</v>
      </c>
      <c r="BK136">
        <f t="shared" si="82"/>
        <v>-5.7930673068900002E-3</v>
      </c>
      <c r="BL136">
        <f t="shared" si="82"/>
        <v>-5.7930673068900002E-3</v>
      </c>
      <c r="BM136">
        <f t="shared" si="82"/>
        <v>-5.7930673068900002E-3</v>
      </c>
      <c r="BN136">
        <f t="shared" si="82"/>
        <v>-5.7930673068900002E-3</v>
      </c>
      <c r="BO136">
        <f t="shared" si="82"/>
        <v>-5.7930673068900002E-3</v>
      </c>
      <c r="BP136">
        <f t="shared" si="82"/>
        <v>-5.7930673068900002E-3</v>
      </c>
      <c r="BQ136">
        <f t="shared" si="82"/>
        <v>-5.7930673068900002E-3</v>
      </c>
      <c r="BR136">
        <f t="shared" ref="BR136:DA136" si="83">NormDet8*(BR123-ISolventDet8)</f>
        <v>-5.7930673068900002E-3</v>
      </c>
      <c r="BS136">
        <f t="shared" si="83"/>
        <v>-5.7930673068900002E-3</v>
      </c>
      <c r="BT136">
        <f t="shared" si="83"/>
        <v>-5.7930673068900002E-3</v>
      </c>
      <c r="BU136">
        <f t="shared" si="83"/>
        <v>-5.7930673068900002E-3</v>
      </c>
      <c r="BV136">
        <f t="shared" si="83"/>
        <v>-5.7930673068900002E-3</v>
      </c>
      <c r="BW136">
        <f t="shared" si="83"/>
        <v>-5.7930673068900002E-3</v>
      </c>
      <c r="BX136">
        <f t="shared" si="83"/>
        <v>-5.7930673068900002E-3</v>
      </c>
      <c r="BY136">
        <f t="shared" si="83"/>
        <v>-5.7930673068900002E-3</v>
      </c>
      <c r="BZ136">
        <f t="shared" si="83"/>
        <v>-5.7930673068900002E-3</v>
      </c>
      <c r="CA136">
        <f t="shared" si="83"/>
        <v>-5.7930673068900002E-3</v>
      </c>
      <c r="CB136">
        <f t="shared" si="83"/>
        <v>-5.7930673068900002E-3</v>
      </c>
      <c r="CC136">
        <f t="shared" si="83"/>
        <v>-5.7930673068900002E-3</v>
      </c>
      <c r="CD136">
        <f t="shared" si="83"/>
        <v>-5.7930673068900002E-3</v>
      </c>
      <c r="CE136">
        <f t="shared" si="83"/>
        <v>-5.7930673068900002E-3</v>
      </c>
      <c r="CF136">
        <f t="shared" si="83"/>
        <v>-5.7930673068900002E-3</v>
      </c>
      <c r="CG136">
        <f t="shared" si="83"/>
        <v>-5.7930673068900002E-3</v>
      </c>
      <c r="CH136">
        <f t="shared" si="83"/>
        <v>-5.7930673068900002E-3</v>
      </c>
      <c r="CI136">
        <f t="shared" si="83"/>
        <v>-5.7930673068900002E-3</v>
      </c>
      <c r="CJ136">
        <f t="shared" si="83"/>
        <v>-5.7930673068900002E-3</v>
      </c>
      <c r="CK136">
        <f t="shared" si="83"/>
        <v>-5.7930673068900002E-3</v>
      </c>
      <c r="CL136">
        <f t="shared" si="83"/>
        <v>-5.7930673068900002E-3</v>
      </c>
      <c r="CM136">
        <f t="shared" si="83"/>
        <v>-5.7930673068900002E-3</v>
      </c>
      <c r="CN136">
        <f t="shared" si="83"/>
        <v>-5.7930673068900002E-3</v>
      </c>
      <c r="CO136">
        <f t="shared" si="83"/>
        <v>-5.7930673068900002E-3</v>
      </c>
      <c r="CP136">
        <f t="shared" si="83"/>
        <v>-5.7930673068900002E-3</v>
      </c>
      <c r="CQ136">
        <f t="shared" si="83"/>
        <v>-5.7930673068900002E-3</v>
      </c>
      <c r="CR136">
        <f t="shared" si="83"/>
        <v>-5.7930673068900002E-3</v>
      </c>
      <c r="CS136">
        <f t="shared" si="83"/>
        <v>-5.7930673068900002E-3</v>
      </c>
      <c r="CT136">
        <f t="shared" si="83"/>
        <v>-5.7930673068900002E-3</v>
      </c>
      <c r="CU136">
        <f t="shared" si="83"/>
        <v>-5.7930673068900002E-3</v>
      </c>
      <c r="CV136">
        <f t="shared" si="83"/>
        <v>-5.7930673068900002E-3</v>
      </c>
      <c r="CW136">
        <f t="shared" si="83"/>
        <v>-5.7930673068900002E-3</v>
      </c>
      <c r="CX136">
        <f t="shared" si="83"/>
        <v>-5.7930673068900002E-3</v>
      </c>
      <c r="CY136">
        <f t="shared" si="83"/>
        <v>-5.7930673068900002E-3</v>
      </c>
      <c r="CZ136">
        <f t="shared" si="83"/>
        <v>-5.7930673068900002E-3</v>
      </c>
      <c r="DA136">
        <f t="shared" si="83"/>
        <v>-5.7930673068900002E-3</v>
      </c>
    </row>
    <row r="137" spans="1:105">
      <c r="F137" s="80"/>
    </row>
    <row r="138" spans="1:105">
      <c r="F138" s="79" t="s">
        <v>161</v>
      </c>
    </row>
    <row r="139" spans="1:105">
      <c r="F139" t="e">
        <f>LN(F129)</f>
        <v>#NUM!</v>
      </c>
      <c r="G139" t="e">
        <f t="shared" ref="G139:BR140" si="84">LN(G129)</f>
        <v>#NUM!</v>
      </c>
      <c r="H139" t="e">
        <f t="shared" si="84"/>
        <v>#NUM!</v>
      </c>
      <c r="I139" t="e">
        <f t="shared" si="84"/>
        <v>#NUM!</v>
      </c>
      <c r="J139" t="e">
        <f t="shared" si="84"/>
        <v>#NUM!</v>
      </c>
      <c r="K139" t="e">
        <f t="shared" si="84"/>
        <v>#NUM!</v>
      </c>
      <c r="L139" t="e">
        <f t="shared" si="84"/>
        <v>#NUM!</v>
      </c>
      <c r="M139" t="e">
        <f t="shared" si="84"/>
        <v>#NUM!</v>
      </c>
      <c r="N139" t="e">
        <f t="shared" si="84"/>
        <v>#NUM!</v>
      </c>
      <c r="O139" t="e">
        <f t="shared" si="84"/>
        <v>#NUM!</v>
      </c>
      <c r="P139" t="e">
        <f t="shared" si="84"/>
        <v>#NUM!</v>
      </c>
      <c r="Q139" t="e">
        <f t="shared" si="84"/>
        <v>#NUM!</v>
      </c>
      <c r="R139" t="e">
        <f t="shared" si="84"/>
        <v>#NUM!</v>
      </c>
      <c r="S139" t="e">
        <f t="shared" si="84"/>
        <v>#NUM!</v>
      </c>
      <c r="T139" t="e">
        <f t="shared" si="84"/>
        <v>#NUM!</v>
      </c>
      <c r="U139" t="e">
        <f t="shared" si="84"/>
        <v>#NUM!</v>
      </c>
      <c r="V139" t="e">
        <f t="shared" si="84"/>
        <v>#NUM!</v>
      </c>
      <c r="W139" t="e">
        <f t="shared" si="84"/>
        <v>#NUM!</v>
      </c>
      <c r="X139" t="e">
        <f t="shared" si="84"/>
        <v>#NUM!</v>
      </c>
      <c r="Y139" t="e">
        <f t="shared" si="84"/>
        <v>#NUM!</v>
      </c>
      <c r="Z139" t="e">
        <f t="shared" si="84"/>
        <v>#NUM!</v>
      </c>
      <c r="AA139" t="e">
        <f t="shared" si="84"/>
        <v>#NUM!</v>
      </c>
      <c r="AB139" t="e">
        <f t="shared" si="84"/>
        <v>#NUM!</v>
      </c>
      <c r="AC139" t="e">
        <f t="shared" si="84"/>
        <v>#NUM!</v>
      </c>
      <c r="AD139" t="e">
        <f t="shared" si="84"/>
        <v>#NUM!</v>
      </c>
      <c r="AE139" t="e">
        <f t="shared" si="84"/>
        <v>#NUM!</v>
      </c>
      <c r="AF139" t="e">
        <f t="shared" si="84"/>
        <v>#NUM!</v>
      </c>
      <c r="AG139" t="e">
        <f t="shared" si="84"/>
        <v>#NUM!</v>
      </c>
      <c r="AH139" t="e">
        <f t="shared" si="84"/>
        <v>#NUM!</v>
      </c>
      <c r="AI139" t="e">
        <f t="shared" si="84"/>
        <v>#NUM!</v>
      </c>
      <c r="AJ139" t="e">
        <f t="shared" si="84"/>
        <v>#NUM!</v>
      </c>
      <c r="AK139" t="e">
        <f t="shared" si="84"/>
        <v>#NUM!</v>
      </c>
      <c r="AL139" t="e">
        <f t="shared" si="84"/>
        <v>#NUM!</v>
      </c>
      <c r="AM139" t="e">
        <f t="shared" si="84"/>
        <v>#NUM!</v>
      </c>
      <c r="AN139" t="e">
        <f t="shared" si="84"/>
        <v>#NUM!</v>
      </c>
      <c r="AO139" t="e">
        <f t="shared" si="84"/>
        <v>#NUM!</v>
      </c>
      <c r="AP139" t="e">
        <f t="shared" si="84"/>
        <v>#NUM!</v>
      </c>
      <c r="AQ139" t="e">
        <f t="shared" si="84"/>
        <v>#NUM!</v>
      </c>
      <c r="AR139" t="e">
        <f t="shared" si="84"/>
        <v>#NUM!</v>
      </c>
      <c r="AS139" t="e">
        <f t="shared" si="84"/>
        <v>#NUM!</v>
      </c>
      <c r="AT139" t="e">
        <f t="shared" si="84"/>
        <v>#NUM!</v>
      </c>
      <c r="AU139" t="e">
        <f t="shared" si="84"/>
        <v>#NUM!</v>
      </c>
      <c r="AV139" t="e">
        <f t="shared" si="84"/>
        <v>#NUM!</v>
      </c>
      <c r="AW139" t="e">
        <f t="shared" si="84"/>
        <v>#NUM!</v>
      </c>
      <c r="AX139" t="e">
        <f t="shared" si="84"/>
        <v>#NUM!</v>
      </c>
      <c r="AY139" t="e">
        <f t="shared" si="84"/>
        <v>#NUM!</v>
      </c>
      <c r="AZ139" t="e">
        <f t="shared" si="84"/>
        <v>#NUM!</v>
      </c>
      <c r="BA139" t="e">
        <f t="shared" si="84"/>
        <v>#NUM!</v>
      </c>
      <c r="BB139" t="e">
        <f t="shared" si="84"/>
        <v>#NUM!</v>
      </c>
      <c r="BC139" t="e">
        <f t="shared" si="84"/>
        <v>#NUM!</v>
      </c>
      <c r="BD139" t="e">
        <f t="shared" si="84"/>
        <v>#NUM!</v>
      </c>
      <c r="BE139" t="e">
        <f t="shared" si="84"/>
        <v>#NUM!</v>
      </c>
      <c r="BF139" t="e">
        <f t="shared" si="84"/>
        <v>#NUM!</v>
      </c>
      <c r="BG139" t="e">
        <f t="shared" si="84"/>
        <v>#NUM!</v>
      </c>
      <c r="BH139" t="e">
        <f t="shared" si="84"/>
        <v>#NUM!</v>
      </c>
      <c r="BI139" t="e">
        <f t="shared" si="84"/>
        <v>#NUM!</v>
      </c>
      <c r="BJ139" t="e">
        <f t="shared" si="84"/>
        <v>#NUM!</v>
      </c>
      <c r="BK139" t="e">
        <f t="shared" si="84"/>
        <v>#NUM!</v>
      </c>
      <c r="BL139" t="e">
        <f t="shared" si="84"/>
        <v>#NUM!</v>
      </c>
      <c r="BM139" t="e">
        <f t="shared" si="84"/>
        <v>#NUM!</v>
      </c>
      <c r="BN139" t="e">
        <f t="shared" si="84"/>
        <v>#NUM!</v>
      </c>
      <c r="BO139" t="e">
        <f t="shared" si="84"/>
        <v>#NUM!</v>
      </c>
      <c r="BP139" t="e">
        <f t="shared" si="84"/>
        <v>#NUM!</v>
      </c>
      <c r="BQ139" t="e">
        <f t="shared" si="84"/>
        <v>#NUM!</v>
      </c>
      <c r="BR139" t="e">
        <f t="shared" si="84"/>
        <v>#NUM!</v>
      </c>
      <c r="BS139" t="e">
        <f t="shared" ref="BS139:DA143" si="85">LN(BS129)</f>
        <v>#NUM!</v>
      </c>
      <c r="BT139" t="e">
        <f t="shared" si="85"/>
        <v>#NUM!</v>
      </c>
      <c r="BU139" t="e">
        <f t="shared" si="85"/>
        <v>#NUM!</v>
      </c>
      <c r="BV139" t="e">
        <f t="shared" si="85"/>
        <v>#NUM!</v>
      </c>
      <c r="BW139" t="e">
        <f t="shared" si="85"/>
        <v>#NUM!</v>
      </c>
      <c r="BX139" t="e">
        <f t="shared" si="85"/>
        <v>#NUM!</v>
      </c>
      <c r="BY139" t="e">
        <f t="shared" si="85"/>
        <v>#NUM!</v>
      </c>
      <c r="BZ139" t="e">
        <f t="shared" si="85"/>
        <v>#NUM!</v>
      </c>
      <c r="CA139" t="e">
        <f t="shared" si="85"/>
        <v>#NUM!</v>
      </c>
      <c r="CB139" t="e">
        <f t="shared" si="85"/>
        <v>#NUM!</v>
      </c>
      <c r="CC139" t="e">
        <f t="shared" si="85"/>
        <v>#NUM!</v>
      </c>
      <c r="CD139" t="e">
        <f t="shared" si="85"/>
        <v>#NUM!</v>
      </c>
      <c r="CE139" t="e">
        <f t="shared" si="85"/>
        <v>#NUM!</v>
      </c>
      <c r="CF139" t="e">
        <f t="shared" si="85"/>
        <v>#NUM!</v>
      </c>
      <c r="CG139" t="e">
        <f t="shared" si="85"/>
        <v>#NUM!</v>
      </c>
      <c r="CH139" t="e">
        <f t="shared" si="85"/>
        <v>#NUM!</v>
      </c>
      <c r="CI139" t="e">
        <f t="shared" si="85"/>
        <v>#NUM!</v>
      </c>
      <c r="CJ139" t="e">
        <f t="shared" si="85"/>
        <v>#NUM!</v>
      </c>
      <c r="CK139" t="e">
        <f t="shared" si="85"/>
        <v>#NUM!</v>
      </c>
      <c r="CL139" t="e">
        <f t="shared" si="85"/>
        <v>#NUM!</v>
      </c>
      <c r="CM139" t="e">
        <f t="shared" si="85"/>
        <v>#NUM!</v>
      </c>
      <c r="CN139" t="e">
        <f t="shared" si="85"/>
        <v>#NUM!</v>
      </c>
      <c r="CO139" t="e">
        <f t="shared" si="85"/>
        <v>#NUM!</v>
      </c>
      <c r="CP139" t="e">
        <f t="shared" si="85"/>
        <v>#NUM!</v>
      </c>
      <c r="CQ139" t="e">
        <f t="shared" si="85"/>
        <v>#NUM!</v>
      </c>
      <c r="CR139" t="e">
        <f t="shared" si="85"/>
        <v>#NUM!</v>
      </c>
      <c r="CS139" t="e">
        <f t="shared" si="85"/>
        <v>#NUM!</v>
      </c>
      <c r="CT139" t="e">
        <f t="shared" si="85"/>
        <v>#NUM!</v>
      </c>
      <c r="CU139" t="e">
        <f t="shared" si="85"/>
        <v>#NUM!</v>
      </c>
      <c r="CV139" t="e">
        <f t="shared" si="85"/>
        <v>#NUM!</v>
      </c>
      <c r="CW139" t="e">
        <f t="shared" si="85"/>
        <v>#NUM!</v>
      </c>
      <c r="CX139" t="e">
        <f t="shared" si="85"/>
        <v>#NUM!</v>
      </c>
      <c r="CY139" t="e">
        <f t="shared" si="85"/>
        <v>#NUM!</v>
      </c>
      <c r="CZ139" t="e">
        <f t="shared" si="85"/>
        <v>#NUM!</v>
      </c>
      <c r="DA139" t="e">
        <f t="shared" si="85"/>
        <v>#NUM!</v>
      </c>
    </row>
    <row r="140" spans="1:105">
      <c r="F140" t="e">
        <f t="shared" ref="F140:U146" si="86">LN(F130)</f>
        <v>#NUM!</v>
      </c>
      <c r="G140" t="e">
        <f t="shared" si="86"/>
        <v>#NUM!</v>
      </c>
      <c r="H140" t="e">
        <f t="shared" si="86"/>
        <v>#NUM!</v>
      </c>
      <c r="I140" t="e">
        <f t="shared" si="86"/>
        <v>#NUM!</v>
      </c>
      <c r="J140" t="e">
        <f t="shared" si="86"/>
        <v>#NUM!</v>
      </c>
      <c r="K140" t="e">
        <f t="shared" si="86"/>
        <v>#NUM!</v>
      </c>
      <c r="L140" t="e">
        <f t="shared" si="86"/>
        <v>#NUM!</v>
      </c>
      <c r="M140" t="e">
        <f t="shared" si="86"/>
        <v>#NUM!</v>
      </c>
      <c r="N140" t="e">
        <f t="shared" si="86"/>
        <v>#NUM!</v>
      </c>
      <c r="O140" t="e">
        <f t="shared" si="86"/>
        <v>#NUM!</v>
      </c>
      <c r="P140" t="e">
        <f t="shared" si="86"/>
        <v>#NUM!</v>
      </c>
      <c r="Q140" t="e">
        <f t="shared" si="86"/>
        <v>#NUM!</v>
      </c>
      <c r="R140" t="e">
        <f t="shared" si="86"/>
        <v>#NUM!</v>
      </c>
      <c r="S140" t="e">
        <f t="shared" si="86"/>
        <v>#NUM!</v>
      </c>
      <c r="T140" t="e">
        <f t="shared" si="86"/>
        <v>#NUM!</v>
      </c>
      <c r="U140" t="e">
        <f t="shared" si="86"/>
        <v>#NUM!</v>
      </c>
      <c r="V140" t="e">
        <f t="shared" si="84"/>
        <v>#NUM!</v>
      </c>
      <c r="W140" t="e">
        <f t="shared" si="84"/>
        <v>#NUM!</v>
      </c>
      <c r="X140" t="e">
        <f t="shared" si="84"/>
        <v>#NUM!</v>
      </c>
      <c r="Y140" t="e">
        <f t="shared" si="84"/>
        <v>#NUM!</v>
      </c>
      <c r="Z140" t="e">
        <f t="shared" si="84"/>
        <v>#NUM!</v>
      </c>
      <c r="AA140" t="e">
        <f t="shared" si="84"/>
        <v>#NUM!</v>
      </c>
      <c r="AB140" t="e">
        <f t="shared" si="84"/>
        <v>#NUM!</v>
      </c>
      <c r="AC140" t="e">
        <f t="shared" si="84"/>
        <v>#NUM!</v>
      </c>
      <c r="AD140" t="e">
        <f t="shared" si="84"/>
        <v>#NUM!</v>
      </c>
      <c r="AE140" t="e">
        <f t="shared" si="84"/>
        <v>#NUM!</v>
      </c>
      <c r="AF140" t="e">
        <f t="shared" si="84"/>
        <v>#NUM!</v>
      </c>
      <c r="AG140" t="e">
        <f t="shared" si="84"/>
        <v>#NUM!</v>
      </c>
      <c r="AH140" t="e">
        <f t="shared" si="84"/>
        <v>#NUM!</v>
      </c>
      <c r="AI140" t="e">
        <f t="shared" si="84"/>
        <v>#NUM!</v>
      </c>
      <c r="AJ140" t="e">
        <f t="shared" si="84"/>
        <v>#NUM!</v>
      </c>
      <c r="AK140" t="e">
        <f t="shared" si="84"/>
        <v>#NUM!</v>
      </c>
      <c r="AL140" t="e">
        <f t="shared" si="84"/>
        <v>#NUM!</v>
      </c>
      <c r="AM140" t="e">
        <f t="shared" si="84"/>
        <v>#NUM!</v>
      </c>
      <c r="AN140" t="e">
        <f t="shared" si="84"/>
        <v>#NUM!</v>
      </c>
      <c r="AO140" t="e">
        <f t="shared" si="84"/>
        <v>#NUM!</v>
      </c>
      <c r="AP140" t="e">
        <f t="shared" si="84"/>
        <v>#NUM!</v>
      </c>
      <c r="AQ140" t="e">
        <f t="shared" si="84"/>
        <v>#NUM!</v>
      </c>
      <c r="AR140" t="e">
        <f t="shared" si="84"/>
        <v>#NUM!</v>
      </c>
      <c r="AS140" t="e">
        <f t="shared" si="84"/>
        <v>#NUM!</v>
      </c>
      <c r="AT140" t="e">
        <f t="shared" si="84"/>
        <v>#NUM!</v>
      </c>
      <c r="AU140" t="e">
        <f t="shared" si="84"/>
        <v>#NUM!</v>
      </c>
      <c r="AV140" t="e">
        <f t="shared" si="84"/>
        <v>#NUM!</v>
      </c>
      <c r="AW140" t="e">
        <f t="shared" si="84"/>
        <v>#NUM!</v>
      </c>
      <c r="AX140" t="e">
        <f t="shared" si="84"/>
        <v>#NUM!</v>
      </c>
      <c r="AY140" t="e">
        <f t="shared" si="84"/>
        <v>#NUM!</v>
      </c>
      <c r="AZ140" t="e">
        <f t="shared" si="84"/>
        <v>#NUM!</v>
      </c>
      <c r="BA140" t="e">
        <f t="shared" si="84"/>
        <v>#NUM!</v>
      </c>
      <c r="BB140" t="e">
        <f t="shared" si="84"/>
        <v>#NUM!</v>
      </c>
      <c r="BC140" t="e">
        <f t="shared" si="84"/>
        <v>#NUM!</v>
      </c>
      <c r="BD140" t="e">
        <f t="shared" si="84"/>
        <v>#NUM!</v>
      </c>
      <c r="BE140" t="e">
        <f t="shared" si="84"/>
        <v>#NUM!</v>
      </c>
      <c r="BF140" t="e">
        <f t="shared" si="84"/>
        <v>#NUM!</v>
      </c>
      <c r="BG140" t="e">
        <f t="shared" si="84"/>
        <v>#NUM!</v>
      </c>
      <c r="BH140" t="e">
        <f t="shared" si="84"/>
        <v>#NUM!</v>
      </c>
      <c r="BI140" t="e">
        <f t="shared" si="84"/>
        <v>#NUM!</v>
      </c>
      <c r="BJ140" t="e">
        <f t="shared" si="84"/>
        <v>#NUM!</v>
      </c>
      <c r="BK140" t="e">
        <f t="shared" si="84"/>
        <v>#NUM!</v>
      </c>
      <c r="BL140" t="e">
        <f t="shared" si="84"/>
        <v>#NUM!</v>
      </c>
      <c r="BM140" t="e">
        <f t="shared" si="84"/>
        <v>#NUM!</v>
      </c>
      <c r="BN140" t="e">
        <f t="shared" si="84"/>
        <v>#NUM!</v>
      </c>
      <c r="BO140" t="e">
        <f t="shared" si="84"/>
        <v>#NUM!</v>
      </c>
      <c r="BP140" t="e">
        <f t="shared" si="84"/>
        <v>#NUM!</v>
      </c>
      <c r="BQ140" t="e">
        <f t="shared" si="84"/>
        <v>#NUM!</v>
      </c>
      <c r="BR140" t="e">
        <f t="shared" si="84"/>
        <v>#NUM!</v>
      </c>
      <c r="BS140" t="e">
        <f t="shared" si="85"/>
        <v>#NUM!</v>
      </c>
      <c r="BT140" t="e">
        <f t="shared" si="85"/>
        <v>#NUM!</v>
      </c>
      <c r="BU140" t="e">
        <f t="shared" si="85"/>
        <v>#NUM!</v>
      </c>
      <c r="BV140" t="e">
        <f t="shared" si="85"/>
        <v>#NUM!</v>
      </c>
      <c r="BW140" t="e">
        <f t="shared" si="85"/>
        <v>#NUM!</v>
      </c>
      <c r="BX140" t="e">
        <f t="shared" si="85"/>
        <v>#NUM!</v>
      </c>
      <c r="BY140" t="e">
        <f t="shared" si="85"/>
        <v>#NUM!</v>
      </c>
      <c r="BZ140" t="e">
        <f t="shared" si="85"/>
        <v>#NUM!</v>
      </c>
      <c r="CA140" t="e">
        <f t="shared" si="85"/>
        <v>#NUM!</v>
      </c>
      <c r="CB140" t="e">
        <f t="shared" si="85"/>
        <v>#NUM!</v>
      </c>
      <c r="CC140" t="e">
        <f t="shared" si="85"/>
        <v>#NUM!</v>
      </c>
      <c r="CD140" t="e">
        <f t="shared" si="85"/>
        <v>#NUM!</v>
      </c>
      <c r="CE140" t="e">
        <f t="shared" si="85"/>
        <v>#NUM!</v>
      </c>
      <c r="CF140" t="e">
        <f t="shared" si="85"/>
        <v>#NUM!</v>
      </c>
      <c r="CG140" t="e">
        <f t="shared" si="85"/>
        <v>#NUM!</v>
      </c>
      <c r="CH140" t="e">
        <f t="shared" si="85"/>
        <v>#NUM!</v>
      </c>
      <c r="CI140" t="e">
        <f t="shared" si="85"/>
        <v>#NUM!</v>
      </c>
      <c r="CJ140" t="e">
        <f t="shared" si="85"/>
        <v>#NUM!</v>
      </c>
      <c r="CK140" t="e">
        <f t="shared" si="85"/>
        <v>#NUM!</v>
      </c>
      <c r="CL140" t="e">
        <f t="shared" si="85"/>
        <v>#NUM!</v>
      </c>
      <c r="CM140" t="e">
        <f t="shared" si="85"/>
        <v>#NUM!</v>
      </c>
      <c r="CN140" t="e">
        <f t="shared" si="85"/>
        <v>#NUM!</v>
      </c>
      <c r="CO140" t="e">
        <f t="shared" si="85"/>
        <v>#NUM!</v>
      </c>
      <c r="CP140" t="e">
        <f t="shared" si="85"/>
        <v>#NUM!</v>
      </c>
      <c r="CQ140" t="e">
        <f t="shared" si="85"/>
        <v>#NUM!</v>
      </c>
      <c r="CR140" t="e">
        <f t="shared" si="85"/>
        <v>#NUM!</v>
      </c>
      <c r="CS140" t="e">
        <f t="shared" si="85"/>
        <v>#NUM!</v>
      </c>
      <c r="CT140" t="e">
        <f t="shared" si="85"/>
        <v>#NUM!</v>
      </c>
      <c r="CU140" t="e">
        <f t="shared" si="85"/>
        <v>#NUM!</v>
      </c>
      <c r="CV140" t="e">
        <f t="shared" si="85"/>
        <v>#NUM!</v>
      </c>
      <c r="CW140" t="e">
        <f t="shared" si="85"/>
        <v>#NUM!</v>
      </c>
      <c r="CX140" t="e">
        <f t="shared" si="85"/>
        <v>#NUM!</v>
      </c>
      <c r="CY140" t="e">
        <f t="shared" si="85"/>
        <v>#NUM!</v>
      </c>
      <c r="CZ140" t="e">
        <f t="shared" si="85"/>
        <v>#NUM!</v>
      </c>
      <c r="DA140" t="e">
        <f t="shared" si="85"/>
        <v>#NUM!</v>
      </c>
    </row>
    <row r="141" spans="1:105">
      <c r="F141" t="e">
        <f t="shared" si="86"/>
        <v>#NUM!</v>
      </c>
      <c r="G141" t="e">
        <f t="shared" ref="G141:BR144" si="87">LN(G131)</f>
        <v>#NUM!</v>
      </c>
      <c r="H141" t="e">
        <f t="shared" si="87"/>
        <v>#NUM!</v>
      </c>
      <c r="I141" t="e">
        <f t="shared" si="87"/>
        <v>#NUM!</v>
      </c>
      <c r="J141" t="e">
        <f t="shared" si="87"/>
        <v>#NUM!</v>
      </c>
      <c r="K141" t="e">
        <f t="shared" si="87"/>
        <v>#NUM!</v>
      </c>
      <c r="L141" t="e">
        <f t="shared" si="87"/>
        <v>#NUM!</v>
      </c>
      <c r="M141" t="e">
        <f t="shared" si="87"/>
        <v>#NUM!</v>
      </c>
      <c r="N141" t="e">
        <f t="shared" si="87"/>
        <v>#NUM!</v>
      </c>
      <c r="O141" t="e">
        <f t="shared" si="87"/>
        <v>#NUM!</v>
      </c>
      <c r="P141" t="e">
        <f t="shared" si="87"/>
        <v>#NUM!</v>
      </c>
      <c r="Q141" t="e">
        <f t="shared" si="87"/>
        <v>#NUM!</v>
      </c>
      <c r="R141" t="e">
        <f t="shared" si="87"/>
        <v>#NUM!</v>
      </c>
      <c r="S141" t="e">
        <f t="shared" si="87"/>
        <v>#NUM!</v>
      </c>
      <c r="T141" t="e">
        <f t="shared" si="87"/>
        <v>#NUM!</v>
      </c>
      <c r="U141" t="e">
        <f t="shared" si="87"/>
        <v>#NUM!</v>
      </c>
      <c r="V141" t="e">
        <f t="shared" si="87"/>
        <v>#NUM!</v>
      </c>
      <c r="W141" t="e">
        <f t="shared" si="87"/>
        <v>#NUM!</v>
      </c>
      <c r="X141" t="e">
        <f t="shared" si="87"/>
        <v>#NUM!</v>
      </c>
      <c r="Y141" t="e">
        <f t="shared" si="87"/>
        <v>#NUM!</v>
      </c>
      <c r="Z141" t="e">
        <f t="shared" si="87"/>
        <v>#NUM!</v>
      </c>
      <c r="AA141" t="e">
        <f t="shared" si="87"/>
        <v>#NUM!</v>
      </c>
      <c r="AB141" t="e">
        <f t="shared" si="87"/>
        <v>#NUM!</v>
      </c>
      <c r="AC141" t="e">
        <f t="shared" si="87"/>
        <v>#NUM!</v>
      </c>
      <c r="AD141" t="e">
        <f t="shared" si="87"/>
        <v>#NUM!</v>
      </c>
      <c r="AE141" t="e">
        <f t="shared" si="87"/>
        <v>#NUM!</v>
      </c>
      <c r="AF141" t="e">
        <f t="shared" si="87"/>
        <v>#NUM!</v>
      </c>
      <c r="AG141" t="e">
        <f t="shared" si="87"/>
        <v>#NUM!</v>
      </c>
      <c r="AH141" t="e">
        <f t="shared" si="87"/>
        <v>#NUM!</v>
      </c>
      <c r="AI141" t="e">
        <f t="shared" si="87"/>
        <v>#NUM!</v>
      </c>
      <c r="AJ141" t="e">
        <f t="shared" si="87"/>
        <v>#NUM!</v>
      </c>
      <c r="AK141" t="e">
        <f t="shared" si="87"/>
        <v>#NUM!</v>
      </c>
      <c r="AL141" t="e">
        <f t="shared" si="87"/>
        <v>#NUM!</v>
      </c>
      <c r="AM141" t="e">
        <f t="shared" si="87"/>
        <v>#NUM!</v>
      </c>
      <c r="AN141" t="e">
        <f t="shared" si="87"/>
        <v>#NUM!</v>
      </c>
      <c r="AO141" t="e">
        <f t="shared" si="87"/>
        <v>#NUM!</v>
      </c>
      <c r="AP141" t="e">
        <f t="shared" si="87"/>
        <v>#NUM!</v>
      </c>
      <c r="AQ141" t="e">
        <f t="shared" si="87"/>
        <v>#NUM!</v>
      </c>
      <c r="AR141" t="e">
        <f t="shared" si="87"/>
        <v>#NUM!</v>
      </c>
      <c r="AS141" t="e">
        <f t="shared" si="87"/>
        <v>#NUM!</v>
      </c>
      <c r="AT141" t="e">
        <f t="shared" si="87"/>
        <v>#NUM!</v>
      </c>
      <c r="AU141" t="e">
        <f t="shared" si="87"/>
        <v>#NUM!</v>
      </c>
      <c r="AV141" t="e">
        <f t="shared" si="87"/>
        <v>#NUM!</v>
      </c>
      <c r="AW141" t="e">
        <f t="shared" si="87"/>
        <v>#NUM!</v>
      </c>
      <c r="AX141" t="e">
        <f t="shared" si="87"/>
        <v>#NUM!</v>
      </c>
      <c r="AY141" t="e">
        <f t="shared" si="87"/>
        <v>#NUM!</v>
      </c>
      <c r="AZ141" t="e">
        <f t="shared" si="87"/>
        <v>#NUM!</v>
      </c>
      <c r="BA141" t="e">
        <f t="shared" si="87"/>
        <v>#NUM!</v>
      </c>
      <c r="BB141" t="e">
        <f t="shared" si="87"/>
        <v>#NUM!</v>
      </c>
      <c r="BC141" t="e">
        <f t="shared" si="87"/>
        <v>#NUM!</v>
      </c>
      <c r="BD141" t="e">
        <f t="shared" si="87"/>
        <v>#NUM!</v>
      </c>
      <c r="BE141" t="e">
        <f t="shared" si="87"/>
        <v>#NUM!</v>
      </c>
      <c r="BF141" t="e">
        <f t="shared" si="87"/>
        <v>#NUM!</v>
      </c>
      <c r="BG141" t="e">
        <f t="shared" si="87"/>
        <v>#NUM!</v>
      </c>
      <c r="BH141" t="e">
        <f t="shared" si="87"/>
        <v>#NUM!</v>
      </c>
      <c r="BI141" t="e">
        <f t="shared" si="87"/>
        <v>#NUM!</v>
      </c>
      <c r="BJ141" t="e">
        <f t="shared" si="87"/>
        <v>#NUM!</v>
      </c>
      <c r="BK141" t="e">
        <f t="shared" si="87"/>
        <v>#NUM!</v>
      </c>
      <c r="BL141" t="e">
        <f t="shared" si="87"/>
        <v>#NUM!</v>
      </c>
      <c r="BM141" t="e">
        <f t="shared" si="87"/>
        <v>#NUM!</v>
      </c>
      <c r="BN141" t="e">
        <f t="shared" si="87"/>
        <v>#NUM!</v>
      </c>
      <c r="BO141" t="e">
        <f t="shared" si="87"/>
        <v>#NUM!</v>
      </c>
      <c r="BP141" t="e">
        <f t="shared" si="87"/>
        <v>#NUM!</v>
      </c>
      <c r="BQ141" t="e">
        <f t="shared" si="87"/>
        <v>#NUM!</v>
      </c>
      <c r="BR141" t="e">
        <f t="shared" si="87"/>
        <v>#NUM!</v>
      </c>
      <c r="BS141" t="e">
        <f t="shared" si="85"/>
        <v>#NUM!</v>
      </c>
      <c r="BT141" t="e">
        <f t="shared" si="85"/>
        <v>#NUM!</v>
      </c>
      <c r="BU141" t="e">
        <f t="shared" si="85"/>
        <v>#NUM!</v>
      </c>
      <c r="BV141" t="e">
        <f t="shared" si="85"/>
        <v>#NUM!</v>
      </c>
      <c r="BW141" t="e">
        <f t="shared" si="85"/>
        <v>#NUM!</v>
      </c>
      <c r="BX141" t="e">
        <f t="shared" si="85"/>
        <v>#NUM!</v>
      </c>
      <c r="BY141" t="e">
        <f t="shared" si="85"/>
        <v>#NUM!</v>
      </c>
      <c r="BZ141" t="e">
        <f t="shared" si="85"/>
        <v>#NUM!</v>
      </c>
      <c r="CA141" t="e">
        <f t="shared" si="85"/>
        <v>#NUM!</v>
      </c>
      <c r="CB141" t="e">
        <f t="shared" si="85"/>
        <v>#NUM!</v>
      </c>
      <c r="CC141" t="e">
        <f t="shared" si="85"/>
        <v>#NUM!</v>
      </c>
      <c r="CD141" t="e">
        <f t="shared" si="85"/>
        <v>#NUM!</v>
      </c>
      <c r="CE141" t="e">
        <f t="shared" si="85"/>
        <v>#NUM!</v>
      </c>
      <c r="CF141" t="e">
        <f t="shared" si="85"/>
        <v>#NUM!</v>
      </c>
      <c r="CG141" t="e">
        <f t="shared" si="85"/>
        <v>#NUM!</v>
      </c>
      <c r="CH141" t="e">
        <f t="shared" si="85"/>
        <v>#NUM!</v>
      </c>
      <c r="CI141" t="e">
        <f t="shared" si="85"/>
        <v>#NUM!</v>
      </c>
      <c r="CJ141" t="e">
        <f t="shared" si="85"/>
        <v>#NUM!</v>
      </c>
      <c r="CK141" t="e">
        <f t="shared" si="85"/>
        <v>#NUM!</v>
      </c>
      <c r="CL141" t="e">
        <f t="shared" si="85"/>
        <v>#NUM!</v>
      </c>
      <c r="CM141" t="e">
        <f t="shared" si="85"/>
        <v>#NUM!</v>
      </c>
      <c r="CN141" t="e">
        <f t="shared" si="85"/>
        <v>#NUM!</v>
      </c>
      <c r="CO141" t="e">
        <f t="shared" si="85"/>
        <v>#NUM!</v>
      </c>
      <c r="CP141" t="e">
        <f t="shared" si="85"/>
        <v>#NUM!</v>
      </c>
      <c r="CQ141" t="e">
        <f t="shared" si="85"/>
        <v>#NUM!</v>
      </c>
      <c r="CR141" t="e">
        <f t="shared" si="85"/>
        <v>#NUM!</v>
      </c>
      <c r="CS141" t="e">
        <f t="shared" si="85"/>
        <v>#NUM!</v>
      </c>
      <c r="CT141" t="e">
        <f t="shared" si="85"/>
        <v>#NUM!</v>
      </c>
      <c r="CU141" t="e">
        <f t="shared" si="85"/>
        <v>#NUM!</v>
      </c>
      <c r="CV141" t="e">
        <f t="shared" si="85"/>
        <v>#NUM!</v>
      </c>
      <c r="CW141" t="e">
        <f t="shared" si="85"/>
        <v>#NUM!</v>
      </c>
      <c r="CX141" t="e">
        <f t="shared" si="85"/>
        <v>#NUM!</v>
      </c>
      <c r="CY141" t="e">
        <f t="shared" si="85"/>
        <v>#NUM!</v>
      </c>
      <c r="CZ141" t="e">
        <f t="shared" si="85"/>
        <v>#NUM!</v>
      </c>
      <c r="DA141" t="e">
        <f t="shared" si="85"/>
        <v>#NUM!</v>
      </c>
    </row>
    <row r="142" spans="1:105">
      <c r="F142" t="e">
        <f t="shared" si="86"/>
        <v>#NUM!</v>
      </c>
      <c r="G142" t="e">
        <f t="shared" si="87"/>
        <v>#NUM!</v>
      </c>
      <c r="H142" t="e">
        <f t="shared" si="87"/>
        <v>#NUM!</v>
      </c>
      <c r="I142" t="e">
        <f t="shared" si="87"/>
        <v>#NUM!</v>
      </c>
      <c r="J142" t="e">
        <f t="shared" si="87"/>
        <v>#NUM!</v>
      </c>
      <c r="K142" t="e">
        <f t="shared" si="87"/>
        <v>#NUM!</v>
      </c>
      <c r="L142" t="e">
        <f t="shared" si="87"/>
        <v>#NUM!</v>
      </c>
      <c r="M142" t="e">
        <f t="shared" si="87"/>
        <v>#NUM!</v>
      </c>
      <c r="N142" t="e">
        <f t="shared" si="87"/>
        <v>#NUM!</v>
      </c>
      <c r="O142" t="e">
        <f t="shared" si="87"/>
        <v>#NUM!</v>
      </c>
      <c r="P142" t="e">
        <f t="shared" si="87"/>
        <v>#NUM!</v>
      </c>
      <c r="Q142" t="e">
        <f t="shared" si="87"/>
        <v>#NUM!</v>
      </c>
      <c r="R142" t="e">
        <f t="shared" si="87"/>
        <v>#NUM!</v>
      </c>
      <c r="S142" t="e">
        <f t="shared" si="87"/>
        <v>#NUM!</v>
      </c>
      <c r="T142" t="e">
        <f t="shared" si="87"/>
        <v>#NUM!</v>
      </c>
      <c r="U142" t="e">
        <f t="shared" si="87"/>
        <v>#NUM!</v>
      </c>
      <c r="V142" t="e">
        <f t="shared" si="87"/>
        <v>#NUM!</v>
      </c>
      <c r="W142" t="e">
        <f t="shared" si="87"/>
        <v>#NUM!</v>
      </c>
      <c r="X142" t="e">
        <f t="shared" si="87"/>
        <v>#NUM!</v>
      </c>
      <c r="Y142" t="e">
        <f t="shared" si="87"/>
        <v>#NUM!</v>
      </c>
      <c r="Z142" t="e">
        <f t="shared" si="87"/>
        <v>#NUM!</v>
      </c>
      <c r="AA142" t="e">
        <f t="shared" si="87"/>
        <v>#NUM!</v>
      </c>
      <c r="AB142" t="e">
        <f t="shared" si="87"/>
        <v>#NUM!</v>
      </c>
      <c r="AC142" t="e">
        <f t="shared" si="87"/>
        <v>#NUM!</v>
      </c>
      <c r="AD142" t="e">
        <f t="shared" si="87"/>
        <v>#NUM!</v>
      </c>
      <c r="AE142" t="e">
        <f t="shared" si="87"/>
        <v>#NUM!</v>
      </c>
      <c r="AF142" t="e">
        <f t="shared" si="87"/>
        <v>#NUM!</v>
      </c>
      <c r="AG142" t="e">
        <f t="shared" si="87"/>
        <v>#NUM!</v>
      </c>
      <c r="AH142" t="e">
        <f t="shared" si="87"/>
        <v>#NUM!</v>
      </c>
      <c r="AI142" t="e">
        <f t="shared" si="87"/>
        <v>#NUM!</v>
      </c>
      <c r="AJ142" t="e">
        <f t="shared" si="87"/>
        <v>#NUM!</v>
      </c>
      <c r="AK142" t="e">
        <f t="shared" si="87"/>
        <v>#NUM!</v>
      </c>
      <c r="AL142" t="e">
        <f t="shared" si="87"/>
        <v>#NUM!</v>
      </c>
      <c r="AM142" t="e">
        <f t="shared" si="87"/>
        <v>#NUM!</v>
      </c>
      <c r="AN142" t="e">
        <f t="shared" si="87"/>
        <v>#NUM!</v>
      </c>
      <c r="AO142" t="e">
        <f t="shared" si="87"/>
        <v>#NUM!</v>
      </c>
      <c r="AP142" t="e">
        <f t="shared" si="87"/>
        <v>#NUM!</v>
      </c>
      <c r="AQ142" t="e">
        <f t="shared" si="87"/>
        <v>#NUM!</v>
      </c>
      <c r="AR142" t="e">
        <f t="shared" si="87"/>
        <v>#NUM!</v>
      </c>
      <c r="AS142" t="e">
        <f t="shared" si="87"/>
        <v>#NUM!</v>
      </c>
      <c r="AT142" t="e">
        <f t="shared" si="87"/>
        <v>#NUM!</v>
      </c>
      <c r="AU142" t="e">
        <f t="shared" si="87"/>
        <v>#NUM!</v>
      </c>
      <c r="AV142" t="e">
        <f t="shared" si="87"/>
        <v>#NUM!</v>
      </c>
      <c r="AW142" t="e">
        <f t="shared" si="87"/>
        <v>#NUM!</v>
      </c>
      <c r="AX142" t="e">
        <f t="shared" si="87"/>
        <v>#NUM!</v>
      </c>
      <c r="AY142" t="e">
        <f t="shared" si="87"/>
        <v>#NUM!</v>
      </c>
      <c r="AZ142" t="e">
        <f t="shared" si="87"/>
        <v>#NUM!</v>
      </c>
      <c r="BA142" t="e">
        <f t="shared" si="87"/>
        <v>#NUM!</v>
      </c>
      <c r="BB142" t="e">
        <f t="shared" si="87"/>
        <v>#NUM!</v>
      </c>
      <c r="BC142" t="e">
        <f t="shared" si="87"/>
        <v>#NUM!</v>
      </c>
      <c r="BD142" t="e">
        <f t="shared" si="87"/>
        <v>#NUM!</v>
      </c>
      <c r="BE142" t="e">
        <f t="shared" si="87"/>
        <v>#NUM!</v>
      </c>
      <c r="BF142" t="e">
        <f t="shared" si="87"/>
        <v>#NUM!</v>
      </c>
      <c r="BG142" t="e">
        <f t="shared" si="87"/>
        <v>#NUM!</v>
      </c>
      <c r="BH142" t="e">
        <f t="shared" si="87"/>
        <v>#NUM!</v>
      </c>
      <c r="BI142" t="e">
        <f t="shared" si="87"/>
        <v>#NUM!</v>
      </c>
      <c r="BJ142" t="e">
        <f t="shared" si="87"/>
        <v>#NUM!</v>
      </c>
      <c r="BK142" t="e">
        <f t="shared" si="87"/>
        <v>#NUM!</v>
      </c>
      <c r="BL142" t="e">
        <f t="shared" si="87"/>
        <v>#NUM!</v>
      </c>
      <c r="BM142" t="e">
        <f t="shared" si="87"/>
        <v>#NUM!</v>
      </c>
      <c r="BN142" t="e">
        <f t="shared" si="87"/>
        <v>#NUM!</v>
      </c>
      <c r="BO142" t="e">
        <f t="shared" si="87"/>
        <v>#NUM!</v>
      </c>
      <c r="BP142" t="e">
        <f t="shared" si="87"/>
        <v>#NUM!</v>
      </c>
      <c r="BQ142" t="e">
        <f t="shared" si="87"/>
        <v>#NUM!</v>
      </c>
      <c r="BR142" t="e">
        <f t="shared" si="87"/>
        <v>#NUM!</v>
      </c>
      <c r="BS142" t="e">
        <f t="shared" si="85"/>
        <v>#NUM!</v>
      </c>
      <c r="BT142" t="e">
        <f t="shared" si="85"/>
        <v>#NUM!</v>
      </c>
      <c r="BU142" t="e">
        <f t="shared" si="85"/>
        <v>#NUM!</v>
      </c>
      <c r="BV142" t="e">
        <f t="shared" si="85"/>
        <v>#NUM!</v>
      </c>
      <c r="BW142" t="e">
        <f t="shared" si="85"/>
        <v>#NUM!</v>
      </c>
      <c r="BX142" t="e">
        <f t="shared" si="85"/>
        <v>#NUM!</v>
      </c>
      <c r="BY142" t="e">
        <f t="shared" si="85"/>
        <v>#NUM!</v>
      </c>
      <c r="BZ142" t="e">
        <f t="shared" si="85"/>
        <v>#NUM!</v>
      </c>
      <c r="CA142" t="e">
        <f t="shared" si="85"/>
        <v>#NUM!</v>
      </c>
      <c r="CB142" t="e">
        <f t="shared" si="85"/>
        <v>#NUM!</v>
      </c>
      <c r="CC142" t="e">
        <f t="shared" si="85"/>
        <v>#NUM!</v>
      </c>
      <c r="CD142" t="e">
        <f t="shared" si="85"/>
        <v>#NUM!</v>
      </c>
      <c r="CE142" t="e">
        <f t="shared" si="85"/>
        <v>#NUM!</v>
      </c>
      <c r="CF142" t="e">
        <f t="shared" si="85"/>
        <v>#NUM!</v>
      </c>
      <c r="CG142" t="e">
        <f t="shared" si="85"/>
        <v>#NUM!</v>
      </c>
      <c r="CH142" t="e">
        <f t="shared" si="85"/>
        <v>#NUM!</v>
      </c>
      <c r="CI142" t="e">
        <f t="shared" si="85"/>
        <v>#NUM!</v>
      </c>
      <c r="CJ142" t="e">
        <f t="shared" si="85"/>
        <v>#NUM!</v>
      </c>
      <c r="CK142" t="e">
        <f t="shared" si="85"/>
        <v>#NUM!</v>
      </c>
      <c r="CL142" t="e">
        <f t="shared" si="85"/>
        <v>#NUM!</v>
      </c>
      <c r="CM142" t="e">
        <f t="shared" si="85"/>
        <v>#NUM!</v>
      </c>
      <c r="CN142" t="e">
        <f t="shared" si="85"/>
        <v>#NUM!</v>
      </c>
      <c r="CO142" t="e">
        <f t="shared" si="85"/>
        <v>#NUM!</v>
      </c>
      <c r="CP142" t="e">
        <f t="shared" si="85"/>
        <v>#NUM!</v>
      </c>
      <c r="CQ142" t="e">
        <f t="shared" si="85"/>
        <v>#NUM!</v>
      </c>
      <c r="CR142" t="e">
        <f t="shared" si="85"/>
        <v>#NUM!</v>
      </c>
      <c r="CS142" t="e">
        <f t="shared" si="85"/>
        <v>#NUM!</v>
      </c>
      <c r="CT142" t="e">
        <f t="shared" si="85"/>
        <v>#NUM!</v>
      </c>
      <c r="CU142" t="e">
        <f t="shared" si="85"/>
        <v>#NUM!</v>
      </c>
      <c r="CV142" t="e">
        <f t="shared" si="85"/>
        <v>#NUM!</v>
      </c>
      <c r="CW142" t="e">
        <f t="shared" si="85"/>
        <v>#NUM!</v>
      </c>
      <c r="CX142" t="e">
        <f t="shared" si="85"/>
        <v>#NUM!</v>
      </c>
      <c r="CY142" t="e">
        <f t="shared" si="85"/>
        <v>#NUM!</v>
      </c>
      <c r="CZ142" t="e">
        <f t="shared" si="85"/>
        <v>#NUM!</v>
      </c>
      <c r="DA142" t="e">
        <f t="shared" si="85"/>
        <v>#NUM!</v>
      </c>
    </row>
    <row r="143" spans="1:105">
      <c r="F143" t="e">
        <f t="shared" si="86"/>
        <v>#NUM!</v>
      </c>
      <c r="G143" t="e">
        <f t="shared" si="87"/>
        <v>#NUM!</v>
      </c>
      <c r="H143" t="e">
        <f t="shared" si="87"/>
        <v>#NUM!</v>
      </c>
      <c r="I143" t="e">
        <f t="shared" si="87"/>
        <v>#NUM!</v>
      </c>
      <c r="J143" t="e">
        <f t="shared" si="87"/>
        <v>#NUM!</v>
      </c>
      <c r="K143" t="e">
        <f t="shared" si="87"/>
        <v>#NUM!</v>
      </c>
      <c r="L143" t="e">
        <f t="shared" si="87"/>
        <v>#NUM!</v>
      </c>
      <c r="M143" t="e">
        <f t="shared" si="87"/>
        <v>#NUM!</v>
      </c>
      <c r="N143" t="e">
        <f t="shared" si="87"/>
        <v>#NUM!</v>
      </c>
      <c r="O143" t="e">
        <f t="shared" si="87"/>
        <v>#NUM!</v>
      </c>
      <c r="P143" t="e">
        <f t="shared" si="87"/>
        <v>#NUM!</v>
      </c>
      <c r="Q143" t="e">
        <f t="shared" si="87"/>
        <v>#NUM!</v>
      </c>
      <c r="R143" t="e">
        <f t="shared" si="87"/>
        <v>#NUM!</v>
      </c>
      <c r="S143" t="e">
        <f t="shared" si="87"/>
        <v>#NUM!</v>
      </c>
      <c r="T143" t="e">
        <f t="shared" si="87"/>
        <v>#NUM!</v>
      </c>
      <c r="U143" t="e">
        <f t="shared" si="87"/>
        <v>#NUM!</v>
      </c>
      <c r="V143" t="e">
        <f t="shared" si="87"/>
        <v>#NUM!</v>
      </c>
      <c r="W143" t="e">
        <f t="shared" si="87"/>
        <v>#NUM!</v>
      </c>
      <c r="X143" t="e">
        <f t="shared" si="87"/>
        <v>#NUM!</v>
      </c>
      <c r="Y143" t="e">
        <f t="shared" si="87"/>
        <v>#NUM!</v>
      </c>
      <c r="Z143" t="e">
        <f t="shared" si="87"/>
        <v>#NUM!</v>
      </c>
      <c r="AA143" t="e">
        <f t="shared" si="87"/>
        <v>#NUM!</v>
      </c>
      <c r="AB143" t="e">
        <f t="shared" si="87"/>
        <v>#NUM!</v>
      </c>
      <c r="AC143" t="e">
        <f t="shared" si="87"/>
        <v>#NUM!</v>
      </c>
      <c r="AD143" t="e">
        <f t="shared" si="87"/>
        <v>#NUM!</v>
      </c>
      <c r="AE143" t="e">
        <f t="shared" si="87"/>
        <v>#NUM!</v>
      </c>
      <c r="AF143" t="e">
        <f t="shared" si="87"/>
        <v>#NUM!</v>
      </c>
      <c r="AG143" t="e">
        <f t="shared" si="87"/>
        <v>#NUM!</v>
      </c>
      <c r="AH143" t="e">
        <f t="shared" si="87"/>
        <v>#NUM!</v>
      </c>
      <c r="AI143" t="e">
        <f t="shared" si="87"/>
        <v>#NUM!</v>
      </c>
      <c r="AJ143" t="e">
        <f t="shared" si="87"/>
        <v>#NUM!</v>
      </c>
      <c r="AK143" t="e">
        <f t="shared" si="87"/>
        <v>#NUM!</v>
      </c>
      <c r="AL143" t="e">
        <f t="shared" si="87"/>
        <v>#NUM!</v>
      </c>
      <c r="AM143" t="e">
        <f t="shared" si="87"/>
        <v>#NUM!</v>
      </c>
      <c r="AN143" t="e">
        <f t="shared" si="87"/>
        <v>#NUM!</v>
      </c>
      <c r="AO143" t="e">
        <f t="shared" si="87"/>
        <v>#NUM!</v>
      </c>
      <c r="AP143" t="e">
        <f t="shared" si="87"/>
        <v>#NUM!</v>
      </c>
      <c r="AQ143" t="e">
        <f t="shared" si="87"/>
        <v>#NUM!</v>
      </c>
      <c r="AR143" t="e">
        <f t="shared" si="87"/>
        <v>#NUM!</v>
      </c>
      <c r="AS143" t="e">
        <f t="shared" si="87"/>
        <v>#NUM!</v>
      </c>
      <c r="AT143" t="e">
        <f t="shared" si="87"/>
        <v>#NUM!</v>
      </c>
      <c r="AU143" t="e">
        <f t="shared" si="87"/>
        <v>#NUM!</v>
      </c>
      <c r="AV143" t="e">
        <f t="shared" si="87"/>
        <v>#NUM!</v>
      </c>
      <c r="AW143" t="e">
        <f t="shared" si="87"/>
        <v>#NUM!</v>
      </c>
      <c r="AX143" t="e">
        <f t="shared" si="87"/>
        <v>#NUM!</v>
      </c>
      <c r="AY143" t="e">
        <f t="shared" si="87"/>
        <v>#NUM!</v>
      </c>
      <c r="AZ143" t="e">
        <f t="shared" si="87"/>
        <v>#NUM!</v>
      </c>
      <c r="BA143" t="e">
        <f t="shared" si="87"/>
        <v>#NUM!</v>
      </c>
      <c r="BB143" t="e">
        <f t="shared" si="87"/>
        <v>#NUM!</v>
      </c>
      <c r="BC143" t="e">
        <f t="shared" si="87"/>
        <v>#NUM!</v>
      </c>
      <c r="BD143" t="e">
        <f t="shared" si="87"/>
        <v>#NUM!</v>
      </c>
      <c r="BE143" t="e">
        <f t="shared" si="87"/>
        <v>#NUM!</v>
      </c>
      <c r="BF143" t="e">
        <f t="shared" si="87"/>
        <v>#NUM!</v>
      </c>
      <c r="BG143" t="e">
        <f t="shared" si="87"/>
        <v>#NUM!</v>
      </c>
      <c r="BH143" t="e">
        <f t="shared" si="87"/>
        <v>#NUM!</v>
      </c>
      <c r="BI143" t="e">
        <f t="shared" si="87"/>
        <v>#NUM!</v>
      </c>
      <c r="BJ143" t="e">
        <f t="shared" si="87"/>
        <v>#NUM!</v>
      </c>
      <c r="BK143" t="e">
        <f t="shared" si="87"/>
        <v>#NUM!</v>
      </c>
      <c r="BL143" t="e">
        <f t="shared" si="87"/>
        <v>#NUM!</v>
      </c>
      <c r="BM143" t="e">
        <f t="shared" si="87"/>
        <v>#NUM!</v>
      </c>
      <c r="BN143" t="e">
        <f t="shared" si="87"/>
        <v>#NUM!</v>
      </c>
      <c r="BO143" t="e">
        <f t="shared" si="87"/>
        <v>#NUM!</v>
      </c>
      <c r="BP143" t="e">
        <f t="shared" si="87"/>
        <v>#NUM!</v>
      </c>
      <c r="BQ143" t="e">
        <f t="shared" si="87"/>
        <v>#NUM!</v>
      </c>
      <c r="BR143" t="e">
        <f t="shared" si="87"/>
        <v>#NUM!</v>
      </c>
      <c r="BS143" t="e">
        <f t="shared" si="85"/>
        <v>#NUM!</v>
      </c>
      <c r="BT143" t="e">
        <f t="shared" si="85"/>
        <v>#NUM!</v>
      </c>
      <c r="BU143" t="e">
        <f t="shared" si="85"/>
        <v>#NUM!</v>
      </c>
      <c r="BV143" t="e">
        <f t="shared" si="85"/>
        <v>#NUM!</v>
      </c>
      <c r="BW143" t="e">
        <f t="shared" si="85"/>
        <v>#NUM!</v>
      </c>
      <c r="BX143" t="e">
        <f t="shared" si="85"/>
        <v>#NUM!</v>
      </c>
      <c r="BY143" t="e">
        <f t="shared" si="85"/>
        <v>#NUM!</v>
      </c>
      <c r="BZ143" t="e">
        <f t="shared" si="85"/>
        <v>#NUM!</v>
      </c>
      <c r="CA143" t="e">
        <f t="shared" si="85"/>
        <v>#NUM!</v>
      </c>
      <c r="CB143" t="e">
        <f t="shared" si="85"/>
        <v>#NUM!</v>
      </c>
      <c r="CC143" t="e">
        <f t="shared" si="85"/>
        <v>#NUM!</v>
      </c>
      <c r="CD143" t="e">
        <f t="shared" si="85"/>
        <v>#NUM!</v>
      </c>
      <c r="CE143" t="e">
        <f t="shared" si="85"/>
        <v>#NUM!</v>
      </c>
      <c r="CF143" t="e">
        <f t="shared" si="85"/>
        <v>#NUM!</v>
      </c>
      <c r="CG143" t="e">
        <f t="shared" si="85"/>
        <v>#NUM!</v>
      </c>
      <c r="CH143" t="e">
        <f t="shared" si="85"/>
        <v>#NUM!</v>
      </c>
      <c r="CI143" t="e">
        <f t="shared" si="85"/>
        <v>#NUM!</v>
      </c>
      <c r="CJ143" t="e">
        <f t="shared" si="85"/>
        <v>#NUM!</v>
      </c>
      <c r="CK143" t="e">
        <f t="shared" si="85"/>
        <v>#NUM!</v>
      </c>
      <c r="CL143" t="e">
        <f t="shared" si="85"/>
        <v>#NUM!</v>
      </c>
      <c r="CM143" t="e">
        <f t="shared" si="85"/>
        <v>#NUM!</v>
      </c>
      <c r="CN143" t="e">
        <f t="shared" si="85"/>
        <v>#NUM!</v>
      </c>
      <c r="CO143" t="e">
        <f t="shared" si="85"/>
        <v>#NUM!</v>
      </c>
      <c r="CP143" t="e">
        <f t="shared" si="85"/>
        <v>#NUM!</v>
      </c>
      <c r="CQ143" t="e">
        <f t="shared" si="85"/>
        <v>#NUM!</v>
      </c>
      <c r="CR143" t="e">
        <f t="shared" si="85"/>
        <v>#NUM!</v>
      </c>
      <c r="CS143" t="e">
        <f t="shared" si="85"/>
        <v>#NUM!</v>
      </c>
      <c r="CT143" t="e">
        <f t="shared" si="85"/>
        <v>#NUM!</v>
      </c>
      <c r="CU143" t="e">
        <f t="shared" si="85"/>
        <v>#NUM!</v>
      </c>
      <c r="CV143" t="e">
        <f t="shared" si="85"/>
        <v>#NUM!</v>
      </c>
      <c r="CW143" t="e">
        <f t="shared" si="85"/>
        <v>#NUM!</v>
      </c>
      <c r="CX143" t="e">
        <f t="shared" si="85"/>
        <v>#NUM!</v>
      </c>
      <c r="CY143" t="e">
        <f t="shared" si="85"/>
        <v>#NUM!</v>
      </c>
      <c r="CZ143" t="e">
        <f t="shared" si="85"/>
        <v>#NUM!</v>
      </c>
      <c r="DA143" t="e">
        <f t="shared" si="85"/>
        <v>#NUM!</v>
      </c>
    </row>
    <row r="144" spans="1:105">
      <c r="F144" t="e">
        <f t="shared" si="86"/>
        <v>#NUM!</v>
      </c>
      <c r="G144" t="e">
        <f t="shared" si="87"/>
        <v>#NUM!</v>
      </c>
      <c r="H144" t="e">
        <f t="shared" si="87"/>
        <v>#NUM!</v>
      </c>
      <c r="I144" t="e">
        <f t="shared" si="87"/>
        <v>#NUM!</v>
      </c>
      <c r="J144" t="e">
        <f t="shared" si="87"/>
        <v>#NUM!</v>
      </c>
      <c r="K144" t="e">
        <f t="shared" si="87"/>
        <v>#NUM!</v>
      </c>
      <c r="L144" t="e">
        <f t="shared" si="87"/>
        <v>#NUM!</v>
      </c>
      <c r="M144" t="e">
        <f t="shared" si="87"/>
        <v>#NUM!</v>
      </c>
      <c r="N144" t="e">
        <f t="shared" si="87"/>
        <v>#NUM!</v>
      </c>
      <c r="O144" t="e">
        <f t="shared" si="87"/>
        <v>#NUM!</v>
      </c>
      <c r="P144" t="e">
        <f t="shared" si="87"/>
        <v>#NUM!</v>
      </c>
      <c r="Q144" t="e">
        <f t="shared" si="87"/>
        <v>#NUM!</v>
      </c>
      <c r="R144" t="e">
        <f t="shared" si="87"/>
        <v>#NUM!</v>
      </c>
      <c r="S144" t="e">
        <f t="shared" si="87"/>
        <v>#NUM!</v>
      </c>
      <c r="T144" t="e">
        <f t="shared" si="87"/>
        <v>#NUM!</v>
      </c>
      <c r="U144" t="e">
        <f t="shared" si="87"/>
        <v>#NUM!</v>
      </c>
      <c r="V144" t="e">
        <f t="shared" si="87"/>
        <v>#NUM!</v>
      </c>
      <c r="W144" t="e">
        <f t="shared" si="87"/>
        <v>#NUM!</v>
      </c>
      <c r="X144" t="e">
        <f t="shared" si="87"/>
        <v>#NUM!</v>
      </c>
      <c r="Y144" t="e">
        <f t="shared" si="87"/>
        <v>#NUM!</v>
      </c>
      <c r="Z144" t="e">
        <f t="shared" si="87"/>
        <v>#NUM!</v>
      </c>
      <c r="AA144" t="e">
        <f t="shared" si="87"/>
        <v>#NUM!</v>
      </c>
      <c r="AB144" t="e">
        <f t="shared" si="87"/>
        <v>#NUM!</v>
      </c>
      <c r="AC144" t="e">
        <f t="shared" si="87"/>
        <v>#NUM!</v>
      </c>
      <c r="AD144" t="e">
        <f t="shared" si="87"/>
        <v>#NUM!</v>
      </c>
      <c r="AE144" t="e">
        <f t="shared" si="87"/>
        <v>#NUM!</v>
      </c>
      <c r="AF144" t="e">
        <f t="shared" si="87"/>
        <v>#NUM!</v>
      </c>
      <c r="AG144" t="e">
        <f t="shared" si="87"/>
        <v>#NUM!</v>
      </c>
      <c r="AH144" t="e">
        <f t="shared" si="87"/>
        <v>#NUM!</v>
      </c>
      <c r="AI144" t="e">
        <f t="shared" si="87"/>
        <v>#NUM!</v>
      </c>
      <c r="AJ144" t="e">
        <f t="shared" si="87"/>
        <v>#NUM!</v>
      </c>
      <c r="AK144" t="e">
        <f t="shared" si="87"/>
        <v>#NUM!</v>
      </c>
      <c r="AL144" t="e">
        <f t="shared" si="87"/>
        <v>#NUM!</v>
      </c>
      <c r="AM144" t="e">
        <f t="shared" si="87"/>
        <v>#NUM!</v>
      </c>
      <c r="AN144" t="e">
        <f t="shared" si="87"/>
        <v>#NUM!</v>
      </c>
      <c r="AO144" t="e">
        <f t="shared" si="87"/>
        <v>#NUM!</v>
      </c>
      <c r="AP144" t="e">
        <f t="shared" si="87"/>
        <v>#NUM!</v>
      </c>
      <c r="AQ144" t="e">
        <f t="shared" si="87"/>
        <v>#NUM!</v>
      </c>
      <c r="AR144" t="e">
        <f t="shared" si="87"/>
        <v>#NUM!</v>
      </c>
      <c r="AS144" t="e">
        <f t="shared" si="87"/>
        <v>#NUM!</v>
      </c>
      <c r="AT144" t="e">
        <f t="shared" si="87"/>
        <v>#NUM!</v>
      </c>
      <c r="AU144" t="e">
        <f t="shared" si="87"/>
        <v>#NUM!</v>
      </c>
      <c r="AV144" t="e">
        <f t="shared" si="87"/>
        <v>#NUM!</v>
      </c>
      <c r="AW144" t="e">
        <f t="shared" si="87"/>
        <v>#NUM!</v>
      </c>
      <c r="AX144" t="e">
        <f t="shared" si="87"/>
        <v>#NUM!</v>
      </c>
      <c r="AY144" t="e">
        <f t="shared" si="87"/>
        <v>#NUM!</v>
      </c>
      <c r="AZ144" t="e">
        <f t="shared" si="87"/>
        <v>#NUM!</v>
      </c>
      <c r="BA144" t="e">
        <f t="shared" si="87"/>
        <v>#NUM!</v>
      </c>
      <c r="BB144" t="e">
        <f t="shared" si="87"/>
        <v>#NUM!</v>
      </c>
      <c r="BC144" t="e">
        <f t="shared" si="87"/>
        <v>#NUM!</v>
      </c>
      <c r="BD144" t="e">
        <f t="shared" si="87"/>
        <v>#NUM!</v>
      </c>
      <c r="BE144" t="e">
        <f t="shared" si="87"/>
        <v>#NUM!</v>
      </c>
      <c r="BF144" t="e">
        <f t="shared" si="87"/>
        <v>#NUM!</v>
      </c>
      <c r="BG144" t="e">
        <f t="shared" si="87"/>
        <v>#NUM!</v>
      </c>
      <c r="BH144" t="e">
        <f t="shared" si="87"/>
        <v>#NUM!</v>
      </c>
      <c r="BI144" t="e">
        <f t="shared" si="87"/>
        <v>#NUM!</v>
      </c>
      <c r="BJ144" t="e">
        <f t="shared" si="87"/>
        <v>#NUM!</v>
      </c>
      <c r="BK144" t="e">
        <f t="shared" si="87"/>
        <v>#NUM!</v>
      </c>
      <c r="BL144" t="e">
        <f t="shared" si="87"/>
        <v>#NUM!</v>
      </c>
      <c r="BM144" t="e">
        <f t="shared" si="87"/>
        <v>#NUM!</v>
      </c>
      <c r="BN144" t="e">
        <f t="shared" si="87"/>
        <v>#NUM!</v>
      </c>
      <c r="BO144" t="e">
        <f t="shared" si="87"/>
        <v>#NUM!</v>
      </c>
      <c r="BP144" t="e">
        <f t="shared" si="87"/>
        <v>#NUM!</v>
      </c>
      <c r="BQ144" t="e">
        <f t="shared" si="87"/>
        <v>#NUM!</v>
      </c>
      <c r="BR144" t="e">
        <f t="shared" ref="BR144:DA146" si="88">LN(BR134)</f>
        <v>#NUM!</v>
      </c>
      <c r="BS144" t="e">
        <f t="shared" si="88"/>
        <v>#NUM!</v>
      </c>
      <c r="BT144" t="e">
        <f t="shared" si="88"/>
        <v>#NUM!</v>
      </c>
      <c r="BU144" t="e">
        <f t="shared" si="88"/>
        <v>#NUM!</v>
      </c>
      <c r="BV144" t="e">
        <f t="shared" si="88"/>
        <v>#NUM!</v>
      </c>
      <c r="BW144" t="e">
        <f t="shared" si="88"/>
        <v>#NUM!</v>
      </c>
      <c r="BX144" t="e">
        <f t="shared" si="88"/>
        <v>#NUM!</v>
      </c>
      <c r="BY144" t="e">
        <f t="shared" si="88"/>
        <v>#NUM!</v>
      </c>
      <c r="BZ144" t="e">
        <f t="shared" si="88"/>
        <v>#NUM!</v>
      </c>
      <c r="CA144" t="e">
        <f t="shared" si="88"/>
        <v>#NUM!</v>
      </c>
      <c r="CB144" t="e">
        <f t="shared" si="88"/>
        <v>#NUM!</v>
      </c>
      <c r="CC144" t="e">
        <f t="shared" si="88"/>
        <v>#NUM!</v>
      </c>
      <c r="CD144" t="e">
        <f t="shared" si="88"/>
        <v>#NUM!</v>
      </c>
      <c r="CE144" t="e">
        <f t="shared" si="88"/>
        <v>#NUM!</v>
      </c>
      <c r="CF144" t="e">
        <f t="shared" si="88"/>
        <v>#NUM!</v>
      </c>
      <c r="CG144" t="e">
        <f t="shared" si="88"/>
        <v>#NUM!</v>
      </c>
      <c r="CH144" t="e">
        <f t="shared" si="88"/>
        <v>#NUM!</v>
      </c>
      <c r="CI144" t="e">
        <f t="shared" si="88"/>
        <v>#NUM!</v>
      </c>
      <c r="CJ144" t="e">
        <f t="shared" si="88"/>
        <v>#NUM!</v>
      </c>
      <c r="CK144" t="e">
        <f t="shared" si="88"/>
        <v>#NUM!</v>
      </c>
      <c r="CL144" t="e">
        <f t="shared" si="88"/>
        <v>#NUM!</v>
      </c>
      <c r="CM144" t="e">
        <f t="shared" si="88"/>
        <v>#NUM!</v>
      </c>
      <c r="CN144" t="e">
        <f t="shared" si="88"/>
        <v>#NUM!</v>
      </c>
      <c r="CO144" t="e">
        <f t="shared" si="88"/>
        <v>#NUM!</v>
      </c>
      <c r="CP144" t="e">
        <f t="shared" si="88"/>
        <v>#NUM!</v>
      </c>
      <c r="CQ144" t="e">
        <f t="shared" si="88"/>
        <v>#NUM!</v>
      </c>
      <c r="CR144" t="e">
        <f t="shared" si="88"/>
        <v>#NUM!</v>
      </c>
      <c r="CS144" t="e">
        <f t="shared" si="88"/>
        <v>#NUM!</v>
      </c>
      <c r="CT144" t="e">
        <f t="shared" si="88"/>
        <v>#NUM!</v>
      </c>
      <c r="CU144" t="e">
        <f t="shared" si="88"/>
        <v>#NUM!</v>
      </c>
      <c r="CV144" t="e">
        <f t="shared" si="88"/>
        <v>#NUM!</v>
      </c>
      <c r="CW144" t="e">
        <f t="shared" si="88"/>
        <v>#NUM!</v>
      </c>
      <c r="CX144" t="e">
        <f t="shared" si="88"/>
        <v>#NUM!</v>
      </c>
      <c r="CY144" t="e">
        <f t="shared" si="88"/>
        <v>#NUM!</v>
      </c>
      <c r="CZ144" t="e">
        <f t="shared" si="88"/>
        <v>#NUM!</v>
      </c>
      <c r="DA144" t="e">
        <f t="shared" si="88"/>
        <v>#NUM!</v>
      </c>
    </row>
    <row r="145" spans="5:105">
      <c r="F145" t="e">
        <f t="shared" si="86"/>
        <v>#NUM!</v>
      </c>
      <c r="G145" t="e">
        <f t="shared" ref="G145:BR146" si="89">LN(G135)</f>
        <v>#NUM!</v>
      </c>
      <c r="H145" t="e">
        <f t="shared" si="89"/>
        <v>#NUM!</v>
      </c>
      <c r="I145" t="e">
        <f t="shared" si="89"/>
        <v>#NUM!</v>
      </c>
      <c r="J145" t="e">
        <f t="shared" si="89"/>
        <v>#NUM!</v>
      </c>
      <c r="K145" t="e">
        <f t="shared" si="89"/>
        <v>#NUM!</v>
      </c>
      <c r="L145" t="e">
        <f t="shared" si="89"/>
        <v>#NUM!</v>
      </c>
      <c r="M145" t="e">
        <f t="shared" si="89"/>
        <v>#NUM!</v>
      </c>
      <c r="N145" t="e">
        <f t="shared" si="89"/>
        <v>#NUM!</v>
      </c>
      <c r="O145" t="e">
        <f t="shared" si="89"/>
        <v>#NUM!</v>
      </c>
      <c r="P145" t="e">
        <f t="shared" si="89"/>
        <v>#NUM!</v>
      </c>
      <c r="Q145" t="e">
        <f t="shared" si="89"/>
        <v>#NUM!</v>
      </c>
      <c r="R145" t="e">
        <f t="shared" si="89"/>
        <v>#NUM!</v>
      </c>
      <c r="S145" t="e">
        <f t="shared" si="89"/>
        <v>#NUM!</v>
      </c>
      <c r="T145" t="e">
        <f t="shared" si="89"/>
        <v>#NUM!</v>
      </c>
      <c r="U145" t="e">
        <f t="shared" si="89"/>
        <v>#NUM!</v>
      </c>
      <c r="V145" t="e">
        <f t="shared" si="89"/>
        <v>#NUM!</v>
      </c>
      <c r="W145" t="e">
        <f t="shared" si="89"/>
        <v>#NUM!</v>
      </c>
      <c r="X145" t="e">
        <f t="shared" si="89"/>
        <v>#NUM!</v>
      </c>
      <c r="Y145" t="e">
        <f t="shared" si="89"/>
        <v>#NUM!</v>
      </c>
      <c r="Z145" t="e">
        <f t="shared" si="89"/>
        <v>#NUM!</v>
      </c>
      <c r="AA145" t="e">
        <f t="shared" si="89"/>
        <v>#NUM!</v>
      </c>
      <c r="AB145" t="e">
        <f t="shared" si="89"/>
        <v>#NUM!</v>
      </c>
      <c r="AC145" t="e">
        <f t="shared" si="89"/>
        <v>#NUM!</v>
      </c>
      <c r="AD145" t="e">
        <f t="shared" si="89"/>
        <v>#NUM!</v>
      </c>
      <c r="AE145" t="e">
        <f t="shared" si="89"/>
        <v>#NUM!</v>
      </c>
      <c r="AF145" t="e">
        <f t="shared" si="89"/>
        <v>#NUM!</v>
      </c>
      <c r="AG145" t="e">
        <f t="shared" si="89"/>
        <v>#NUM!</v>
      </c>
      <c r="AH145" t="e">
        <f t="shared" si="89"/>
        <v>#NUM!</v>
      </c>
      <c r="AI145" t="e">
        <f t="shared" si="89"/>
        <v>#NUM!</v>
      </c>
      <c r="AJ145" t="e">
        <f t="shared" si="89"/>
        <v>#NUM!</v>
      </c>
      <c r="AK145" t="e">
        <f t="shared" si="89"/>
        <v>#NUM!</v>
      </c>
      <c r="AL145" t="e">
        <f t="shared" si="89"/>
        <v>#NUM!</v>
      </c>
      <c r="AM145" t="e">
        <f t="shared" si="89"/>
        <v>#NUM!</v>
      </c>
      <c r="AN145" t="e">
        <f t="shared" si="89"/>
        <v>#NUM!</v>
      </c>
      <c r="AO145" t="e">
        <f t="shared" si="89"/>
        <v>#NUM!</v>
      </c>
      <c r="AP145" t="e">
        <f t="shared" si="89"/>
        <v>#NUM!</v>
      </c>
      <c r="AQ145" t="e">
        <f t="shared" si="89"/>
        <v>#NUM!</v>
      </c>
      <c r="AR145" t="e">
        <f t="shared" si="89"/>
        <v>#NUM!</v>
      </c>
      <c r="AS145" t="e">
        <f t="shared" si="89"/>
        <v>#NUM!</v>
      </c>
      <c r="AT145" t="e">
        <f t="shared" si="89"/>
        <v>#NUM!</v>
      </c>
      <c r="AU145" t="e">
        <f t="shared" si="89"/>
        <v>#NUM!</v>
      </c>
      <c r="AV145" t="e">
        <f t="shared" si="89"/>
        <v>#NUM!</v>
      </c>
      <c r="AW145" t="e">
        <f t="shared" si="89"/>
        <v>#NUM!</v>
      </c>
      <c r="AX145" t="e">
        <f t="shared" si="89"/>
        <v>#NUM!</v>
      </c>
      <c r="AY145" t="e">
        <f t="shared" si="89"/>
        <v>#NUM!</v>
      </c>
      <c r="AZ145" t="e">
        <f t="shared" si="89"/>
        <v>#NUM!</v>
      </c>
      <c r="BA145" t="e">
        <f t="shared" si="89"/>
        <v>#NUM!</v>
      </c>
      <c r="BB145" t="e">
        <f t="shared" si="89"/>
        <v>#NUM!</v>
      </c>
      <c r="BC145" t="e">
        <f t="shared" si="89"/>
        <v>#NUM!</v>
      </c>
      <c r="BD145" t="e">
        <f t="shared" si="89"/>
        <v>#NUM!</v>
      </c>
      <c r="BE145" t="e">
        <f t="shared" si="89"/>
        <v>#NUM!</v>
      </c>
      <c r="BF145" t="e">
        <f t="shared" si="89"/>
        <v>#NUM!</v>
      </c>
      <c r="BG145" t="e">
        <f t="shared" si="89"/>
        <v>#NUM!</v>
      </c>
      <c r="BH145" t="e">
        <f t="shared" si="89"/>
        <v>#NUM!</v>
      </c>
      <c r="BI145" t="e">
        <f t="shared" si="89"/>
        <v>#NUM!</v>
      </c>
      <c r="BJ145" t="e">
        <f t="shared" si="89"/>
        <v>#NUM!</v>
      </c>
      <c r="BK145" t="e">
        <f t="shared" si="89"/>
        <v>#NUM!</v>
      </c>
      <c r="BL145" t="e">
        <f t="shared" si="89"/>
        <v>#NUM!</v>
      </c>
      <c r="BM145" t="e">
        <f t="shared" si="89"/>
        <v>#NUM!</v>
      </c>
      <c r="BN145" t="e">
        <f t="shared" si="89"/>
        <v>#NUM!</v>
      </c>
      <c r="BO145" t="e">
        <f t="shared" si="89"/>
        <v>#NUM!</v>
      </c>
      <c r="BP145" t="e">
        <f t="shared" si="89"/>
        <v>#NUM!</v>
      </c>
      <c r="BQ145" t="e">
        <f t="shared" si="89"/>
        <v>#NUM!</v>
      </c>
      <c r="BR145" t="e">
        <f t="shared" si="89"/>
        <v>#NUM!</v>
      </c>
      <c r="BS145" t="e">
        <f t="shared" si="88"/>
        <v>#NUM!</v>
      </c>
      <c r="BT145" t="e">
        <f t="shared" si="88"/>
        <v>#NUM!</v>
      </c>
      <c r="BU145" t="e">
        <f t="shared" si="88"/>
        <v>#NUM!</v>
      </c>
      <c r="BV145" t="e">
        <f t="shared" si="88"/>
        <v>#NUM!</v>
      </c>
      <c r="BW145" t="e">
        <f t="shared" si="88"/>
        <v>#NUM!</v>
      </c>
      <c r="BX145" t="e">
        <f t="shared" si="88"/>
        <v>#NUM!</v>
      </c>
      <c r="BY145" t="e">
        <f t="shared" si="88"/>
        <v>#NUM!</v>
      </c>
      <c r="BZ145" t="e">
        <f t="shared" si="88"/>
        <v>#NUM!</v>
      </c>
      <c r="CA145" t="e">
        <f t="shared" si="88"/>
        <v>#NUM!</v>
      </c>
      <c r="CB145" t="e">
        <f t="shared" si="88"/>
        <v>#NUM!</v>
      </c>
      <c r="CC145" t="e">
        <f t="shared" si="88"/>
        <v>#NUM!</v>
      </c>
      <c r="CD145" t="e">
        <f t="shared" si="88"/>
        <v>#NUM!</v>
      </c>
      <c r="CE145" t="e">
        <f t="shared" si="88"/>
        <v>#NUM!</v>
      </c>
      <c r="CF145" t="e">
        <f t="shared" si="88"/>
        <v>#NUM!</v>
      </c>
      <c r="CG145" t="e">
        <f t="shared" si="88"/>
        <v>#NUM!</v>
      </c>
      <c r="CH145" t="e">
        <f t="shared" si="88"/>
        <v>#NUM!</v>
      </c>
      <c r="CI145" t="e">
        <f t="shared" si="88"/>
        <v>#NUM!</v>
      </c>
      <c r="CJ145" t="e">
        <f t="shared" si="88"/>
        <v>#NUM!</v>
      </c>
      <c r="CK145" t="e">
        <f t="shared" si="88"/>
        <v>#NUM!</v>
      </c>
      <c r="CL145" t="e">
        <f t="shared" si="88"/>
        <v>#NUM!</v>
      </c>
      <c r="CM145" t="e">
        <f t="shared" si="88"/>
        <v>#NUM!</v>
      </c>
      <c r="CN145" t="e">
        <f t="shared" si="88"/>
        <v>#NUM!</v>
      </c>
      <c r="CO145" t="e">
        <f t="shared" si="88"/>
        <v>#NUM!</v>
      </c>
      <c r="CP145" t="e">
        <f t="shared" si="88"/>
        <v>#NUM!</v>
      </c>
      <c r="CQ145" t="e">
        <f t="shared" si="88"/>
        <v>#NUM!</v>
      </c>
      <c r="CR145" t="e">
        <f t="shared" si="88"/>
        <v>#NUM!</v>
      </c>
      <c r="CS145" t="e">
        <f t="shared" si="88"/>
        <v>#NUM!</v>
      </c>
      <c r="CT145" t="e">
        <f t="shared" si="88"/>
        <v>#NUM!</v>
      </c>
      <c r="CU145" t="e">
        <f t="shared" si="88"/>
        <v>#NUM!</v>
      </c>
      <c r="CV145" t="e">
        <f t="shared" si="88"/>
        <v>#NUM!</v>
      </c>
      <c r="CW145" t="e">
        <f t="shared" si="88"/>
        <v>#NUM!</v>
      </c>
      <c r="CX145" t="e">
        <f t="shared" si="88"/>
        <v>#NUM!</v>
      </c>
      <c r="CY145" t="e">
        <f t="shared" si="88"/>
        <v>#NUM!</v>
      </c>
      <c r="CZ145" t="e">
        <f t="shared" si="88"/>
        <v>#NUM!</v>
      </c>
      <c r="DA145" t="e">
        <f t="shared" si="88"/>
        <v>#NUM!</v>
      </c>
    </row>
    <row r="146" spans="5:105">
      <c r="F146" t="e">
        <f t="shared" si="86"/>
        <v>#NUM!</v>
      </c>
      <c r="G146" t="e">
        <f t="shared" si="89"/>
        <v>#NUM!</v>
      </c>
      <c r="H146" t="e">
        <f t="shared" si="89"/>
        <v>#NUM!</v>
      </c>
      <c r="I146" t="e">
        <f t="shared" si="89"/>
        <v>#NUM!</v>
      </c>
      <c r="J146" t="e">
        <f t="shared" si="89"/>
        <v>#NUM!</v>
      </c>
      <c r="K146" t="e">
        <f t="shared" si="89"/>
        <v>#NUM!</v>
      </c>
      <c r="L146" t="e">
        <f t="shared" si="89"/>
        <v>#NUM!</v>
      </c>
      <c r="M146" t="e">
        <f t="shared" si="89"/>
        <v>#NUM!</v>
      </c>
      <c r="N146" t="e">
        <f t="shared" si="89"/>
        <v>#NUM!</v>
      </c>
      <c r="O146" t="e">
        <f t="shared" si="89"/>
        <v>#NUM!</v>
      </c>
      <c r="P146" t="e">
        <f t="shared" si="89"/>
        <v>#NUM!</v>
      </c>
      <c r="Q146" t="e">
        <f t="shared" si="89"/>
        <v>#NUM!</v>
      </c>
      <c r="R146" t="e">
        <f t="shared" si="89"/>
        <v>#NUM!</v>
      </c>
      <c r="S146" t="e">
        <f t="shared" si="89"/>
        <v>#NUM!</v>
      </c>
      <c r="T146" t="e">
        <f t="shared" si="89"/>
        <v>#NUM!</v>
      </c>
      <c r="U146" t="e">
        <f t="shared" si="89"/>
        <v>#NUM!</v>
      </c>
      <c r="V146" t="e">
        <f t="shared" si="89"/>
        <v>#NUM!</v>
      </c>
      <c r="W146" t="e">
        <f t="shared" si="89"/>
        <v>#NUM!</v>
      </c>
      <c r="X146" t="e">
        <f t="shared" si="89"/>
        <v>#NUM!</v>
      </c>
      <c r="Y146" t="e">
        <f t="shared" si="89"/>
        <v>#NUM!</v>
      </c>
      <c r="Z146" t="e">
        <f t="shared" si="89"/>
        <v>#NUM!</v>
      </c>
      <c r="AA146" t="e">
        <f t="shared" si="89"/>
        <v>#NUM!</v>
      </c>
      <c r="AB146" t="e">
        <f t="shared" si="89"/>
        <v>#NUM!</v>
      </c>
      <c r="AC146" t="e">
        <f t="shared" si="89"/>
        <v>#NUM!</v>
      </c>
      <c r="AD146" t="e">
        <f t="shared" si="89"/>
        <v>#NUM!</v>
      </c>
      <c r="AE146" t="e">
        <f t="shared" si="89"/>
        <v>#NUM!</v>
      </c>
      <c r="AF146" t="e">
        <f t="shared" si="89"/>
        <v>#NUM!</v>
      </c>
      <c r="AG146" t="e">
        <f t="shared" si="89"/>
        <v>#NUM!</v>
      </c>
      <c r="AH146" t="e">
        <f t="shared" si="89"/>
        <v>#NUM!</v>
      </c>
      <c r="AI146" t="e">
        <f t="shared" si="89"/>
        <v>#NUM!</v>
      </c>
      <c r="AJ146" t="e">
        <f t="shared" si="89"/>
        <v>#NUM!</v>
      </c>
      <c r="AK146" t="e">
        <f t="shared" si="89"/>
        <v>#NUM!</v>
      </c>
      <c r="AL146" t="e">
        <f t="shared" si="89"/>
        <v>#NUM!</v>
      </c>
      <c r="AM146" t="e">
        <f t="shared" si="89"/>
        <v>#NUM!</v>
      </c>
      <c r="AN146" t="e">
        <f t="shared" si="89"/>
        <v>#NUM!</v>
      </c>
      <c r="AO146" t="e">
        <f t="shared" si="89"/>
        <v>#NUM!</v>
      </c>
      <c r="AP146" t="e">
        <f t="shared" si="89"/>
        <v>#NUM!</v>
      </c>
      <c r="AQ146" t="e">
        <f t="shared" si="89"/>
        <v>#NUM!</v>
      </c>
      <c r="AR146" t="e">
        <f t="shared" si="89"/>
        <v>#NUM!</v>
      </c>
      <c r="AS146" t="e">
        <f t="shared" si="89"/>
        <v>#NUM!</v>
      </c>
      <c r="AT146" t="e">
        <f t="shared" si="89"/>
        <v>#NUM!</v>
      </c>
      <c r="AU146" t="e">
        <f t="shared" si="89"/>
        <v>#NUM!</v>
      </c>
      <c r="AV146" t="e">
        <f t="shared" si="89"/>
        <v>#NUM!</v>
      </c>
      <c r="AW146" t="e">
        <f t="shared" si="89"/>
        <v>#NUM!</v>
      </c>
      <c r="AX146" t="e">
        <f t="shared" si="89"/>
        <v>#NUM!</v>
      </c>
      <c r="AY146" t="e">
        <f t="shared" si="89"/>
        <v>#NUM!</v>
      </c>
      <c r="AZ146" t="e">
        <f t="shared" si="89"/>
        <v>#NUM!</v>
      </c>
      <c r="BA146" t="e">
        <f t="shared" si="89"/>
        <v>#NUM!</v>
      </c>
      <c r="BB146" t="e">
        <f t="shared" si="89"/>
        <v>#NUM!</v>
      </c>
      <c r="BC146" t="e">
        <f t="shared" si="89"/>
        <v>#NUM!</v>
      </c>
      <c r="BD146" t="e">
        <f t="shared" si="89"/>
        <v>#NUM!</v>
      </c>
      <c r="BE146" t="e">
        <f t="shared" si="89"/>
        <v>#NUM!</v>
      </c>
      <c r="BF146" t="e">
        <f t="shared" si="89"/>
        <v>#NUM!</v>
      </c>
      <c r="BG146" t="e">
        <f t="shared" si="89"/>
        <v>#NUM!</v>
      </c>
      <c r="BH146" t="e">
        <f t="shared" si="89"/>
        <v>#NUM!</v>
      </c>
      <c r="BI146" t="e">
        <f t="shared" si="89"/>
        <v>#NUM!</v>
      </c>
      <c r="BJ146" t="e">
        <f t="shared" si="89"/>
        <v>#NUM!</v>
      </c>
      <c r="BK146" t="e">
        <f t="shared" si="89"/>
        <v>#NUM!</v>
      </c>
      <c r="BL146" t="e">
        <f t="shared" si="89"/>
        <v>#NUM!</v>
      </c>
      <c r="BM146" t="e">
        <f t="shared" si="89"/>
        <v>#NUM!</v>
      </c>
      <c r="BN146" t="e">
        <f t="shared" si="89"/>
        <v>#NUM!</v>
      </c>
      <c r="BO146" t="e">
        <f t="shared" si="89"/>
        <v>#NUM!</v>
      </c>
      <c r="BP146" t="e">
        <f t="shared" si="89"/>
        <v>#NUM!</v>
      </c>
      <c r="BQ146" t="e">
        <f t="shared" si="89"/>
        <v>#NUM!</v>
      </c>
      <c r="BR146" t="e">
        <f t="shared" si="89"/>
        <v>#NUM!</v>
      </c>
      <c r="BS146" t="e">
        <f t="shared" si="88"/>
        <v>#NUM!</v>
      </c>
      <c r="BT146" t="e">
        <f t="shared" si="88"/>
        <v>#NUM!</v>
      </c>
      <c r="BU146" t="e">
        <f t="shared" si="88"/>
        <v>#NUM!</v>
      </c>
      <c r="BV146" t="e">
        <f t="shared" si="88"/>
        <v>#NUM!</v>
      </c>
      <c r="BW146" t="e">
        <f t="shared" si="88"/>
        <v>#NUM!</v>
      </c>
      <c r="BX146" t="e">
        <f t="shared" si="88"/>
        <v>#NUM!</v>
      </c>
      <c r="BY146" t="e">
        <f t="shared" si="88"/>
        <v>#NUM!</v>
      </c>
      <c r="BZ146" t="e">
        <f t="shared" si="88"/>
        <v>#NUM!</v>
      </c>
      <c r="CA146" t="e">
        <f t="shared" si="88"/>
        <v>#NUM!</v>
      </c>
      <c r="CB146" t="e">
        <f t="shared" si="88"/>
        <v>#NUM!</v>
      </c>
      <c r="CC146" t="e">
        <f t="shared" si="88"/>
        <v>#NUM!</v>
      </c>
      <c r="CD146" t="e">
        <f t="shared" si="88"/>
        <v>#NUM!</v>
      </c>
      <c r="CE146" t="e">
        <f t="shared" si="88"/>
        <v>#NUM!</v>
      </c>
      <c r="CF146" t="e">
        <f t="shared" si="88"/>
        <v>#NUM!</v>
      </c>
      <c r="CG146" t="e">
        <f t="shared" si="88"/>
        <v>#NUM!</v>
      </c>
      <c r="CH146" t="e">
        <f t="shared" si="88"/>
        <v>#NUM!</v>
      </c>
      <c r="CI146" t="e">
        <f t="shared" si="88"/>
        <v>#NUM!</v>
      </c>
      <c r="CJ146" t="e">
        <f t="shared" si="88"/>
        <v>#NUM!</v>
      </c>
      <c r="CK146" t="e">
        <f t="shared" si="88"/>
        <v>#NUM!</v>
      </c>
      <c r="CL146" t="e">
        <f t="shared" si="88"/>
        <v>#NUM!</v>
      </c>
      <c r="CM146" t="e">
        <f t="shared" si="88"/>
        <v>#NUM!</v>
      </c>
      <c r="CN146" t="e">
        <f t="shared" si="88"/>
        <v>#NUM!</v>
      </c>
      <c r="CO146" t="e">
        <f t="shared" si="88"/>
        <v>#NUM!</v>
      </c>
      <c r="CP146" t="e">
        <f t="shared" si="88"/>
        <v>#NUM!</v>
      </c>
      <c r="CQ146" t="e">
        <f t="shared" si="88"/>
        <v>#NUM!</v>
      </c>
      <c r="CR146" t="e">
        <f t="shared" si="88"/>
        <v>#NUM!</v>
      </c>
      <c r="CS146" t="e">
        <f t="shared" si="88"/>
        <v>#NUM!</v>
      </c>
      <c r="CT146" t="e">
        <f t="shared" si="88"/>
        <v>#NUM!</v>
      </c>
      <c r="CU146" t="e">
        <f t="shared" si="88"/>
        <v>#NUM!</v>
      </c>
      <c r="CV146" t="e">
        <f t="shared" si="88"/>
        <v>#NUM!</v>
      </c>
      <c r="CW146" t="e">
        <f t="shared" si="88"/>
        <v>#NUM!</v>
      </c>
      <c r="CX146" t="e">
        <f t="shared" si="88"/>
        <v>#NUM!</v>
      </c>
      <c r="CY146" t="e">
        <f t="shared" si="88"/>
        <v>#NUM!</v>
      </c>
      <c r="CZ146" t="e">
        <f t="shared" si="88"/>
        <v>#NUM!</v>
      </c>
      <c r="DA146" t="e">
        <f t="shared" si="88"/>
        <v>#NUM!</v>
      </c>
    </row>
    <row r="148" spans="5:105">
      <c r="E148" s="81" t="s">
        <v>162</v>
      </c>
    </row>
    <row r="149" spans="5:105" ht="15.75">
      <c r="E149" s="3" t="s">
        <v>165</v>
      </c>
      <c r="F149" s="60" t="e">
        <f>10000000*SQRT(-3*SLOPE(F139:F146,$D129:$D136))</f>
        <v>#NUM!</v>
      </c>
      <c r="G149" s="60" t="e">
        <f t="shared" ref="G149:BR149" si="90">10000000*SQRT(-3*SLOPE(G139:G146,$D129:$D136))</f>
        <v>#NUM!</v>
      </c>
      <c r="H149" s="60" t="e">
        <f t="shared" si="90"/>
        <v>#NUM!</v>
      </c>
      <c r="I149" s="60" t="e">
        <f t="shared" si="90"/>
        <v>#NUM!</v>
      </c>
      <c r="J149" s="60" t="e">
        <f t="shared" si="90"/>
        <v>#NUM!</v>
      </c>
      <c r="K149" s="60" t="e">
        <f t="shared" si="90"/>
        <v>#NUM!</v>
      </c>
      <c r="L149" s="60" t="e">
        <f t="shared" si="90"/>
        <v>#NUM!</v>
      </c>
      <c r="M149" s="60" t="e">
        <f t="shared" si="90"/>
        <v>#NUM!</v>
      </c>
      <c r="N149" s="60" t="e">
        <f t="shared" si="90"/>
        <v>#NUM!</v>
      </c>
      <c r="O149" s="60" t="e">
        <f t="shared" si="90"/>
        <v>#NUM!</v>
      </c>
      <c r="P149" s="60" t="e">
        <f t="shared" si="90"/>
        <v>#NUM!</v>
      </c>
      <c r="Q149" s="60" t="e">
        <f t="shared" si="90"/>
        <v>#NUM!</v>
      </c>
      <c r="R149" s="60" t="e">
        <f t="shared" si="90"/>
        <v>#NUM!</v>
      </c>
      <c r="S149" s="60" t="e">
        <f t="shared" si="90"/>
        <v>#NUM!</v>
      </c>
      <c r="T149" s="60" t="e">
        <f t="shared" si="90"/>
        <v>#NUM!</v>
      </c>
      <c r="U149" s="60" t="e">
        <f t="shared" si="90"/>
        <v>#NUM!</v>
      </c>
      <c r="V149" s="60" t="e">
        <f t="shared" si="90"/>
        <v>#NUM!</v>
      </c>
      <c r="W149" s="60" t="e">
        <f t="shared" si="90"/>
        <v>#NUM!</v>
      </c>
      <c r="X149" s="60" t="e">
        <f t="shared" si="90"/>
        <v>#NUM!</v>
      </c>
      <c r="Y149" s="60" t="e">
        <f t="shared" si="90"/>
        <v>#NUM!</v>
      </c>
      <c r="Z149" s="60" t="e">
        <f t="shared" si="90"/>
        <v>#NUM!</v>
      </c>
      <c r="AA149" s="60" t="e">
        <f t="shared" si="90"/>
        <v>#NUM!</v>
      </c>
      <c r="AB149" s="60" t="e">
        <f t="shared" si="90"/>
        <v>#NUM!</v>
      </c>
      <c r="AC149" s="60" t="e">
        <f t="shared" si="90"/>
        <v>#NUM!</v>
      </c>
      <c r="AD149" s="60" t="e">
        <f t="shared" si="90"/>
        <v>#NUM!</v>
      </c>
      <c r="AE149" s="60" t="e">
        <f t="shared" si="90"/>
        <v>#NUM!</v>
      </c>
      <c r="AF149" s="60" t="e">
        <f t="shared" si="90"/>
        <v>#NUM!</v>
      </c>
      <c r="AG149" s="60" t="e">
        <f t="shared" si="90"/>
        <v>#NUM!</v>
      </c>
      <c r="AH149" s="60" t="e">
        <f t="shared" si="90"/>
        <v>#NUM!</v>
      </c>
      <c r="AI149" s="60" t="e">
        <f t="shared" si="90"/>
        <v>#NUM!</v>
      </c>
      <c r="AJ149" s="60" t="e">
        <f t="shared" si="90"/>
        <v>#NUM!</v>
      </c>
      <c r="AK149" s="60" t="e">
        <f t="shared" si="90"/>
        <v>#NUM!</v>
      </c>
      <c r="AL149" s="60" t="e">
        <f t="shared" si="90"/>
        <v>#NUM!</v>
      </c>
      <c r="AM149" s="60" t="e">
        <f t="shared" si="90"/>
        <v>#NUM!</v>
      </c>
      <c r="AN149" s="60" t="e">
        <f t="shared" si="90"/>
        <v>#NUM!</v>
      </c>
      <c r="AO149" s="60" t="e">
        <f t="shared" si="90"/>
        <v>#NUM!</v>
      </c>
      <c r="AP149" s="60" t="e">
        <f t="shared" si="90"/>
        <v>#NUM!</v>
      </c>
      <c r="AQ149" s="60" t="e">
        <f t="shared" si="90"/>
        <v>#NUM!</v>
      </c>
      <c r="AR149" s="60" t="e">
        <f t="shared" si="90"/>
        <v>#NUM!</v>
      </c>
      <c r="AS149" s="60" t="e">
        <f t="shared" si="90"/>
        <v>#NUM!</v>
      </c>
      <c r="AT149" s="60" t="e">
        <f t="shared" si="90"/>
        <v>#NUM!</v>
      </c>
      <c r="AU149" s="60" t="e">
        <f t="shared" si="90"/>
        <v>#NUM!</v>
      </c>
      <c r="AV149" s="60" t="e">
        <f t="shared" si="90"/>
        <v>#NUM!</v>
      </c>
      <c r="AW149" s="60" t="e">
        <f t="shared" si="90"/>
        <v>#NUM!</v>
      </c>
      <c r="AX149" s="60" t="e">
        <f t="shared" si="90"/>
        <v>#NUM!</v>
      </c>
      <c r="AY149" s="60" t="e">
        <f t="shared" si="90"/>
        <v>#NUM!</v>
      </c>
      <c r="AZ149" s="60" t="e">
        <f t="shared" si="90"/>
        <v>#NUM!</v>
      </c>
      <c r="BA149" s="60" t="e">
        <f t="shared" si="90"/>
        <v>#NUM!</v>
      </c>
      <c r="BB149" s="60" t="e">
        <f t="shared" si="90"/>
        <v>#NUM!</v>
      </c>
      <c r="BC149" s="60" t="e">
        <f t="shared" si="90"/>
        <v>#NUM!</v>
      </c>
      <c r="BD149" s="60" t="e">
        <f t="shared" si="90"/>
        <v>#NUM!</v>
      </c>
      <c r="BE149" s="60" t="e">
        <f t="shared" si="90"/>
        <v>#NUM!</v>
      </c>
      <c r="BF149" s="60" t="e">
        <f t="shared" si="90"/>
        <v>#NUM!</v>
      </c>
      <c r="BG149" s="60" t="e">
        <f t="shared" si="90"/>
        <v>#NUM!</v>
      </c>
      <c r="BH149" s="60" t="e">
        <f t="shared" si="90"/>
        <v>#NUM!</v>
      </c>
      <c r="BI149" s="60" t="e">
        <f t="shared" si="90"/>
        <v>#NUM!</v>
      </c>
      <c r="BJ149" s="60" t="e">
        <f t="shared" si="90"/>
        <v>#NUM!</v>
      </c>
      <c r="BK149" s="60" t="e">
        <f t="shared" si="90"/>
        <v>#NUM!</v>
      </c>
      <c r="BL149" s="60" t="e">
        <f t="shared" si="90"/>
        <v>#NUM!</v>
      </c>
      <c r="BM149" s="60" t="e">
        <f t="shared" si="90"/>
        <v>#NUM!</v>
      </c>
      <c r="BN149" s="60" t="e">
        <f t="shared" si="90"/>
        <v>#NUM!</v>
      </c>
      <c r="BO149" s="60" t="e">
        <f t="shared" si="90"/>
        <v>#NUM!</v>
      </c>
      <c r="BP149" s="60" t="e">
        <f t="shared" si="90"/>
        <v>#NUM!</v>
      </c>
      <c r="BQ149" s="60" t="e">
        <f t="shared" si="90"/>
        <v>#NUM!</v>
      </c>
      <c r="BR149" s="60" t="e">
        <f t="shared" si="90"/>
        <v>#NUM!</v>
      </c>
      <c r="BS149" s="60" t="e">
        <f t="shared" ref="BS149:DA149" si="91">10000000*SQRT(-3*SLOPE(BS139:BS146,$D129:$D136))</f>
        <v>#NUM!</v>
      </c>
      <c r="BT149" s="60" t="e">
        <f t="shared" si="91"/>
        <v>#NUM!</v>
      </c>
      <c r="BU149" s="60" t="e">
        <f t="shared" si="91"/>
        <v>#NUM!</v>
      </c>
      <c r="BV149" s="60" t="e">
        <f t="shared" si="91"/>
        <v>#NUM!</v>
      </c>
      <c r="BW149" s="60" t="e">
        <f t="shared" si="91"/>
        <v>#NUM!</v>
      </c>
      <c r="BX149" s="60" t="e">
        <f t="shared" si="91"/>
        <v>#NUM!</v>
      </c>
      <c r="BY149" s="60" t="e">
        <f t="shared" si="91"/>
        <v>#NUM!</v>
      </c>
      <c r="BZ149" s="60" t="e">
        <f t="shared" si="91"/>
        <v>#NUM!</v>
      </c>
      <c r="CA149" s="60" t="e">
        <f t="shared" si="91"/>
        <v>#NUM!</v>
      </c>
      <c r="CB149" s="60" t="e">
        <f t="shared" si="91"/>
        <v>#NUM!</v>
      </c>
      <c r="CC149" s="60" t="e">
        <f t="shared" si="91"/>
        <v>#NUM!</v>
      </c>
      <c r="CD149" s="60" t="e">
        <f t="shared" si="91"/>
        <v>#NUM!</v>
      </c>
      <c r="CE149" s="60" t="e">
        <f t="shared" si="91"/>
        <v>#NUM!</v>
      </c>
      <c r="CF149" s="60" t="e">
        <f t="shared" si="91"/>
        <v>#NUM!</v>
      </c>
      <c r="CG149" s="60" t="e">
        <f t="shared" si="91"/>
        <v>#NUM!</v>
      </c>
      <c r="CH149" s="60" t="e">
        <f t="shared" si="91"/>
        <v>#NUM!</v>
      </c>
      <c r="CI149" s="60" t="e">
        <f t="shared" si="91"/>
        <v>#NUM!</v>
      </c>
      <c r="CJ149" s="60" t="e">
        <f t="shared" si="91"/>
        <v>#NUM!</v>
      </c>
      <c r="CK149" s="60" t="e">
        <f t="shared" si="91"/>
        <v>#NUM!</v>
      </c>
      <c r="CL149" s="60" t="e">
        <f t="shared" si="91"/>
        <v>#NUM!</v>
      </c>
      <c r="CM149" s="60" t="e">
        <f t="shared" si="91"/>
        <v>#NUM!</v>
      </c>
      <c r="CN149" s="60" t="e">
        <f t="shared" si="91"/>
        <v>#NUM!</v>
      </c>
      <c r="CO149" s="60" t="e">
        <f t="shared" si="91"/>
        <v>#NUM!</v>
      </c>
      <c r="CP149" s="60" t="e">
        <f t="shared" si="91"/>
        <v>#NUM!</v>
      </c>
      <c r="CQ149" s="60" t="e">
        <f t="shared" si="91"/>
        <v>#NUM!</v>
      </c>
      <c r="CR149" s="60" t="e">
        <f t="shared" si="91"/>
        <v>#NUM!</v>
      </c>
      <c r="CS149" s="60" t="e">
        <f t="shared" si="91"/>
        <v>#NUM!</v>
      </c>
      <c r="CT149" s="60" t="e">
        <f t="shared" si="91"/>
        <v>#NUM!</v>
      </c>
      <c r="CU149" s="60" t="e">
        <f t="shared" si="91"/>
        <v>#NUM!</v>
      </c>
      <c r="CV149" s="60" t="e">
        <f t="shared" si="91"/>
        <v>#NUM!</v>
      </c>
      <c r="CW149" s="60" t="e">
        <f t="shared" si="91"/>
        <v>#NUM!</v>
      </c>
      <c r="CX149" s="60" t="e">
        <f t="shared" si="91"/>
        <v>#NUM!</v>
      </c>
      <c r="CY149" s="60" t="e">
        <f t="shared" si="91"/>
        <v>#NUM!</v>
      </c>
      <c r="CZ149" s="60" t="e">
        <f t="shared" si="91"/>
        <v>#NUM!</v>
      </c>
      <c r="DA149" s="60" t="e">
        <f t="shared" si="91"/>
        <v>#NUM!</v>
      </c>
    </row>
    <row r="150" spans="5:105">
      <c r="E150" s="3" t="s">
        <v>166</v>
      </c>
      <c r="F150" t="e">
        <f>EXP(INTERCEPT(F139:F146,$D129:$D136))</f>
        <v>#NUM!</v>
      </c>
      <c r="G150" t="e">
        <f t="shared" ref="G150:BR150" si="92">EXP(INTERCEPT(G139:G146,$D129:$D136))</f>
        <v>#NUM!</v>
      </c>
      <c r="H150" t="e">
        <f t="shared" si="92"/>
        <v>#NUM!</v>
      </c>
      <c r="I150" t="e">
        <f t="shared" si="92"/>
        <v>#NUM!</v>
      </c>
      <c r="J150" t="e">
        <f t="shared" si="92"/>
        <v>#NUM!</v>
      </c>
      <c r="K150" t="e">
        <f t="shared" si="92"/>
        <v>#NUM!</v>
      </c>
      <c r="L150" t="e">
        <f t="shared" si="92"/>
        <v>#NUM!</v>
      </c>
      <c r="M150" t="e">
        <f t="shared" si="92"/>
        <v>#NUM!</v>
      </c>
      <c r="N150" t="e">
        <f t="shared" si="92"/>
        <v>#NUM!</v>
      </c>
      <c r="O150" t="e">
        <f t="shared" si="92"/>
        <v>#NUM!</v>
      </c>
      <c r="P150" t="e">
        <f t="shared" si="92"/>
        <v>#NUM!</v>
      </c>
      <c r="Q150" t="e">
        <f t="shared" si="92"/>
        <v>#NUM!</v>
      </c>
      <c r="R150" t="e">
        <f t="shared" si="92"/>
        <v>#NUM!</v>
      </c>
      <c r="S150" t="e">
        <f t="shared" si="92"/>
        <v>#NUM!</v>
      </c>
      <c r="T150" t="e">
        <f t="shared" si="92"/>
        <v>#NUM!</v>
      </c>
      <c r="U150" t="e">
        <f t="shared" si="92"/>
        <v>#NUM!</v>
      </c>
      <c r="V150" t="e">
        <f t="shared" si="92"/>
        <v>#NUM!</v>
      </c>
      <c r="W150" t="e">
        <f t="shared" si="92"/>
        <v>#NUM!</v>
      </c>
      <c r="X150" t="e">
        <f t="shared" si="92"/>
        <v>#NUM!</v>
      </c>
      <c r="Y150" t="e">
        <f t="shared" si="92"/>
        <v>#NUM!</v>
      </c>
      <c r="Z150" t="e">
        <f t="shared" si="92"/>
        <v>#NUM!</v>
      </c>
      <c r="AA150" t="e">
        <f t="shared" si="92"/>
        <v>#NUM!</v>
      </c>
      <c r="AB150" t="e">
        <f t="shared" si="92"/>
        <v>#NUM!</v>
      </c>
      <c r="AC150" t="e">
        <f t="shared" si="92"/>
        <v>#NUM!</v>
      </c>
      <c r="AD150" t="e">
        <f t="shared" si="92"/>
        <v>#NUM!</v>
      </c>
      <c r="AE150" t="e">
        <f t="shared" si="92"/>
        <v>#NUM!</v>
      </c>
      <c r="AF150" t="e">
        <f t="shared" si="92"/>
        <v>#NUM!</v>
      </c>
      <c r="AG150" t="e">
        <f t="shared" si="92"/>
        <v>#NUM!</v>
      </c>
      <c r="AH150" t="e">
        <f t="shared" si="92"/>
        <v>#NUM!</v>
      </c>
      <c r="AI150" t="e">
        <f t="shared" si="92"/>
        <v>#NUM!</v>
      </c>
      <c r="AJ150" t="e">
        <f t="shared" si="92"/>
        <v>#NUM!</v>
      </c>
      <c r="AK150" t="e">
        <f t="shared" si="92"/>
        <v>#NUM!</v>
      </c>
      <c r="AL150" t="e">
        <f t="shared" si="92"/>
        <v>#NUM!</v>
      </c>
      <c r="AM150" t="e">
        <f t="shared" si="92"/>
        <v>#NUM!</v>
      </c>
      <c r="AN150" t="e">
        <f t="shared" si="92"/>
        <v>#NUM!</v>
      </c>
      <c r="AO150" t="e">
        <f t="shared" si="92"/>
        <v>#NUM!</v>
      </c>
      <c r="AP150" t="e">
        <f t="shared" si="92"/>
        <v>#NUM!</v>
      </c>
      <c r="AQ150" t="e">
        <f t="shared" si="92"/>
        <v>#NUM!</v>
      </c>
      <c r="AR150" t="e">
        <f t="shared" si="92"/>
        <v>#NUM!</v>
      </c>
      <c r="AS150" t="e">
        <f t="shared" si="92"/>
        <v>#NUM!</v>
      </c>
      <c r="AT150" t="e">
        <f t="shared" si="92"/>
        <v>#NUM!</v>
      </c>
      <c r="AU150" t="e">
        <f t="shared" si="92"/>
        <v>#NUM!</v>
      </c>
      <c r="AV150" t="e">
        <f t="shared" si="92"/>
        <v>#NUM!</v>
      </c>
      <c r="AW150" t="e">
        <f t="shared" si="92"/>
        <v>#NUM!</v>
      </c>
      <c r="AX150" t="e">
        <f t="shared" si="92"/>
        <v>#NUM!</v>
      </c>
      <c r="AY150" t="e">
        <f t="shared" si="92"/>
        <v>#NUM!</v>
      </c>
      <c r="AZ150" t="e">
        <f t="shared" si="92"/>
        <v>#NUM!</v>
      </c>
      <c r="BA150" t="e">
        <f t="shared" si="92"/>
        <v>#NUM!</v>
      </c>
      <c r="BB150" t="e">
        <f t="shared" si="92"/>
        <v>#NUM!</v>
      </c>
      <c r="BC150" t="e">
        <f t="shared" si="92"/>
        <v>#NUM!</v>
      </c>
      <c r="BD150" t="e">
        <f t="shared" si="92"/>
        <v>#NUM!</v>
      </c>
      <c r="BE150" t="e">
        <f t="shared" si="92"/>
        <v>#NUM!</v>
      </c>
      <c r="BF150" t="e">
        <f t="shared" si="92"/>
        <v>#NUM!</v>
      </c>
      <c r="BG150" t="e">
        <f t="shared" si="92"/>
        <v>#NUM!</v>
      </c>
      <c r="BH150" t="e">
        <f t="shared" si="92"/>
        <v>#NUM!</v>
      </c>
      <c r="BI150" t="e">
        <f t="shared" si="92"/>
        <v>#NUM!</v>
      </c>
      <c r="BJ150" t="e">
        <f t="shared" si="92"/>
        <v>#NUM!</v>
      </c>
      <c r="BK150" t="e">
        <f t="shared" si="92"/>
        <v>#NUM!</v>
      </c>
      <c r="BL150" t="e">
        <f t="shared" si="92"/>
        <v>#NUM!</v>
      </c>
      <c r="BM150" t="e">
        <f t="shared" si="92"/>
        <v>#NUM!</v>
      </c>
      <c r="BN150" t="e">
        <f t="shared" si="92"/>
        <v>#NUM!</v>
      </c>
      <c r="BO150" t="e">
        <f t="shared" si="92"/>
        <v>#NUM!</v>
      </c>
      <c r="BP150" t="e">
        <f t="shared" si="92"/>
        <v>#NUM!</v>
      </c>
      <c r="BQ150" t="e">
        <f t="shared" si="92"/>
        <v>#NUM!</v>
      </c>
      <c r="BR150" t="e">
        <f t="shared" si="92"/>
        <v>#NUM!</v>
      </c>
      <c r="BS150" t="e">
        <f t="shared" ref="BS150:DA150" si="93">EXP(INTERCEPT(BS139:BS146,$D129:$D136))</f>
        <v>#NUM!</v>
      </c>
      <c r="BT150" t="e">
        <f t="shared" si="93"/>
        <v>#NUM!</v>
      </c>
      <c r="BU150" t="e">
        <f t="shared" si="93"/>
        <v>#NUM!</v>
      </c>
      <c r="BV150" t="e">
        <f t="shared" si="93"/>
        <v>#NUM!</v>
      </c>
      <c r="BW150" t="e">
        <f t="shared" si="93"/>
        <v>#NUM!</v>
      </c>
      <c r="BX150" t="e">
        <f t="shared" si="93"/>
        <v>#NUM!</v>
      </c>
      <c r="BY150" t="e">
        <f t="shared" si="93"/>
        <v>#NUM!</v>
      </c>
      <c r="BZ150" t="e">
        <f t="shared" si="93"/>
        <v>#NUM!</v>
      </c>
      <c r="CA150" t="e">
        <f t="shared" si="93"/>
        <v>#NUM!</v>
      </c>
      <c r="CB150" t="e">
        <f t="shared" si="93"/>
        <v>#NUM!</v>
      </c>
      <c r="CC150" t="e">
        <f t="shared" si="93"/>
        <v>#NUM!</v>
      </c>
      <c r="CD150" t="e">
        <f t="shared" si="93"/>
        <v>#NUM!</v>
      </c>
      <c r="CE150" t="e">
        <f t="shared" si="93"/>
        <v>#NUM!</v>
      </c>
      <c r="CF150" t="e">
        <f t="shared" si="93"/>
        <v>#NUM!</v>
      </c>
      <c r="CG150" t="e">
        <f t="shared" si="93"/>
        <v>#NUM!</v>
      </c>
      <c r="CH150" t="e">
        <f t="shared" si="93"/>
        <v>#NUM!</v>
      </c>
      <c r="CI150" t="e">
        <f t="shared" si="93"/>
        <v>#NUM!</v>
      </c>
      <c r="CJ150" t="e">
        <f t="shared" si="93"/>
        <v>#NUM!</v>
      </c>
      <c r="CK150" t="e">
        <f t="shared" si="93"/>
        <v>#NUM!</v>
      </c>
      <c r="CL150" t="e">
        <f t="shared" si="93"/>
        <v>#NUM!</v>
      </c>
      <c r="CM150" t="e">
        <f t="shared" si="93"/>
        <v>#NUM!</v>
      </c>
      <c r="CN150" t="e">
        <f t="shared" si="93"/>
        <v>#NUM!</v>
      </c>
      <c r="CO150" t="e">
        <f t="shared" si="93"/>
        <v>#NUM!</v>
      </c>
      <c r="CP150" t="e">
        <f t="shared" si="93"/>
        <v>#NUM!</v>
      </c>
      <c r="CQ150" t="e">
        <f t="shared" si="93"/>
        <v>#NUM!</v>
      </c>
      <c r="CR150" t="e">
        <f t="shared" si="93"/>
        <v>#NUM!</v>
      </c>
      <c r="CS150" t="e">
        <f t="shared" si="93"/>
        <v>#NUM!</v>
      </c>
      <c r="CT150" t="e">
        <f t="shared" si="93"/>
        <v>#NUM!</v>
      </c>
      <c r="CU150" t="e">
        <f t="shared" si="93"/>
        <v>#NUM!</v>
      </c>
      <c r="CV150" t="e">
        <f t="shared" si="93"/>
        <v>#NUM!</v>
      </c>
      <c r="CW150" t="e">
        <f t="shared" si="93"/>
        <v>#NUM!</v>
      </c>
      <c r="CX150" t="e">
        <f t="shared" si="93"/>
        <v>#NUM!</v>
      </c>
      <c r="CY150" t="e">
        <f t="shared" si="93"/>
        <v>#NUM!</v>
      </c>
      <c r="CZ150" t="e">
        <f t="shared" si="93"/>
        <v>#NUM!</v>
      </c>
      <c r="DA150" t="e">
        <f t="shared" si="93"/>
        <v>#NUM!</v>
      </c>
    </row>
    <row r="152" spans="5:105" ht="15.75">
      <c r="E152" s="81" t="s">
        <v>180</v>
      </c>
      <c r="F152" s="60">
        <f>F22</f>
        <v>0</v>
      </c>
      <c r="G152" s="60">
        <f t="shared" ref="G152:BR152" si="94">G22</f>
        <v>0</v>
      </c>
      <c r="H152" s="60">
        <f t="shared" si="94"/>
        <v>0</v>
      </c>
      <c r="I152" s="60">
        <f t="shared" si="94"/>
        <v>0</v>
      </c>
      <c r="J152" s="60">
        <f t="shared" si="94"/>
        <v>0</v>
      </c>
      <c r="K152" s="60">
        <f t="shared" si="94"/>
        <v>0</v>
      </c>
      <c r="L152" s="60">
        <f t="shared" si="94"/>
        <v>0</v>
      </c>
      <c r="M152" s="60">
        <f t="shared" si="94"/>
        <v>0</v>
      </c>
      <c r="N152" s="60">
        <f t="shared" si="94"/>
        <v>0</v>
      </c>
      <c r="O152" s="60">
        <f t="shared" si="94"/>
        <v>0</v>
      </c>
      <c r="P152" s="60">
        <f t="shared" si="94"/>
        <v>0</v>
      </c>
      <c r="Q152" s="60">
        <f t="shared" si="94"/>
        <v>0</v>
      </c>
      <c r="R152" s="60">
        <f t="shared" si="94"/>
        <v>0</v>
      </c>
      <c r="S152" s="60">
        <f t="shared" si="94"/>
        <v>0</v>
      </c>
      <c r="T152" s="60">
        <f t="shared" si="94"/>
        <v>0</v>
      </c>
      <c r="U152" s="60">
        <f t="shared" si="94"/>
        <v>0</v>
      </c>
      <c r="V152" s="60">
        <f t="shared" si="94"/>
        <v>0</v>
      </c>
      <c r="W152" s="60">
        <f t="shared" si="94"/>
        <v>0</v>
      </c>
      <c r="X152" s="60">
        <f t="shared" si="94"/>
        <v>0</v>
      </c>
      <c r="Y152" s="60">
        <f t="shared" si="94"/>
        <v>0</v>
      </c>
      <c r="Z152" s="60">
        <f t="shared" si="94"/>
        <v>0</v>
      </c>
      <c r="AA152" s="60">
        <f t="shared" si="94"/>
        <v>0</v>
      </c>
      <c r="AB152" s="60">
        <f t="shared" si="94"/>
        <v>0</v>
      </c>
      <c r="AC152" s="60">
        <f t="shared" si="94"/>
        <v>0</v>
      </c>
      <c r="AD152" s="60">
        <f t="shared" si="94"/>
        <v>0</v>
      </c>
      <c r="AE152" s="60">
        <f t="shared" si="94"/>
        <v>0</v>
      </c>
      <c r="AF152" s="60">
        <f t="shared" si="94"/>
        <v>0</v>
      </c>
      <c r="AG152" s="60">
        <f t="shared" si="94"/>
        <v>0</v>
      </c>
      <c r="AH152" s="60">
        <f t="shared" si="94"/>
        <v>0</v>
      </c>
      <c r="AI152" s="60">
        <f t="shared" si="94"/>
        <v>0</v>
      </c>
      <c r="AJ152" s="60">
        <f t="shared" si="94"/>
        <v>0</v>
      </c>
      <c r="AK152" s="60">
        <f t="shared" si="94"/>
        <v>0</v>
      </c>
      <c r="AL152" s="60">
        <f t="shared" si="94"/>
        <v>0</v>
      </c>
      <c r="AM152" s="60">
        <f t="shared" si="94"/>
        <v>0</v>
      </c>
      <c r="AN152" s="60">
        <f t="shared" si="94"/>
        <v>0</v>
      </c>
      <c r="AO152" s="60">
        <f t="shared" si="94"/>
        <v>0</v>
      </c>
      <c r="AP152" s="60">
        <f t="shared" si="94"/>
        <v>0</v>
      </c>
      <c r="AQ152" s="60">
        <f t="shared" si="94"/>
        <v>0</v>
      </c>
      <c r="AR152" s="60">
        <f t="shared" si="94"/>
        <v>0</v>
      </c>
      <c r="AS152" s="60">
        <f t="shared" si="94"/>
        <v>0</v>
      </c>
      <c r="AT152" s="60">
        <f t="shared" si="94"/>
        <v>0</v>
      </c>
      <c r="AU152" s="60">
        <f t="shared" si="94"/>
        <v>0</v>
      </c>
      <c r="AV152" s="60">
        <f t="shared" si="94"/>
        <v>0</v>
      </c>
      <c r="AW152" s="60">
        <f t="shared" si="94"/>
        <v>0</v>
      </c>
      <c r="AX152" s="60">
        <f t="shared" si="94"/>
        <v>0</v>
      </c>
      <c r="AY152" s="60">
        <f t="shared" si="94"/>
        <v>0</v>
      </c>
      <c r="AZ152" s="60">
        <f t="shared" si="94"/>
        <v>0</v>
      </c>
      <c r="BA152" s="60">
        <f t="shared" si="94"/>
        <v>0</v>
      </c>
      <c r="BB152" s="60">
        <f t="shared" si="94"/>
        <v>0</v>
      </c>
      <c r="BC152" s="60">
        <f t="shared" si="94"/>
        <v>0</v>
      </c>
      <c r="BD152" s="60">
        <f t="shared" si="94"/>
        <v>0</v>
      </c>
      <c r="BE152" s="60">
        <f t="shared" si="94"/>
        <v>0</v>
      </c>
      <c r="BF152" s="60">
        <f t="shared" si="94"/>
        <v>0</v>
      </c>
      <c r="BG152" s="60">
        <f t="shared" si="94"/>
        <v>0</v>
      </c>
      <c r="BH152" s="60">
        <f t="shared" si="94"/>
        <v>0</v>
      </c>
      <c r="BI152" s="60">
        <f t="shared" si="94"/>
        <v>0</v>
      </c>
      <c r="BJ152" s="60">
        <f t="shared" si="94"/>
        <v>0</v>
      </c>
      <c r="BK152" s="60">
        <f t="shared" si="94"/>
        <v>0</v>
      </c>
      <c r="BL152" s="60">
        <f t="shared" si="94"/>
        <v>0</v>
      </c>
      <c r="BM152" s="60">
        <f t="shared" si="94"/>
        <v>0</v>
      </c>
      <c r="BN152" s="60">
        <f t="shared" si="94"/>
        <v>0</v>
      </c>
      <c r="BO152" s="60">
        <f t="shared" si="94"/>
        <v>0</v>
      </c>
      <c r="BP152" s="60">
        <f t="shared" si="94"/>
        <v>0</v>
      </c>
      <c r="BQ152" s="60">
        <f t="shared" si="94"/>
        <v>0</v>
      </c>
      <c r="BR152" s="60">
        <f t="shared" si="94"/>
        <v>0</v>
      </c>
      <c r="BS152" s="60">
        <f t="shared" ref="BS152:DA152" si="95">BS22</f>
        <v>0</v>
      </c>
      <c r="BT152" s="60">
        <f t="shared" si="95"/>
        <v>0</v>
      </c>
      <c r="BU152" s="60">
        <f t="shared" si="95"/>
        <v>0</v>
      </c>
      <c r="BV152" s="60">
        <f t="shared" si="95"/>
        <v>0</v>
      </c>
      <c r="BW152" s="60">
        <f t="shared" si="95"/>
        <v>0</v>
      </c>
      <c r="BX152" s="60">
        <f t="shared" si="95"/>
        <v>0</v>
      </c>
      <c r="BY152" s="60">
        <f t="shared" si="95"/>
        <v>0</v>
      </c>
      <c r="BZ152" s="60">
        <f t="shared" si="95"/>
        <v>0</v>
      </c>
      <c r="CA152" s="60">
        <f t="shared" si="95"/>
        <v>0</v>
      </c>
      <c r="CB152" s="60">
        <f t="shared" si="95"/>
        <v>0</v>
      </c>
      <c r="CC152" s="60">
        <f t="shared" si="95"/>
        <v>0</v>
      </c>
      <c r="CD152" s="60">
        <f t="shared" si="95"/>
        <v>0</v>
      </c>
      <c r="CE152" s="60">
        <f t="shared" si="95"/>
        <v>0</v>
      </c>
      <c r="CF152" s="60">
        <f t="shared" si="95"/>
        <v>0</v>
      </c>
      <c r="CG152" s="60">
        <f t="shared" si="95"/>
        <v>0</v>
      </c>
      <c r="CH152" s="60">
        <f t="shared" si="95"/>
        <v>0</v>
      </c>
      <c r="CI152" s="60">
        <f t="shared" si="95"/>
        <v>0</v>
      </c>
      <c r="CJ152" s="60">
        <f t="shared" si="95"/>
        <v>0</v>
      </c>
      <c r="CK152" s="60">
        <f t="shared" si="95"/>
        <v>0</v>
      </c>
      <c r="CL152" s="60">
        <f t="shared" si="95"/>
        <v>0</v>
      </c>
      <c r="CM152" s="60">
        <f t="shared" si="95"/>
        <v>0</v>
      </c>
      <c r="CN152" s="60">
        <f t="shared" si="95"/>
        <v>0</v>
      </c>
      <c r="CO152" s="60">
        <f t="shared" si="95"/>
        <v>0</v>
      </c>
      <c r="CP152" s="60">
        <f t="shared" si="95"/>
        <v>0</v>
      </c>
      <c r="CQ152" s="60">
        <f t="shared" si="95"/>
        <v>0</v>
      </c>
      <c r="CR152" s="60">
        <f t="shared" si="95"/>
        <v>0</v>
      </c>
      <c r="CS152" s="60">
        <f t="shared" si="95"/>
        <v>0</v>
      </c>
      <c r="CT152" s="60">
        <f t="shared" si="95"/>
        <v>0</v>
      </c>
      <c r="CU152" s="60">
        <f t="shared" si="95"/>
        <v>0</v>
      </c>
      <c r="CV152" s="60">
        <f t="shared" si="95"/>
        <v>0</v>
      </c>
      <c r="CW152" s="60">
        <f t="shared" si="95"/>
        <v>0</v>
      </c>
      <c r="CX152" s="60">
        <f t="shared" si="95"/>
        <v>0</v>
      </c>
      <c r="CY152" s="60">
        <f t="shared" si="95"/>
        <v>0</v>
      </c>
      <c r="CZ152" s="60">
        <f t="shared" si="95"/>
        <v>0</v>
      </c>
      <c r="DA152" s="60">
        <f t="shared" si="95"/>
        <v>0</v>
      </c>
    </row>
    <row r="153" spans="5:105">
      <c r="E153" s="81" t="s">
        <v>167</v>
      </c>
      <c r="F153" s="60">
        <f>F34</f>
        <v>0</v>
      </c>
      <c r="G153" s="60">
        <f t="shared" ref="G153:BR153" si="96">G34</f>
        <v>0</v>
      </c>
      <c r="H153" s="60">
        <f t="shared" si="96"/>
        <v>0</v>
      </c>
      <c r="I153" s="60">
        <f t="shared" si="96"/>
        <v>0</v>
      </c>
      <c r="J153" s="60">
        <f t="shared" si="96"/>
        <v>0</v>
      </c>
      <c r="K153" s="60">
        <f t="shared" si="96"/>
        <v>0</v>
      </c>
      <c r="L153" s="60">
        <f t="shared" si="96"/>
        <v>0</v>
      </c>
      <c r="M153" s="60">
        <f t="shared" si="96"/>
        <v>0</v>
      </c>
      <c r="N153" s="60">
        <f t="shared" si="96"/>
        <v>0</v>
      </c>
      <c r="O153" s="60">
        <f t="shared" si="96"/>
        <v>0</v>
      </c>
      <c r="P153" s="60">
        <f t="shared" si="96"/>
        <v>0</v>
      </c>
      <c r="Q153" s="60">
        <f t="shared" si="96"/>
        <v>0</v>
      </c>
      <c r="R153" s="60">
        <f t="shared" si="96"/>
        <v>0</v>
      </c>
      <c r="S153" s="60">
        <f t="shared" si="96"/>
        <v>0</v>
      </c>
      <c r="T153" s="60">
        <f t="shared" si="96"/>
        <v>0</v>
      </c>
      <c r="U153" s="60">
        <f t="shared" si="96"/>
        <v>0</v>
      </c>
      <c r="V153" s="60">
        <f t="shared" si="96"/>
        <v>0</v>
      </c>
      <c r="W153" s="60">
        <f t="shared" si="96"/>
        <v>0</v>
      </c>
      <c r="X153" s="60">
        <f t="shared" si="96"/>
        <v>0</v>
      </c>
      <c r="Y153" s="60">
        <f t="shared" si="96"/>
        <v>0</v>
      </c>
      <c r="Z153" s="60">
        <f t="shared" si="96"/>
        <v>0</v>
      </c>
      <c r="AA153" s="60">
        <f t="shared" si="96"/>
        <v>0</v>
      </c>
      <c r="AB153" s="60">
        <f t="shared" si="96"/>
        <v>0</v>
      </c>
      <c r="AC153" s="60">
        <f t="shared" si="96"/>
        <v>0</v>
      </c>
      <c r="AD153" s="60">
        <f t="shared" si="96"/>
        <v>0</v>
      </c>
      <c r="AE153" s="60">
        <f t="shared" si="96"/>
        <v>0</v>
      </c>
      <c r="AF153" s="60">
        <f t="shared" si="96"/>
        <v>0</v>
      </c>
      <c r="AG153" s="60">
        <f t="shared" si="96"/>
        <v>0</v>
      </c>
      <c r="AH153" s="60">
        <f t="shared" si="96"/>
        <v>0</v>
      </c>
      <c r="AI153" s="60">
        <f t="shared" si="96"/>
        <v>0</v>
      </c>
      <c r="AJ153" s="60">
        <f t="shared" si="96"/>
        <v>0</v>
      </c>
      <c r="AK153" s="60">
        <f t="shared" si="96"/>
        <v>0</v>
      </c>
      <c r="AL153" s="60">
        <f t="shared" si="96"/>
        <v>0</v>
      </c>
      <c r="AM153" s="60">
        <f t="shared" si="96"/>
        <v>0</v>
      </c>
      <c r="AN153" s="60">
        <f t="shared" si="96"/>
        <v>0</v>
      </c>
      <c r="AO153" s="60">
        <f t="shared" si="96"/>
        <v>0</v>
      </c>
      <c r="AP153" s="60">
        <f t="shared" si="96"/>
        <v>0</v>
      </c>
      <c r="AQ153" s="60">
        <f t="shared" si="96"/>
        <v>0</v>
      </c>
      <c r="AR153" s="60">
        <f t="shared" si="96"/>
        <v>0</v>
      </c>
      <c r="AS153" s="60">
        <f t="shared" si="96"/>
        <v>0</v>
      </c>
      <c r="AT153" s="60">
        <f t="shared" si="96"/>
        <v>0</v>
      </c>
      <c r="AU153" s="60">
        <f t="shared" si="96"/>
        <v>0</v>
      </c>
      <c r="AV153" s="60">
        <f t="shared" si="96"/>
        <v>0</v>
      </c>
      <c r="AW153" s="60">
        <f t="shared" si="96"/>
        <v>0</v>
      </c>
      <c r="AX153" s="60">
        <f t="shared" si="96"/>
        <v>0</v>
      </c>
      <c r="AY153" s="60">
        <f t="shared" si="96"/>
        <v>0</v>
      </c>
      <c r="AZ153" s="60">
        <f t="shared" si="96"/>
        <v>0</v>
      </c>
      <c r="BA153" s="60">
        <f t="shared" si="96"/>
        <v>0</v>
      </c>
      <c r="BB153" s="60">
        <f t="shared" si="96"/>
        <v>0</v>
      </c>
      <c r="BC153" s="60">
        <f t="shared" si="96"/>
        <v>0</v>
      </c>
      <c r="BD153" s="60">
        <f t="shared" si="96"/>
        <v>0</v>
      </c>
      <c r="BE153" s="60">
        <f t="shared" si="96"/>
        <v>0</v>
      </c>
      <c r="BF153" s="60">
        <f t="shared" si="96"/>
        <v>0</v>
      </c>
      <c r="BG153" s="60">
        <f t="shared" si="96"/>
        <v>0</v>
      </c>
      <c r="BH153" s="60">
        <f t="shared" si="96"/>
        <v>0</v>
      </c>
      <c r="BI153" s="60">
        <f t="shared" si="96"/>
        <v>0</v>
      </c>
      <c r="BJ153" s="60">
        <f t="shared" si="96"/>
        <v>0</v>
      </c>
      <c r="BK153" s="60">
        <f t="shared" si="96"/>
        <v>0</v>
      </c>
      <c r="BL153" s="60">
        <f t="shared" si="96"/>
        <v>0</v>
      </c>
      <c r="BM153" s="60">
        <f t="shared" si="96"/>
        <v>0</v>
      </c>
      <c r="BN153" s="60">
        <f t="shared" si="96"/>
        <v>0</v>
      </c>
      <c r="BO153" s="60">
        <f t="shared" si="96"/>
        <v>0</v>
      </c>
      <c r="BP153" s="60">
        <f t="shared" si="96"/>
        <v>0</v>
      </c>
      <c r="BQ153" s="60">
        <f t="shared" si="96"/>
        <v>0</v>
      </c>
      <c r="BR153" s="60">
        <f t="shared" si="96"/>
        <v>0</v>
      </c>
      <c r="BS153" s="60">
        <f t="shared" ref="BS153:DA153" si="97">BS34</f>
        <v>0</v>
      </c>
      <c r="BT153" s="60">
        <f t="shared" si="97"/>
        <v>0</v>
      </c>
      <c r="BU153" s="60">
        <f t="shared" si="97"/>
        <v>0</v>
      </c>
      <c r="BV153" s="60">
        <f t="shared" si="97"/>
        <v>0</v>
      </c>
      <c r="BW153" s="60">
        <f t="shared" si="97"/>
        <v>0</v>
      </c>
      <c r="BX153" s="60">
        <f t="shared" si="97"/>
        <v>0</v>
      </c>
      <c r="BY153" s="60">
        <f t="shared" si="97"/>
        <v>0</v>
      </c>
      <c r="BZ153" s="60">
        <f t="shared" si="97"/>
        <v>0</v>
      </c>
      <c r="CA153" s="60">
        <f t="shared" si="97"/>
        <v>0</v>
      </c>
      <c r="CB153" s="60">
        <f t="shared" si="97"/>
        <v>0</v>
      </c>
      <c r="CC153" s="60">
        <f t="shared" si="97"/>
        <v>0</v>
      </c>
      <c r="CD153" s="60">
        <f t="shared" si="97"/>
        <v>0</v>
      </c>
      <c r="CE153" s="60">
        <f t="shared" si="97"/>
        <v>0</v>
      </c>
      <c r="CF153" s="60">
        <f t="shared" si="97"/>
        <v>0</v>
      </c>
      <c r="CG153" s="60">
        <f t="shared" si="97"/>
        <v>0</v>
      </c>
      <c r="CH153" s="60">
        <f t="shared" si="97"/>
        <v>0</v>
      </c>
      <c r="CI153" s="60">
        <f t="shared" si="97"/>
        <v>0</v>
      </c>
      <c r="CJ153" s="60">
        <f t="shared" si="97"/>
        <v>0</v>
      </c>
      <c r="CK153" s="60">
        <f t="shared" si="97"/>
        <v>0</v>
      </c>
      <c r="CL153" s="60">
        <f t="shared" si="97"/>
        <v>0</v>
      </c>
      <c r="CM153" s="60">
        <f t="shared" si="97"/>
        <v>0</v>
      </c>
      <c r="CN153" s="60">
        <f t="shared" si="97"/>
        <v>0</v>
      </c>
      <c r="CO153" s="60">
        <f t="shared" si="97"/>
        <v>0</v>
      </c>
      <c r="CP153" s="60">
        <f t="shared" si="97"/>
        <v>0</v>
      </c>
      <c r="CQ153" s="60">
        <f t="shared" si="97"/>
        <v>0</v>
      </c>
      <c r="CR153" s="60">
        <f t="shared" si="97"/>
        <v>0</v>
      </c>
      <c r="CS153" s="60">
        <f t="shared" si="97"/>
        <v>0</v>
      </c>
      <c r="CT153" s="60">
        <f t="shared" si="97"/>
        <v>0</v>
      </c>
      <c r="CU153" s="60">
        <f t="shared" si="97"/>
        <v>0</v>
      </c>
      <c r="CV153" s="60">
        <f t="shared" si="97"/>
        <v>0</v>
      </c>
      <c r="CW153" s="60">
        <f t="shared" si="97"/>
        <v>0</v>
      </c>
      <c r="CX153" s="60">
        <f t="shared" si="97"/>
        <v>0</v>
      </c>
      <c r="CY153" s="60">
        <f t="shared" si="97"/>
        <v>0</v>
      </c>
      <c r="CZ153" s="60">
        <f t="shared" si="97"/>
        <v>0</v>
      </c>
      <c r="DA153" s="60">
        <f t="shared" si="97"/>
        <v>0</v>
      </c>
    </row>
    <row r="154" spans="5:105">
      <c r="F154" s="60">
        <f>F46</f>
        <v>0</v>
      </c>
      <c r="G154" s="60">
        <f t="shared" ref="G154:BR154" si="98">G46</f>
        <v>0</v>
      </c>
      <c r="H154" s="60">
        <f t="shared" si="98"/>
        <v>0</v>
      </c>
      <c r="I154" s="60">
        <f t="shared" si="98"/>
        <v>0</v>
      </c>
      <c r="J154" s="60">
        <f t="shared" si="98"/>
        <v>0</v>
      </c>
      <c r="K154" s="60">
        <f t="shared" si="98"/>
        <v>0</v>
      </c>
      <c r="L154" s="60">
        <f t="shared" si="98"/>
        <v>0</v>
      </c>
      <c r="M154" s="60">
        <f t="shared" si="98"/>
        <v>0</v>
      </c>
      <c r="N154" s="60">
        <f t="shared" si="98"/>
        <v>0</v>
      </c>
      <c r="O154" s="60">
        <f t="shared" si="98"/>
        <v>0</v>
      </c>
      <c r="P154" s="60">
        <f t="shared" si="98"/>
        <v>0</v>
      </c>
      <c r="Q154" s="60">
        <f t="shared" si="98"/>
        <v>0</v>
      </c>
      <c r="R154" s="60">
        <f t="shared" si="98"/>
        <v>0</v>
      </c>
      <c r="S154" s="60">
        <f t="shared" si="98"/>
        <v>0</v>
      </c>
      <c r="T154" s="60">
        <f t="shared" si="98"/>
        <v>0</v>
      </c>
      <c r="U154" s="60">
        <f t="shared" si="98"/>
        <v>0</v>
      </c>
      <c r="V154" s="60">
        <f t="shared" si="98"/>
        <v>0</v>
      </c>
      <c r="W154" s="60">
        <f t="shared" si="98"/>
        <v>0</v>
      </c>
      <c r="X154" s="60">
        <f t="shared" si="98"/>
        <v>0</v>
      </c>
      <c r="Y154" s="60">
        <f t="shared" si="98"/>
        <v>0</v>
      </c>
      <c r="Z154" s="60">
        <f t="shared" si="98"/>
        <v>0</v>
      </c>
      <c r="AA154" s="60">
        <f t="shared" si="98"/>
        <v>0</v>
      </c>
      <c r="AB154" s="60">
        <f t="shared" si="98"/>
        <v>0</v>
      </c>
      <c r="AC154" s="60">
        <f t="shared" si="98"/>
        <v>0</v>
      </c>
      <c r="AD154" s="60">
        <f t="shared" si="98"/>
        <v>0</v>
      </c>
      <c r="AE154" s="60">
        <f t="shared" si="98"/>
        <v>0</v>
      </c>
      <c r="AF154" s="60">
        <f t="shared" si="98"/>
        <v>0</v>
      </c>
      <c r="AG154" s="60">
        <f t="shared" si="98"/>
        <v>0</v>
      </c>
      <c r="AH154" s="60">
        <f t="shared" si="98"/>
        <v>0</v>
      </c>
      <c r="AI154" s="60">
        <f t="shared" si="98"/>
        <v>0</v>
      </c>
      <c r="AJ154" s="60">
        <f t="shared" si="98"/>
        <v>0</v>
      </c>
      <c r="AK154" s="60">
        <f t="shared" si="98"/>
        <v>0</v>
      </c>
      <c r="AL154" s="60">
        <f t="shared" si="98"/>
        <v>0</v>
      </c>
      <c r="AM154" s="60">
        <f t="shared" si="98"/>
        <v>0</v>
      </c>
      <c r="AN154" s="60">
        <f t="shared" si="98"/>
        <v>0</v>
      </c>
      <c r="AO154" s="60">
        <f t="shared" si="98"/>
        <v>0</v>
      </c>
      <c r="AP154" s="60">
        <f t="shared" si="98"/>
        <v>0</v>
      </c>
      <c r="AQ154" s="60">
        <f t="shared" si="98"/>
        <v>0</v>
      </c>
      <c r="AR154" s="60">
        <f t="shared" si="98"/>
        <v>0</v>
      </c>
      <c r="AS154" s="60">
        <f t="shared" si="98"/>
        <v>0</v>
      </c>
      <c r="AT154" s="60">
        <f t="shared" si="98"/>
        <v>0</v>
      </c>
      <c r="AU154" s="60">
        <f t="shared" si="98"/>
        <v>0</v>
      </c>
      <c r="AV154" s="60">
        <f t="shared" si="98"/>
        <v>0</v>
      </c>
      <c r="AW154" s="60">
        <f t="shared" si="98"/>
        <v>0</v>
      </c>
      <c r="AX154" s="60">
        <f t="shared" si="98"/>
        <v>0</v>
      </c>
      <c r="AY154" s="60">
        <f t="shared" si="98"/>
        <v>0</v>
      </c>
      <c r="AZ154" s="60">
        <f t="shared" si="98"/>
        <v>0</v>
      </c>
      <c r="BA154" s="60">
        <f t="shared" si="98"/>
        <v>0</v>
      </c>
      <c r="BB154" s="60">
        <f t="shared" si="98"/>
        <v>0</v>
      </c>
      <c r="BC154" s="60">
        <f t="shared" si="98"/>
        <v>0</v>
      </c>
      <c r="BD154" s="60">
        <f t="shared" si="98"/>
        <v>0</v>
      </c>
      <c r="BE154" s="60">
        <f t="shared" si="98"/>
        <v>0</v>
      </c>
      <c r="BF154" s="60">
        <f t="shared" si="98"/>
        <v>0</v>
      </c>
      <c r="BG154" s="60">
        <f t="shared" si="98"/>
        <v>0</v>
      </c>
      <c r="BH154" s="60">
        <f t="shared" si="98"/>
        <v>0</v>
      </c>
      <c r="BI154" s="60">
        <f t="shared" si="98"/>
        <v>0</v>
      </c>
      <c r="BJ154" s="60">
        <f t="shared" si="98"/>
        <v>0</v>
      </c>
      <c r="BK154" s="60">
        <f t="shared" si="98"/>
        <v>0</v>
      </c>
      <c r="BL154" s="60">
        <f t="shared" si="98"/>
        <v>0</v>
      </c>
      <c r="BM154" s="60">
        <f t="shared" si="98"/>
        <v>0</v>
      </c>
      <c r="BN154" s="60">
        <f t="shared" si="98"/>
        <v>0</v>
      </c>
      <c r="BO154" s="60">
        <f t="shared" si="98"/>
        <v>0</v>
      </c>
      <c r="BP154" s="60">
        <f t="shared" si="98"/>
        <v>0</v>
      </c>
      <c r="BQ154" s="60">
        <f t="shared" si="98"/>
        <v>0</v>
      </c>
      <c r="BR154" s="60">
        <f t="shared" si="98"/>
        <v>0</v>
      </c>
      <c r="BS154" s="60">
        <f t="shared" ref="BS154:DA154" si="99">BS46</f>
        <v>0</v>
      </c>
      <c r="BT154" s="60">
        <f t="shared" si="99"/>
        <v>0</v>
      </c>
      <c r="BU154" s="60">
        <f t="shared" si="99"/>
        <v>0</v>
      </c>
      <c r="BV154" s="60">
        <f t="shared" si="99"/>
        <v>0</v>
      </c>
      <c r="BW154" s="60">
        <f t="shared" si="99"/>
        <v>0</v>
      </c>
      <c r="BX154" s="60">
        <f t="shared" si="99"/>
        <v>0</v>
      </c>
      <c r="BY154" s="60">
        <f t="shared" si="99"/>
        <v>0</v>
      </c>
      <c r="BZ154" s="60">
        <f t="shared" si="99"/>
        <v>0</v>
      </c>
      <c r="CA154" s="60">
        <f t="shared" si="99"/>
        <v>0</v>
      </c>
      <c r="CB154" s="60">
        <f t="shared" si="99"/>
        <v>0</v>
      </c>
      <c r="CC154" s="60">
        <f t="shared" si="99"/>
        <v>0</v>
      </c>
      <c r="CD154" s="60">
        <f t="shared" si="99"/>
        <v>0</v>
      </c>
      <c r="CE154" s="60">
        <f t="shared" si="99"/>
        <v>0</v>
      </c>
      <c r="CF154" s="60">
        <f t="shared" si="99"/>
        <v>0</v>
      </c>
      <c r="CG154" s="60">
        <f t="shared" si="99"/>
        <v>0</v>
      </c>
      <c r="CH154" s="60">
        <f t="shared" si="99"/>
        <v>0</v>
      </c>
      <c r="CI154" s="60">
        <f t="shared" si="99"/>
        <v>0</v>
      </c>
      <c r="CJ154" s="60">
        <f t="shared" si="99"/>
        <v>0</v>
      </c>
      <c r="CK154" s="60">
        <f t="shared" si="99"/>
        <v>0</v>
      </c>
      <c r="CL154" s="60">
        <f t="shared" si="99"/>
        <v>0</v>
      </c>
      <c r="CM154" s="60">
        <f t="shared" si="99"/>
        <v>0</v>
      </c>
      <c r="CN154" s="60">
        <f t="shared" si="99"/>
        <v>0</v>
      </c>
      <c r="CO154" s="60">
        <f t="shared" si="99"/>
        <v>0</v>
      </c>
      <c r="CP154" s="60">
        <f t="shared" si="99"/>
        <v>0</v>
      </c>
      <c r="CQ154" s="60">
        <f t="shared" si="99"/>
        <v>0</v>
      </c>
      <c r="CR154" s="60">
        <f t="shared" si="99"/>
        <v>0</v>
      </c>
      <c r="CS154" s="60">
        <f t="shared" si="99"/>
        <v>0</v>
      </c>
      <c r="CT154" s="60">
        <f t="shared" si="99"/>
        <v>0</v>
      </c>
      <c r="CU154" s="60">
        <f t="shared" si="99"/>
        <v>0</v>
      </c>
      <c r="CV154" s="60">
        <f t="shared" si="99"/>
        <v>0</v>
      </c>
      <c r="CW154" s="60">
        <f t="shared" si="99"/>
        <v>0</v>
      </c>
      <c r="CX154" s="60">
        <f t="shared" si="99"/>
        <v>0</v>
      </c>
      <c r="CY154" s="60">
        <f t="shared" si="99"/>
        <v>0</v>
      </c>
      <c r="CZ154" s="60">
        <f t="shared" si="99"/>
        <v>0</v>
      </c>
      <c r="DA154" s="60">
        <f t="shared" si="99"/>
        <v>0</v>
      </c>
    </row>
    <row r="155" spans="5:105">
      <c r="F155" s="60">
        <f>F58</f>
        <v>0</v>
      </c>
      <c r="G155" s="60">
        <f t="shared" ref="G155:BR155" si="100">G58</f>
        <v>0</v>
      </c>
      <c r="H155" s="60">
        <f t="shared" si="100"/>
        <v>0</v>
      </c>
      <c r="I155" s="60">
        <f t="shared" si="100"/>
        <v>0</v>
      </c>
      <c r="J155" s="60">
        <f t="shared" si="100"/>
        <v>0</v>
      </c>
      <c r="K155" s="60">
        <f t="shared" si="100"/>
        <v>0</v>
      </c>
      <c r="L155" s="60">
        <f t="shared" si="100"/>
        <v>0</v>
      </c>
      <c r="M155" s="60">
        <f t="shared" si="100"/>
        <v>0</v>
      </c>
      <c r="N155" s="60">
        <f t="shared" si="100"/>
        <v>0</v>
      </c>
      <c r="O155" s="60">
        <f t="shared" si="100"/>
        <v>0</v>
      </c>
      <c r="P155" s="60">
        <f t="shared" si="100"/>
        <v>0</v>
      </c>
      <c r="Q155" s="60">
        <f t="shared" si="100"/>
        <v>0</v>
      </c>
      <c r="R155" s="60">
        <f t="shared" si="100"/>
        <v>0</v>
      </c>
      <c r="S155" s="60">
        <f t="shared" si="100"/>
        <v>0</v>
      </c>
      <c r="T155" s="60">
        <f t="shared" si="100"/>
        <v>0</v>
      </c>
      <c r="U155" s="60">
        <f t="shared" si="100"/>
        <v>0</v>
      </c>
      <c r="V155" s="60">
        <f t="shared" si="100"/>
        <v>0</v>
      </c>
      <c r="W155" s="60">
        <f t="shared" si="100"/>
        <v>0</v>
      </c>
      <c r="X155" s="60">
        <f t="shared" si="100"/>
        <v>0</v>
      </c>
      <c r="Y155" s="60">
        <f t="shared" si="100"/>
        <v>0</v>
      </c>
      <c r="Z155" s="60">
        <f t="shared" si="100"/>
        <v>0</v>
      </c>
      <c r="AA155" s="60">
        <f t="shared" si="100"/>
        <v>0</v>
      </c>
      <c r="AB155" s="60">
        <f t="shared" si="100"/>
        <v>0</v>
      </c>
      <c r="AC155" s="60">
        <f t="shared" si="100"/>
        <v>0</v>
      </c>
      <c r="AD155" s="60">
        <f t="shared" si="100"/>
        <v>0</v>
      </c>
      <c r="AE155" s="60">
        <f t="shared" si="100"/>
        <v>0</v>
      </c>
      <c r="AF155" s="60">
        <f t="shared" si="100"/>
        <v>0</v>
      </c>
      <c r="AG155" s="60">
        <f t="shared" si="100"/>
        <v>0</v>
      </c>
      <c r="AH155" s="60">
        <f t="shared" si="100"/>
        <v>0</v>
      </c>
      <c r="AI155" s="60">
        <f t="shared" si="100"/>
        <v>0</v>
      </c>
      <c r="AJ155" s="60">
        <f t="shared" si="100"/>
        <v>0</v>
      </c>
      <c r="AK155" s="60">
        <f t="shared" si="100"/>
        <v>0</v>
      </c>
      <c r="AL155" s="60">
        <f t="shared" si="100"/>
        <v>0</v>
      </c>
      <c r="AM155" s="60">
        <f t="shared" si="100"/>
        <v>0</v>
      </c>
      <c r="AN155" s="60">
        <f t="shared" si="100"/>
        <v>0</v>
      </c>
      <c r="AO155" s="60">
        <f t="shared" si="100"/>
        <v>0</v>
      </c>
      <c r="AP155" s="60">
        <f t="shared" si="100"/>
        <v>0</v>
      </c>
      <c r="AQ155" s="60">
        <f t="shared" si="100"/>
        <v>0</v>
      </c>
      <c r="AR155" s="60">
        <f t="shared" si="100"/>
        <v>0</v>
      </c>
      <c r="AS155" s="60">
        <f t="shared" si="100"/>
        <v>0</v>
      </c>
      <c r="AT155" s="60">
        <f t="shared" si="100"/>
        <v>0</v>
      </c>
      <c r="AU155" s="60">
        <f t="shared" si="100"/>
        <v>0</v>
      </c>
      <c r="AV155" s="60">
        <f t="shared" si="100"/>
        <v>0</v>
      </c>
      <c r="AW155" s="60">
        <f t="shared" si="100"/>
        <v>0</v>
      </c>
      <c r="AX155" s="60">
        <f t="shared" si="100"/>
        <v>0</v>
      </c>
      <c r="AY155" s="60">
        <f t="shared" si="100"/>
        <v>0</v>
      </c>
      <c r="AZ155" s="60">
        <f t="shared" si="100"/>
        <v>0</v>
      </c>
      <c r="BA155" s="60">
        <f t="shared" si="100"/>
        <v>0</v>
      </c>
      <c r="BB155" s="60">
        <f t="shared" si="100"/>
        <v>0</v>
      </c>
      <c r="BC155" s="60">
        <f t="shared" si="100"/>
        <v>0</v>
      </c>
      <c r="BD155" s="60">
        <f t="shared" si="100"/>
        <v>0</v>
      </c>
      <c r="BE155" s="60">
        <f t="shared" si="100"/>
        <v>0</v>
      </c>
      <c r="BF155" s="60">
        <f t="shared" si="100"/>
        <v>0</v>
      </c>
      <c r="BG155" s="60">
        <f t="shared" si="100"/>
        <v>0</v>
      </c>
      <c r="BH155" s="60">
        <f t="shared" si="100"/>
        <v>0</v>
      </c>
      <c r="BI155" s="60">
        <f t="shared" si="100"/>
        <v>0</v>
      </c>
      <c r="BJ155" s="60">
        <f t="shared" si="100"/>
        <v>0</v>
      </c>
      <c r="BK155" s="60">
        <f t="shared" si="100"/>
        <v>0</v>
      </c>
      <c r="BL155" s="60">
        <f t="shared" si="100"/>
        <v>0</v>
      </c>
      <c r="BM155" s="60">
        <f t="shared" si="100"/>
        <v>0</v>
      </c>
      <c r="BN155" s="60">
        <f t="shared" si="100"/>
        <v>0</v>
      </c>
      <c r="BO155" s="60">
        <f t="shared" si="100"/>
        <v>0</v>
      </c>
      <c r="BP155" s="60">
        <f t="shared" si="100"/>
        <v>0</v>
      </c>
      <c r="BQ155" s="60">
        <f t="shared" si="100"/>
        <v>0</v>
      </c>
      <c r="BR155" s="60">
        <f t="shared" si="100"/>
        <v>0</v>
      </c>
      <c r="BS155" s="60">
        <f t="shared" ref="BS155:DA155" si="101">BS58</f>
        <v>0</v>
      </c>
      <c r="BT155" s="60">
        <f t="shared" si="101"/>
        <v>0</v>
      </c>
      <c r="BU155" s="60">
        <f t="shared" si="101"/>
        <v>0</v>
      </c>
      <c r="BV155" s="60">
        <f t="shared" si="101"/>
        <v>0</v>
      </c>
      <c r="BW155" s="60">
        <f t="shared" si="101"/>
        <v>0</v>
      </c>
      <c r="BX155" s="60">
        <f t="shared" si="101"/>
        <v>0</v>
      </c>
      <c r="BY155" s="60">
        <f t="shared" si="101"/>
        <v>0</v>
      </c>
      <c r="BZ155" s="60">
        <f t="shared" si="101"/>
        <v>0</v>
      </c>
      <c r="CA155" s="60">
        <f t="shared" si="101"/>
        <v>0</v>
      </c>
      <c r="CB155" s="60">
        <f t="shared" si="101"/>
        <v>0</v>
      </c>
      <c r="CC155" s="60">
        <f t="shared" si="101"/>
        <v>0</v>
      </c>
      <c r="CD155" s="60">
        <f t="shared" si="101"/>
        <v>0</v>
      </c>
      <c r="CE155" s="60">
        <f t="shared" si="101"/>
        <v>0</v>
      </c>
      <c r="CF155" s="60">
        <f t="shared" si="101"/>
        <v>0</v>
      </c>
      <c r="CG155" s="60">
        <f t="shared" si="101"/>
        <v>0</v>
      </c>
      <c r="CH155" s="60">
        <f t="shared" si="101"/>
        <v>0</v>
      </c>
      <c r="CI155" s="60">
        <f t="shared" si="101"/>
        <v>0</v>
      </c>
      <c r="CJ155" s="60">
        <f t="shared" si="101"/>
        <v>0</v>
      </c>
      <c r="CK155" s="60">
        <f t="shared" si="101"/>
        <v>0</v>
      </c>
      <c r="CL155" s="60">
        <f t="shared" si="101"/>
        <v>0</v>
      </c>
      <c r="CM155" s="60">
        <f t="shared" si="101"/>
        <v>0</v>
      </c>
      <c r="CN155" s="60">
        <f t="shared" si="101"/>
        <v>0</v>
      </c>
      <c r="CO155" s="60">
        <f t="shared" si="101"/>
        <v>0</v>
      </c>
      <c r="CP155" s="60">
        <f t="shared" si="101"/>
        <v>0</v>
      </c>
      <c r="CQ155" s="60">
        <f t="shared" si="101"/>
        <v>0</v>
      </c>
      <c r="CR155" s="60">
        <f t="shared" si="101"/>
        <v>0</v>
      </c>
      <c r="CS155" s="60">
        <f t="shared" si="101"/>
        <v>0</v>
      </c>
      <c r="CT155" s="60">
        <f t="shared" si="101"/>
        <v>0</v>
      </c>
      <c r="CU155" s="60">
        <f t="shared" si="101"/>
        <v>0</v>
      </c>
      <c r="CV155" s="60">
        <f t="shared" si="101"/>
        <v>0</v>
      </c>
      <c r="CW155" s="60">
        <f t="shared" si="101"/>
        <v>0</v>
      </c>
      <c r="CX155" s="60">
        <f t="shared" si="101"/>
        <v>0</v>
      </c>
      <c r="CY155" s="60">
        <f t="shared" si="101"/>
        <v>0</v>
      </c>
      <c r="CZ155" s="60">
        <f t="shared" si="101"/>
        <v>0</v>
      </c>
      <c r="DA155" s="60">
        <f t="shared" si="101"/>
        <v>0</v>
      </c>
    </row>
    <row r="156" spans="5:105">
      <c r="F156" s="60">
        <f>F70</f>
        <v>0</v>
      </c>
      <c r="G156" s="60">
        <f t="shared" ref="G156:BR156" si="102">G70</f>
        <v>0</v>
      </c>
      <c r="H156" s="60">
        <f t="shared" si="102"/>
        <v>0</v>
      </c>
      <c r="I156" s="60">
        <f t="shared" si="102"/>
        <v>0</v>
      </c>
      <c r="J156" s="60">
        <f t="shared" si="102"/>
        <v>0</v>
      </c>
      <c r="K156" s="60">
        <f t="shared" si="102"/>
        <v>0</v>
      </c>
      <c r="L156" s="60">
        <f t="shared" si="102"/>
        <v>0</v>
      </c>
      <c r="M156" s="60">
        <f t="shared" si="102"/>
        <v>0</v>
      </c>
      <c r="N156" s="60">
        <f t="shared" si="102"/>
        <v>0</v>
      </c>
      <c r="O156" s="60">
        <f t="shared" si="102"/>
        <v>0</v>
      </c>
      <c r="P156" s="60">
        <f t="shared" si="102"/>
        <v>0</v>
      </c>
      <c r="Q156" s="60">
        <f t="shared" si="102"/>
        <v>0</v>
      </c>
      <c r="R156" s="60">
        <f t="shared" si="102"/>
        <v>0</v>
      </c>
      <c r="S156" s="60">
        <f t="shared" si="102"/>
        <v>0</v>
      </c>
      <c r="T156" s="60">
        <f t="shared" si="102"/>
        <v>0</v>
      </c>
      <c r="U156" s="60">
        <f t="shared" si="102"/>
        <v>0</v>
      </c>
      <c r="V156" s="60">
        <f t="shared" si="102"/>
        <v>0</v>
      </c>
      <c r="W156" s="60">
        <f t="shared" si="102"/>
        <v>0</v>
      </c>
      <c r="X156" s="60">
        <f t="shared" si="102"/>
        <v>0</v>
      </c>
      <c r="Y156" s="60">
        <f t="shared" si="102"/>
        <v>0</v>
      </c>
      <c r="Z156" s="60">
        <f t="shared" si="102"/>
        <v>0</v>
      </c>
      <c r="AA156" s="60">
        <f t="shared" si="102"/>
        <v>0</v>
      </c>
      <c r="AB156" s="60">
        <f t="shared" si="102"/>
        <v>0</v>
      </c>
      <c r="AC156" s="60">
        <f t="shared" si="102"/>
        <v>0</v>
      </c>
      <c r="AD156" s="60">
        <f t="shared" si="102"/>
        <v>0</v>
      </c>
      <c r="AE156" s="60">
        <f t="shared" si="102"/>
        <v>0</v>
      </c>
      <c r="AF156" s="60">
        <f t="shared" si="102"/>
        <v>0</v>
      </c>
      <c r="AG156" s="60">
        <f t="shared" si="102"/>
        <v>0</v>
      </c>
      <c r="AH156" s="60">
        <f t="shared" si="102"/>
        <v>0</v>
      </c>
      <c r="AI156" s="60">
        <f t="shared" si="102"/>
        <v>0</v>
      </c>
      <c r="AJ156" s="60">
        <f t="shared" si="102"/>
        <v>0</v>
      </c>
      <c r="AK156" s="60">
        <f t="shared" si="102"/>
        <v>0</v>
      </c>
      <c r="AL156" s="60">
        <f t="shared" si="102"/>
        <v>0</v>
      </c>
      <c r="AM156" s="60">
        <f t="shared" si="102"/>
        <v>0</v>
      </c>
      <c r="AN156" s="60">
        <f t="shared" si="102"/>
        <v>0</v>
      </c>
      <c r="AO156" s="60">
        <f t="shared" si="102"/>
        <v>0</v>
      </c>
      <c r="AP156" s="60">
        <f t="shared" si="102"/>
        <v>0</v>
      </c>
      <c r="AQ156" s="60">
        <f t="shared" si="102"/>
        <v>0</v>
      </c>
      <c r="AR156" s="60">
        <f t="shared" si="102"/>
        <v>0</v>
      </c>
      <c r="AS156" s="60">
        <f t="shared" si="102"/>
        <v>0</v>
      </c>
      <c r="AT156" s="60">
        <f t="shared" si="102"/>
        <v>0</v>
      </c>
      <c r="AU156" s="60">
        <f t="shared" si="102"/>
        <v>0</v>
      </c>
      <c r="AV156" s="60">
        <f t="shared" si="102"/>
        <v>0</v>
      </c>
      <c r="AW156" s="60">
        <f t="shared" si="102"/>
        <v>0</v>
      </c>
      <c r="AX156" s="60">
        <f t="shared" si="102"/>
        <v>0</v>
      </c>
      <c r="AY156" s="60">
        <f t="shared" si="102"/>
        <v>0</v>
      </c>
      <c r="AZ156" s="60">
        <f t="shared" si="102"/>
        <v>0</v>
      </c>
      <c r="BA156" s="60">
        <f t="shared" si="102"/>
        <v>0</v>
      </c>
      <c r="BB156" s="60">
        <f t="shared" si="102"/>
        <v>0</v>
      </c>
      <c r="BC156" s="60">
        <f t="shared" si="102"/>
        <v>0</v>
      </c>
      <c r="BD156" s="60">
        <f t="shared" si="102"/>
        <v>0</v>
      </c>
      <c r="BE156" s="60">
        <f t="shared" si="102"/>
        <v>0</v>
      </c>
      <c r="BF156" s="60">
        <f t="shared" si="102"/>
        <v>0</v>
      </c>
      <c r="BG156" s="60">
        <f t="shared" si="102"/>
        <v>0</v>
      </c>
      <c r="BH156" s="60">
        <f t="shared" si="102"/>
        <v>0</v>
      </c>
      <c r="BI156" s="60">
        <f t="shared" si="102"/>
        <v>0</v>
      </c>
      <c r="BJ156" s="60">
        <f t="shared" si="102"/>
        <v>0</v>
      </c>
      <c r="BK156" s="60">
        <f t="shared" si="102"/>
        <v>0</v>
      </c>
      <c r="BL156" s="60">
        <f t="shared" si="102"/>
        <v>0</v>
      </c>
      <c r="BM156" s="60">
        <f t="shared" si="102"/>
        <v>0</v>
      </c>
      <c r="BN156" s="60">
        <f t="shared" si="102"/>
        <v>0</v>
      </c>
      <c r="BO156" s="60">
        <f t="shared" si="102"/>
        <v>0</v>
      </c>
      <c r="BP156" s="60">
        <f t="shared" si="102"/>
        <v>0</v>
      </c>
      <c r="BQ156" s="60">
        <f t="shared" si="102"/>
        <v>0</v>
      </c>
      <c r="BR156" s="60">
        <f t="shared" si="102"/>
        <v>0</v>
      </c>
      <c r="BS156" s="60">
        <f t="shared" ref="BS156:DA156" si="103">BS70</f>
        <v>0</v>
      </c>
      <c r="BT156" s="60">
        <f t="shared" si="103"/>
        <v>0</v>
      </c>
      <c r="BU156" s="60">
        <f t="shared" si="103"/>
        <v>0</v>
      </c>
      <c r="BV156" s="60">
        <f t="shared" si="103"/>
        <v>0</v>
      </c>
      <c r="BW156" s="60">
        <f t="shared" si="103"/>
        <v>0</v>
      </c>
      <c r="BX156" s="60">
        <f t="shared" si="103"/>
        <v>0</v>
      </c>
      <c r="BY156" s="60">
        <f t="shared" si="103"/>
        <v>0</v>
      </c>
      <c r="BZ156" s="60">
        <f t="shared" si="103"/>
        <v>0</v>
      </c>
      <c r="CA156" s="60">
        <f t="shared" si="103"/>
        <v>0</v>
      </c>
      <c r="CB156" s="60">
        <f t="shared" si="103"/>
        <v>0</v>
      </c>
      <c r="CC156" s="60">
        <f t="shared" si="103"/>
        <v>0</v>
      </c>
      <c r="CD156" s="60">
        <f t="shared" si="103"/>
        <v>0</v>
      </c>
      <c r="CE156" s="60">
        <f t="shared" si="103"/>
        <v>0</v>
      </c>
      <c r="CF156" s="60">
        <f t="shared" si="103"/>
        <v>0</v>
      </c>
      <c r="CG156" s="60">
        <f t="shared" si="103"/>
        <v>0</v>
      </c>
      <c r="CH156" s="60">
        <f t="shared" si="103"/>
        <v>0</v>
      </c>
      <c r="CI156" s="60">
        <f t="shared" si="103"/>
        <v>0</v>
      </c>
      <c r="CJ156" s="60">
        <f t="shared" si="103"/>
        <v>0</v>
      </c>
      <c r="CK156" s="60">
        <f t="shared" si="103"/>
        <v>0</v>
      </c>
      <c r="CL156" s="60">
        <f t="shared" si="103"/>
        <v>0</v>
      </c>
      <c r="CM156" s="60">
        <f t="shared" si="103"/>
        <v>0</v>
      </c>
      <c r="CN156" s="60">
        <f t="shared" si="103"/>
        <v>0</v>
      </c>
      <c r="CO156" s="60">
        <f t="shared" si="103"/>
        <v>0</v>
      </c>
      <c r="CP156" s="60">
        <f t="shared" si="103"/>
        <v>0</v>
      </c>
      <c r="CQ156" s="60">
        <f t="shared" si="103"/>
        <v>0</v>
      </c>
      <c r="CR156" s="60">
        <f t="shared" si="103"/>
        <v>0</v>
      </c>
      <c r="CS156" s="60">
        <f t="shared" si="103"/>
        <v>0</v>
      </c>
      <c r="CT156" s="60">
        <f t="shared" si="103"/>
        <v>0</v>
      </c>
      <c r="CU156" s="60">
        <f t="shared" si="103"/>
        <v>0</v>
      </c>
      <c r="CV156" s="60">
        <f t="shared" si="103"/>
        <v>0</v>
      </c>
      <c r="CW156" s="60">
        <f t="shared" si="103"/>
        <v>0</v>
      </c>
      <c r="CX156" s="60">
        <f t="shared" si="103"/>
        <v>0</v>
      </c>
      <c r="CY156" s="60">
        <f t="shared" si="103"/>
        <v>0</v>
      </c>
      <c r="CZ156" s="60">
        <f t="shared" si="103"/>
        <v>0</v>
      </c>
      <c r="DA156" s="60">
        <f t="shared" si="103"/>
        <v>0</v>
      </c>
    </row>
    <row r="157" spans="5:105">
      <c r="F157" s="60">
        <f>F82</f>
        <v>0</v>
      </c>
      <c r="G157" s="60">
        <f t="shared" ref="G157:BR157" si="104">G82</f>
        <v>0</v>
      </c>
      <c r="H157" s="60">
        <f t="shared" si="104"/>
        <v>0</v>
      </c>
      <c r="I157" s="60">
        <f t="shared" si="104"/>
        <v>0</v>
      </c>
      <c r="J157" s="60">
        <f t="shared" si="104"/>
        <v>0</v>
      </c>
      <c r="K157" s="60">
        <f t="shared" si="104"/>
        <v>0</v>
      </c>
      <c r="L157" s="60">
        <f t="shared" si="104"/>
        <v>0</v>
      </c>
      <c r="M157" s="60">
        <f t="shared" si="104"/>
        <v>0</v>
      </c>
      <c r="N157" s="60">
        <f t="shared" si="104"/>
        <v>0</v>
      </c>
      <c r="O157" s="60">
        <f t="shared" si="104"/>
        <v>0</v>
      </c>
      <c r="P157" s="60">
        <f t="shared" si="104"/>
        <v>0</v>
      </c>
      <c r="Q157" s="60">
        <f t="shared" si="104"/>
        <v>0</v>
      </c>
      <c r="R157" s="60">
        <f t="shared" si="104"/>
        <v>0</v>
      </c>
      <c r="S157" s="60">
        <f t="shared" si="104"/>
        <v>0</v>
      </c>
      <c r="T157" s="60">
        <f t="shared" si="104"/>
        <v>0</v>
      </c>
      <c r="U157" s="60">
        <f t="shared" si="104"/>
        <v>0</v>
      </c>
      <c r="V157" s="60">
        <f t="shared" si="104"/>
        <v>0</v>
      </c>
      <c r="W157" s="60">
        <f t="shared" si="104"/>
        <v>0</v>
      </c>
      <c r="X157" s="60">
        <f t="shared" si="104"/>
        <v>0</v>
      </c>
      <c r="Y157" s="60">
        <f t="shared" si="104"/>
        <v>0</v>
      </c>
      <c r="Z157" s="60">
        <f t="shared" si="104"/>
        <v>0</v>
      </c>
      <c r="AA157" s="60">
        <f t="shared" si="104"/>
        <v>0</v>
      </c>
      <c r="AB157" s="60">
        <f t="shared" si="104"/>
        <v>0</v>
      </c>
      <c r="AC157" s="60">
        <f t="shared" si="104"/>
        <v>0</v>
      </c>
      <c r="AD157" s="60">
        <f t="shared" si="104"/>
        <v>0</v>
      </c>
      <c r="AE157" s="60">
        <f t="shared" si="104"/>
        <v>0</v>
      </c>
      <c r="AF157" s="60">
        <f t="shared" si="104"/>
        <v>0</v>
      </c>
      <c r="AG157" s="60">
        <f t="shared" si="104"/>
        <v>0</v>
      </c>
      <c r="AH157" s="60">
        <f t="shared" si="104"/>
        <v>0</v>
      </c>
      <c r="AI157" s="60">
        <f t="shared" si="104"/>
        <v>0</v>
      </c>
      <c r="AJ157" s="60">
        <f t="shared" si="104"/>
        <v>0</v>
      </c>
      <c r="AK157" s="60">
        <f t="shared" si="104"/>
        <v>0</v>
      </c>
      <c r="AL157" s="60">
        <f t="shared" si="104"/>
        <v>0</v>
      </c>
      <c r="AM157" s="60">
        <f t="shared" si="104"/>
        <v>0</v>
      </c>
      <c r="AN157" s="60">
        <f t="shared" si="104"/>
        <v>0</v>
      </c>
      <c r="AO157" s="60">
        <f t="shared" si="104"/>
        <v>0</v>
      </c>
      <c r="AP157" s="60">
        <f t="shared" si="104"/>
        <v>0</v>
      </c>
      <c r="AQ157" s="60">
        <f t="shared" si="104"/>
        <v>0</v>
      </c>
      <c r="AR157" s="60">
        <f t="shared" si="104"/>
        <v>0</v>
      </c>
      <c r="AS157" s="60">
        <f t="shared" si="104"/>
        <v>0</v>
      </c>
      <c r="AT157" s="60">
        <f t="shared" si="104"/>
        <v>0</v>
      </c>
      <c r="AU157" s="60">
        <f t="shared" si="104"/>
        <v>0</v>
      </c>
      <c r="AV157" s="60">
        <f t="shared" si="104"/>
        <v>0</v>
      </c>
      <c r="AW157" s="60">
        <f t="shared" si="104"/>
        <v>0</v>
      </c>
      <c r="AX157" s="60">
        <f t="shared" si="104"/>
        <v>0</v>
      </c>
      <c r="AY157" s="60">
        <f t="shared" si="104"/>
        <v>0</v>
      </c>
      <c r="AZ157" s="60">
        <f t="shared" si="104"/>
        <v>0</v>
      </c>
      <c r="BA157" s="60">
        <f t="shared" si="104"/>
        <v>0</v>
      </c>
      <c r="BB157" s="60">
        <f t="shared" si="104"/>
        <v>0</v>
      </c>
      <c r="BC157" s="60">
        <f t="shared" si="104"/>
        <v>0</v>
      </c>
      <c r="BD157" s="60">
        <f t="shared" si="104"/>
        <v>0</v>
      </c>
      <c r="BE157" s="60">
        <f t="shared" si="104"/>
        <v>0</v>
      </c>
      <c r="BF157" s="60">
        <f t="shared" si="104"/>
        <v>0</v>
      </c>
      <c r="BG157" s="60">
        <f t="shared" si="104"/>
        <v>0</v>
      </c>
      <c r="BH157" s="60">
        <f t="shared" si="104"/>
        <v>0</v>
      </c>
      <c r="BI157" s="60">
        <f t="shared" si="104"/>
        <v>0</v>
      </c>
      <c r="BJ157" s="60">
        <f t="shared" si="104"/>
        <v>0</v>
      </c>
      <c r="BK157" s="60">
        <f t="shared" si="104"/>
        <v>0</v>
      </c>
      <c r="BL157" s="60">
        <f t="shared" si="104"/>
        <v>0</v>
      </c>
      <c r="BM157" s="60">
        <f t="shared" si="104"/>
        <v>0</v>
      </c>
      <c r="BN157" s="60">
        <f t="shared" si="104"/>
        <v>0</v>
      </c>
      <c r="BO157" s="60">
        <f t="shared" si="104"/>
        <v>0</v>
      </c>
      <c r="BP157" s="60">
        <f t="shared" si="104"/>
        <v>0</v>
      </c>
      <c r="BQ157" s="60">
        <f t="shared" si="104"/>
        <v>0</v>
      </c>
      <c r="BR157" s="60">
        <f t="shared" si="104"/>
        <v>0</v>
      </c>
      <c r="BS157" s="60">
        <f t="shared" ref="BS157:DA157" si="105">BS82</f>
        <v>0</v>
      </c>
      <c r="BT157" s="60">
        <f t="shared" si="105"/>
        <v>0</v>
      </c>
      <c r="BU157" s="60">
        <f t="shared" si="105"/>
        <v>0</v>
      </c>
      <c r="BV157" s="60">
        <f t="shared" si="105"/>
        <v>0</v>
      </c>
      <c r="BW157" s="60">
        <f t="shared" si="105"/>
        <v>0</v>
      </c>
      <c r="BX157" s="60">
        <f t="shared" si="105"/>
        <v>0</v>
      </c>
      <c r="BY157" s="60">
        <f t="shared" si="105"/>
        <v>0</v>
      </c>
      <c r="BZ157" s="60">
        <f t="shared" si="105"/>
        <v>0</v>
      </c>
      <c r="CA157" s="60">
        <f t="shared" si="105"/>
        <v>0</v>
      </c>
      <c r="CB157" s="60">
        <f t="shared" si="105"/>
        <v>0</v>
      </c>
      <c r="CC157" s="60">
        <f t="shared" si="105"/>
        <v>0</v>
      </c>
      <c r="CD157" s="60">
        <f t="shared" si="105"/>
        <v>0</v>
      </c>
      <c r="CE157" s="60">
        <f t="shared" si="105"/>
        <v>0</v>
      </c>
      <c r="CF157" s="60">
        <f t="shared" si="105"/>
        <v>0</v>
      </c>
      <c r="CG157" s="60">
        <f t="shared" si="105"/>
        <v>0</v>
      </c>
      <c r="CH157" s="60">
        <f t="shared" si="105"/>
        <v>0</v>
      </c>
      <c r="CI157" s="60">
        <f t="shared" si="105"/>
        <v>0</v>
      </c>
      <c r="CJ157" s="60">
        <f t="shared" si="105"/>
        <v>0</v>
      </c>
      <c r="CK157" s="60">
        <f t="shared" si="105"/>
        <v>0</v>
      </c>
      <c r="CL157" s="60">
        <f t="shared" si="105"/>
        <v>0</v>
      </c>
      <c r="CM157" s="60">
        <f t="shared" si="105"/>
        <v>0</v>
      </c>
      <c r="CN157" s="60">
        <f t="shared" si="105"/>
        <v>0</v>
      </c>
      <c r="CO157" s="60">
        <f t="shared" si="105"/>
        <v>0</v>
      </c>
      <c r="CP157" s="60">
        <f t="shared" si="105"/>
        <v>0</v>
      </c>
      <c r="CQ157" s="60">
        <f t="shared" si="105"/>
        <v>0</v>
      </c>
      <c r="CR157" s="60">
        <f t="shared" si="105"/>
        <v>0</v>
      </c>
      <c r="CS157" s="60">
        <f t="shared" si="105"/>
        <v>0</v>
      </c>
      <c r="CT157" s="60">
        <f t="shared" si="105"/>
        <v>0</v>
      </c>
      <c r="CU157" s="60">
        <f t="shared" si="105"/>
        <v>0</v>
      </c>
      <c r="CV157" s="60">
        <f t="shared" si="105"/>
        <v>0</v>
      </c>
      <c r="CW157" s="60">
        <f t="shared" si="105"/>
        <v>0</v>
      </c>
      <c r="CX157" s="60">
        <f t="shared" si="105"/>
        <v>0</v>
      </c>
      <c r="CY157" s="60">
        <f t="shared" si="105"/>
        <v>0</v>
      </c>
      <c r="CZ157" s="60">
        <f t="shared" si="105"/>
        <v>0</v>
      </c>
      <c r="DA157" s="60">
        <f t="shared" si="105"/>
        <v>0</v>
      </c>
    </row>
    <row r="158" spans="5:105">
      <c r="F158" s="60">
        <f>F94</f>
        <v>0</v>
      </c>
      <c r="G158" s="60">
        <f t="shared" ref="G158:BR158" si="106">G94</f>
        <v>0</v>
      </c>
      <c r="H158" s="60">
        <f t="shared" si="106"/>
        <v>0</v>
      </c>
      <c r="I158" s="60">
        <f t="shared" si="106"/>
        <v>0</v>
      </c>
      <c r="J158" s="60">
        <f t="shared" si="106"/>
        <v>0</v>
      </c>
      <c r="K158" s="60">
        <f t="shared" si="106"/>
        <v>0</v>
      </c>
      <c r="L158" s="60">
        <f t="shared" si="106"/>
        <v>0</v>
      </c>
      <c r="M158" s="60">
        <f t="shared" si="106"/>
        <v>0</v>
      </c>
      <c r="N158" s="60">
        <f t="shared" si="106"/>
        <v>0</v>
      </c>
      <c r="O158" s="60">
        <f t="shared" si="106"/>
        <v>0</v>
      </c>
      <c r="P158" s="60">
        <f t="shared" si="106"/>
        <v>0</v>
      </c>
      <c r="Q158" s="60">
        <f t="shared" si="106"/>
        <v>0</v>
      </c>
      <c r="R158" s="60">
        <f t="shared" si="106"/>
        <v>0</v>
      </c>
      <c r="S158" s="60">
        <f t="shared" si="106"/>
        <v>0</v>
      </c>
      <c r="T158" s="60">
        <f t="shared" si="106"/>
        <v>0</v>
      </c>
      <c r="U158" s="60">
        <f t="shared" si="106"/>
        <v>0</v>
      </c>
      <c r="V158" s="60">
        <f t="shared" si="106"/>
        <v>0</v>
      </c>
      <c r="W158" s="60">
        <f t="shared" si="106"/>
        <v>0</v>
      </c>
      <c r="X158" s="60">
        <f t="shared" si="106"/>
        <v>0</v>
      </c>
      <c r="Y158" s="60">
        <f t="shared" si="106"/>
        <v>0</v>
      </c>
      <c r="Z158" s="60">
        <f t="shared" si="106"/>
        <v>0</v>
      </c>
      <c r="AA158" s="60">
        <f t="shared" si="106"/>
        <v>0</v>
      </c>
      <c r="AB158" s="60">
        <f t="shared" si="106"/>
        <v>0</v>
      </c>
      <c r="AC158" s="60">
        <f t="shared" si="106"/>
        <v>0</v>
      </c>
      <c r="AD158" s="60">
        <f t="shared" si="106"/>
        <v>0</v>
      </c>
      <c r="AE158" s="60">
        <f t="shared" si="106"/>
        <v>0</v>
      </c>
      <c r="AF158" s="60">
        <f t="shared" si="106"/>
        <v>0</v>
      </c>
      <c r="AG158" s="60">
        <f t="shared" si="106"/>
        <v>0</v>
      </c>
      <c r="AH158" s="60">
        <f t="shared" si="106"/>
        <v>0</v>
      </c>
      <c r="AI158" s="60">
        <f t="shared" si="106"/>
        <v>0</v>
      </c>
      <c r="AJ158" s="60">
        <f t="shared" si="106"/>
        <v>0</v>
      </c>
      <c r="AK158" s="60">
        <f t="shared" si="106"/>
        <v>0</v>
      </c>
      <c r="AL158" s="60">
        <f t="shared" si="106"/>
        <v>0</v>
      </c>
      <c r="AM158" s="60">
        <f t="shared" si="106"/>
        <v>0</v>
      </c>
      <c r="AN158" s="60">
        <f t="shared" si="106"/>
        <v>0</v>
      </c>
      <c r="AO158" s="60">
        <f t="shared" si="106"/>
        <v>0</v>
      </c>
      <c r="AP158" s="60">
        <f t="shared" si="106"/>
        <v>0</v>
      </c>
      <c r="AQ158" s="60">
        <f t="shared" si="106"/>
        <v>0</v>
      </c>
      <c r="AR158" s="60">
        <f t="shared" si="106"/>
        <v>0</v>
      </c>
      <c r="AS158" s="60">
        <f t="shared" si="106"/>
        <v>0</v>
      </c>
      <c r="AT158" s="60">
        <f t="shared" si="106"/>
        <v>0</v>
      </c>
      <c r="AU158" s="60">
        <f t="shared" si="106"/>
        <v>0</v>
      </c>
      <c r="AV158" s="60">
        <f t="shared" si="106"/>
        <v>0</v>
      </c>
      <c r="AW158" s="60">
        <f t="shared" si="106"/>
        <v>0</v>
      </c>
      <c r="AX158" s="60">
        <f t="shared" si="106"/>
        <v>0</v>
      </c>
      <c r="AY158" s="60">
        <f t="shared" si="106"/>
        <v>0</v>
      </c>
      <c r="AZ158" s="60">
        <f t="shared" si="106"/>
        <v>0</v>
      </c>
      <c r="BA158" s="60">
        <f t="shared" si="106"/>
        <v>0</v>
      </c>
      <c r="BB158" s="60">
        <f t="shared" si="106"/>
        <v>0</v>
      </c>
      <c r="BC158" s="60">
        <f t="shared" si="106"/>
        <v>0</v>
      </c>
      <c r="BD158" s="60">
        <f t="shared" si="106"/>
        <v>0</v>
      </c>
      <c r="BE158" s="60">
        <f t="shared" si="106"/>
        <v>0</v>
      </c>
      <c r="BF158" s="60">
        <f t="shared" si="106"/>
        <v>0</v>
      </c>
      <c r="BG158" s="60">
        <f t="shared" si="106"/>
        <v>0</v>
      </c>
      <c r="BH158" s="60">
        <f t="shared" si="106"/>
        <v>0</v>
      </c>
      <c r="BI158" s="60">
        <f t="shared" si="106"/>
        <v>0</v>
      </c>
      <c r="BJ158" s="60">
        <f t="shared" si="106"/>
        <v>0</v>
      </c>
      <c r="BK158" s="60">
        <f t="shared" si="106"/>
        <v>0</v>
      </c>
      <c r="BL158" s="60">
        <f t="shared" si="106"/>
        <v>0</v>
      </c>
      <c r="BM158" s="60">
        <f t="shared" si="106"/>
        <v>0</v>
      </c>
      <c r="BN158" s="60">
        <f t="shared" si="106"/>
        <v>0</v>
      </c>
      <c r="BO158" s="60">
        <f t="shared" si="106"/>
        <v>0</v>
      </c>
      <c r="BP158" s="60">
        <f t="shared" si="106"/>
        <v>0</v>
      </c>
      <c r="BQ158" s="60">
        <f t="shared" si="106"/>
        <v>0</v>
      </c>
      <c r="BR158" s="60">
        <f t="shared" si="106"/>
        <v>0</v>
      </c>
      <c r="BS158" s="60">
        <f t="shared" ref="BS158:DA158" si="107">BS94</f>
        <v>0</v>
      </c>
      <c r="BT158" s="60">
        <f t="shared" si="107"/>
        <v>0</v>
      </c>
      <c r="BU158" s="60">
        <f t="shared" si="107"/>
        <v>0</v>
      </c>
      <c r="BV158" s="60">
        <f t="shared" si="107"/>
        <v>0</v>
      </c>
      <c r="BW158" s="60">
        <f t="shared" si="107"/>
        <v>0</v>
      </c>
      <c r="BX158" s="60">
        <f t="shared" si="107"/>
        <v>0</v>
      </c>
      <c r="BY158" s="60">
        <f t="shared" si="107"/>
        <v>0</v>
      </c>
      <c r="BZ158" s="60">
        <f t="shared" si="107"/>
        <v>0</v>
      </c>
      <c r="CA158" s="60">
        <f t="shared" si="107"/>
        <v>0</v>
      </c>
      <c r="CB158" s="60">
        <f t="shared" si="107"/>
        <v>0</v>
      </c>
      <c r="CC158" s="60">
        <f t="shared" si="107"/>
        <v>0</v>
      </c>
      <c r="CD158" s="60">
        <f t="shared" si="107"/>
        <v>0</v>
      </c>
      <c r="CE158" s="60">
        <f t="shared" si="107"/>
        <v>0</v>
      </c>
      <c r="CF158" s="60">
        <f t="shared" si="107"/>
        <v>0</v>
      </c>
      <c r="CG158" s="60">
        <f t="shared" si="107"/>
        <v>0</v>
      </c>
      <c r="CH158" s="60">
        <f t="shared" si="107"/>
        <v>0</v>
      </c>
      <c r="CI158" s="60">
        <f t="shared" si="107"/>
        <v>0</v>
      </c>
      <c r="CJ158" s="60">
        <f t="shared" si="107"/>
        <v>0</v>
      </c>
      <c r="CK158" s="60">
        <f t="shared" si="107"/>
        <v>0</v>
      </c>
      <c r="CL158" s="60">
        <f t="shared" si="107"/>
        <v>0</v>
      </c>
      <c r="CM158" s="60">
        <f t="shared" si="107"/>
        <v>0</v>
      </c>
      <c r="CN158" s="60">
        <f t="shared" si="107"/>
        <v>0</v>
      </c>
      <c r="CO158" s="60">
        <f t="shared" si="107"/>
        <v>0</v>
      </c>
      <c r="CP158" s="60">
        <f t="shared" si="107"/>
        <v>0</v>
      </c>
      <c r="CQ158" s="60">
        <f t="shared" si="107"/>
        <v>0</v>
      </c>
      <c r="CR158" s="60">
        <f t="shared" si="107"/>
        <v>0</v>
      </c>
      <c r="CS158" s="60">
        <f t="shared" si="107"/>
        <v>0</v>
      </c>
      <c r="CT158" s="60">
        <f t="shared" si="107"/>
        <v>0</v>
      </c>
      <c r="CU158" s="60">
        <f t="shared" si="107"/>
        <v>0</v>
      </c>
      <c r="CV158" s="60">
        <f t="shared" si="107"/>
        <v>0</v>
      </c>
      <c r="CW158" s="60">
        <f t="shared" si="107"/>
        <v>0</v>
      </c>
      <c r="CX158" s="60">
        <f t="shared" si="107"/>
        <v>0</v>
      </c>
      <c r="CY158" s="60">
        <f t="shared" si="107"/>
        <v>0</v>
      </c>
      <c r="CZ158" s="60">
        <f t="shared" si="107"/>
        <v>0</v>
      </c>
      <c r="DA158" s="60">
        <f t="shared" si="107"/>
        <v>0</v>
      </c>
    </row>
    <row r="159" spans="5:105">
      <c r="F159" s="60">
        <f>F106</f>
        <v>0</v>
      </c>
      <c r="G159" s="60">
        <f t="shared" ref="G159:BR159" si="108">G106</f>
        <v>0</v>
      </c>
      <c r="H159" s="60">
        <f t="shared" si="108"/>
        <v>0</v>
      </c>
      <c r="I159" s="60">
        <f t="shared" si="108"/>
        <v>0</v>
      </c>
      <c r="J159" s="60">
        <f t="shared" si="108"/>
        <v>0</v>
      </c>
      <c r="K159" s="60">
        <f t="shared" si="108"/>
        <v>0</v>
      </c>
      <c r="L159" s="60">
        <f t="shared" si="108"/>
        <v>0</v>
      </c>
      <c r="M159" s="60">
        <f t="shared" si="108"/>
        <v>0</v>
      </c>
      <c r="N159" s="60">
        <f t="shared" si="108"/>
        <v>0</v>
      </c>
      <c r="O159" s="60">
        <f t="shared" si="108"/>
        <v>0</v>
      </c>
      <c r="P159" s="60">
        <f t="shared" si="108"/>
        <v>0</v>
      </c>
      <c r="Q159" s="60">
        <f t="shared" si="108"/>
        <v>0</v>
      </c>
      <c r="R159" s="60">
        <f t="shared" si="108"/>
        <v>0</v>
      </c>
      <c r="S159" s="60">
        <f t="shared" si="108"/>
        <v>0</v>
      </c>
      <c r="T159" s="60">
        <f t="shared" si="108"/>
        <v>0</v>
      </c>
      <c r="U159" s="60">
        <f t="shared" si="108"/>
        <v>0</v>
      </c>
      <c r="V159" s="60">
        <f t="shared" si="108"/>
        <v>0</v>
      </c>
      <c r="W159" s="60">
        <f t="shared" si="108"/>
        <v>0</v>
      </c>
      <c r="X159" s="60">
        <f t="shared" si="108"/>
        <v>0</v>
      </c>
      <c r="Y159" s="60">
        <f t="shared" si="108"/>
        <v>0</v>
      </c>
      <c r="Z159" s="60">
        <f t="shared" si="108"/>
        <v>0</v>
      </c>
      <c r="AA159" s="60">
        <f t="shared" si="108"/>
        <v>0</v>
      </c>
      <c r="AB159" s="60">
        <f t="shared" si="108"/>
        <v>0</v>
      </c>
      <c r="AC159" s="60">
        <f t="shared" si="108"/>
        <v>0</v>
      </c>
      <c r="AD159" s="60">
        <f t="shared" si="108"/>
        <v>0</v>
      </c>
      <c r="AE159" s="60">
        <f t="shared" si="108"/>
        <v>0</v>
      </c>
      <c r="AF159" s="60">
        <f t="shared" si="108"/>
        <v>0</v>
      </c>
      <c r="AG159" s="60">
        <f t="shared" si="108"/>
        <v>0</v>
      </c>
      <c r="AH159" s="60">
        <f t="shared" si="108"/>
        <v>0</v>
      </c>
      <c r="AI159" s="60">
        <f t="shared" si="108"/>
        <v>0</v>
      </c>
      <c r="AJ159" s="60">
        <f t="shared" si="108"/>
        <v>0</v>
      </c>
      <c r="AK159" s="60">
        <f t="shared" si="108"/>
        <v>0</v>
      </c>
      <c r="AL159" s="60">
        <f t="shared" si="108"/>
        <v>0</v>
      </c>
      <c r="AM159" s="60">
        <f t="shared" si="108"/>
        <v>0</v>
      </c>
      <c r="AN159" s="60">
        <f t="shared" si="108"/>
        <v>0</v>
      </c>
      <c r="AO159" s="60">
        <f t="shared" si="108"/>
        <v>0</v>
      </c>
      <c r="AP159" s="60">
        <f t="shared" si="108"/>
        <v>0</v>
      </c>
      <c r="AQ159" s="60">
        <f t="shared" si="108"/>
        <v>0</v>
      </c>
      <c r="AR159" s="60">
        <f t="shared" si="108"/>
        <v>0</v>
      </c>
      <c r="AS159" s="60">
        <f t="shared" si="108"/>
        <v>0</v>
      </c>
      <c r="AT159" s="60">
        <f t="shared" si="108"/>
        <v>0</v>
      </c>
      <c r="AU159" s="60">
        <f t="shared" si="108"/>
        <v>0</v>
      </c>
      <c r="AV159" s="60">
        <f t="shared" si="108"/>
        <v>0</v>
      </c>
      <c r="AW159" s="60">
        <f t="shared" si="108"/>
        <v>0</v>
      </c>
      <c r="AX159" s="60">
        <f t="shared" si="108"/>
        <v>0</v>
      </c>
      <c r="AY159" s="60">
        <f t="shared" si="108"/>
        <v>0</v>
      </c>
      <c r="AZ159" s="60">
        <f t="shared" si="108"/>
        <v>0</v>
      </c>
      <c r="BA159" s="60">
        <f t="shared" si="108"/>
        <v>0</v>
      </c>
      <c r="BB159" s="60">
        <f t="shared" si="108"/>
        <v>0</v>
      </c>
      <c r="BC159" s="60">
        <f t="shared" si="108"/>
        <v>0</v>
      </c>
      <c r="BD159" s="60">
        <f t="shared" si="108"/>
        <v>0</v>
      </c>
      <c r="BE159" s="60">
        <f t="shared" si="108"/>
        <v>0</v>
      </c>
      <c r="BF159" s="60">
        <f t="shared" si="108"/>
        <v>0</v>
      </c>
      <c r="BG159" s="60">
        <f t="shared" si="108"/>
        <v>0</v>
      </c>
      <c r="BH159" s="60">
        <f t="shared" si="108"/>
        <v>0</v>
      </c>
      <c r="BI159" s="60">
        <f t="shared" si="108"/>
        <v>0</v>
      </c>
      <c r="BJ159" s="60">
        <f t="shared" si="108"/>
        <v>0</v>
      </c>
      <c r="BK159" s="60">
        <f t="shared" si="108"/>
        <v>0</v>
      </c>
      <c r="BL159" s="60">
        <f t="shared" si="108"/>
        <v>0</v>
      </c>
      <c r="BM159" s="60">
        <f t="shared" si="108"/>
        <v>0</v>
      </c>
      <c r="BN159" s="60">
        <f t="shared" si="108"/>
        <v>0</v>
      </c>
      <c r="BO159" s="60">
        <f t="shared" si="108"/>
        <v>0</v>
      </c>
      <c r="BP159" s="60">
        <f t="shared" si="108"/>
        <v>0</v>
      </c>
      <c r="BQ159" s="60">
        <f t="shared" si="108"/>
        <v>0</v>
      </c>
      <c r="BR159" s="60">
        <f t="shared" si="108"/>
        <v>0</v>
      </c>
      <c r="BS159" s="60">
        <f t="shared" ref="BS159:DA159" si="109">BS106</f>
        <v>0</v>
      </c>
      <c r="BT159" s="60">
        <f t="shared" si="109"/>
        <v>0</v>
      </c>
      <c r="BU159" s="60">
        <f t="shared" si="109"/>
        <v>0</v>
      </c>
      <c r="BV159" s="60">
        <f t="shared" si="109"/>
        <v>0</v>
      </c>
      <c r="BW159" s="60">
        <f t="shared" si="109"/>
        <v>0</v>
      </c>
      <c r="BX159" s="60">
        <f t="shared" si="109"/>
        <v>0</v>
      </c>
      <c r="BY159" s="60">
        <f t="shared" si="109"/>
        <v>0</v>
      </c>
      <c r="BZ159" s="60">
        <f t="shared" si="109"/>
        <v>0</v>
      </c>
      <c r="CA159" s="60">
        <f t="shared" si="109"/>
        <v>0</v>
      </c>
      <c r="CB159" s="60">
        <f t="shared" si="109"/>
        <v>0</v>
      </c>
      <c r="CC159" s="60">
        <f t="shared" si="109"/>
        <v>0</v>
      </c>
      <c r="CD159" s="60">
        <f t="shared" si="109"/>
        <v>0</v>
      </c>
      <c r="CE159" s="60">
        <f t="shared" si="109"/>
        <v>0</v>
      </c>
      <c r="CF159" s="60">
        <f t="shared" si="109"/>
        <v>0</v>
      </c>
      <c r="CG159" s="60">
        <f t="shared" si="109"/>
        <v>0</v>
      </c>
      <c r="CH159" s="60">
        <f t="shared" si="109"/>
        <v>0</v>
      </c>
      <c r="CI159" s="60">
        <f t="shared" si="109"/>
        <v>0</v>
      </c>
      <c r="CJ159" s="60">
        <f t="shared" si="109"/>
        <v>0</v>
      </c>
      <c r="CK159" s="60">
        <f t="shared" si="109"/>
        <v>0</v>
      </c>
      <c r="CL159" s="60">
        <f t="shared" si="109"/>
        <v>0</v>
      </c>
      <c r="CM159" s="60">
        <f t="shared" si="109"/>
        <v>0</v>
      </c>
      <c r="CN159" s="60">
        <f t="shared" si="109"/>
        <v>0</v>
      </c>
      <c r="CO159" s="60">
        <f t="shared" si="109"/>
        <v>0</v>
      </c>
      <c r="CP159" s="60">
        <f t="shared" si="109"/>
        <v>0</v>
      </c>
      <c r="CQ159" s="60">
        <f t="shared" si="109"/>
        <v>0</v>
      </c>
      <c r="CR159" s="60">
        <f t="shared" si="109"/>
        <v>0</v>
      </c>
      <c r="CS159" s="60">
        <f t="shared" si="109"/>
        <v>0</v>
      </c>
      <c r="CT159" s="60">
        <f t="shared" si="109"/>
        <v>0</v>
      </c>
      <c r="CU159" s="60">
        <f t="shared" si="109"/>
        <v>0</v>
      </c>
      <c r="CV159" s="60">
        <f t="shared" si="109"/>
        <v>0</v>
      </c>
      <c r="CW159" s="60">
        <f t="shared" si="109"/>
        <v>0</v>
      </c>
      <c r="CX159" s="60">
        <f t="shared" si="109"/>
        <v>0</v>
      </c>
      <c r="CY159" s="60">
        <f t="shared" si="109"/>
        <v>0</v>
      </c>
      <c r="CZ159" s="60">
        <f t="shared" si="109"/>
        <v>0</v>
      </c>
      <c r="DA159" s="60">
        <f t="shared" si="109"/>
        <v>0</v>
      </c>
    </row>
    <row r="161" spans="4:105" ht="16.5">
      <c r="E161" s="81" t="s">
        <v>163</v>
      </c>
      <c r="F161" s="62" t="e">
        <f>SLOPE(F152:F159,$D129:$D136)</f>
        <v>#DIV/0!</v>
      </c>
      <c r="G161" s="62" t="e">
        <f t="shared" ref="G161:BR161" si="110">SLOPE(G152:G159,$D129:$D136)</f>
        <v>#DIV/0!</v>
      </c>
      <c r="H161" s="62" t="e">
        <f t="shared" si="110"/>
        <v>#DIV/0!</v>
      </c>
      <c r="I161" s="62" t="e">
        <f t="shared" si="110"/>
        <v>#DIV/0!</v>
      </c>
      <c r="J161" s="62" t="e">
        <f t="shared" si="110"/>
        <v>#DIV/0!</v>
      </c>
      <c r="K161" s="62" t="e">
        <f t="shared" si="110"/>
        <v>#DIV/0!</v>
      </c>
      <c r="L161" s="62" t="e">
        <f t="shared" si="110"/>
        <v>#DIV/0!</v>
      </c>
      <c r="M161" s="62" t="e">
        <f t="shared" si="110"/>
        <v>#DIV/0!</v>
      </c>
      <c r="N161" s="62" t="e">
        <f t="shared" si="110"/>
        <v>#DIV/0!</v>
      </c>
      <c r="O161" s="62" t="e">
        <f t="shared" si="110"/>
        <v>#DIV/0!</v>
      </c>
      <c r="P161" s="62" t="e">
        <f t="shared" si="110"/>
        <v>#DIV/0!</v>
      </c>
      <c r="Q161" s="62" t="e">
        <f t="shared" si="110"/>
        <v>#DIV/0!</v>
      </c>
      <c r="R161" s="62" t="e">
        <f t="shared" si="110"/>
        <v>#DIV/0!</v>
      </c>
      <c r="S161" s="62" t="e">
        <f t="shared" si="110"/>
        <v>#DIV/0!</v>
      </c>
      <c r="T161" s="62" t="e">
        <f t="shared" si="110"/>
        <v>#DIV/0!</v>
      </c>
      <c r="U161" s="62" t="e">
        <f t="shared" si="110"/>
        <v>#DIV/0!</v>
      </c>
      <c r="V161" s="62" t="e">
        <f t="shared" si="110"/>
        <v>#DIV/0!</v>
      </c>
      <c r="W161" s="62" t="e">
        <f t="shared" si="110"/>
        <v>#DIV/0!</v>
      </c>
      <c r="X161" s="62" t="e">
        <f t="shared" si="110"/>
        <v>#DIV/0!</v>
      </c>
      <c r="Y161" s="62" t="e">
        <f t="shared" si="110"/>
        <v>#DIV/0!</v>
      </c>
      <c r="Z161" s="62" t="e">
        <f t="shared" si="110"/>
        <v>#DIV/0!</v>
      </c>
      <c r="AA161" s="62" t="e">
        <f t="shared" si="110"/>
        <v>#DIV/0!</v>
      </c>
      <c r="AB161" s="62" t="e">
        <f t="shared" si="110"/>
        <v>#DIV/0!</v>
      </c>
      <c r="AC161" s="62" t="e">
        <f t="shared" si="110"/>
        <v>#DIV/0!</v>
      </c>
      <c r="AD161" s="62" t="e">
        <f t="shared" si="110"/>
        <v>#DIV/0!</v>
      </c>
      <c r="AE161" s="62" t="e">
        <f t="shared" si="110"/>
        <v>#DIV/0!</v>
      </c>
      <c r="AF161" s="62" t="e">
        <f t="shared" si="110"/>
        <v>#DIV/0!</v>
      </c>
      <c r="AG161" s="62" t="e">
        <f t="shared" si="110"/>
        <v>#DIV/0!</v>
      </c>
      <c r="AH161" s="62" t="e">
        <f t="shared" si="110"/>
        <v>#DIV/0!</v>
      </c>
      <c r="AI161" s="62" t="e">
        <f t="shared" si="110"/>
        <v>#DIV/0!</v>
      </c>
      <c r="AJ161" s="62" t="e">
        <f t="shared" si="110"/>
        <v>#DIV/0!</v>
      </c>
      <c r="AK161" s="62" t="e">
        <f t="shared" si="110"/>
        <v>#DIV/0!</v>
      </c>
      <c r="AL161" s="62" t="e">
        <f t="shared" si="110"/>
        <v>#DIV/0!</v>
      </c>
      <c r="AM161" s="62" t="e">
        <f t="shared" si="110"/>
        <v>#DIV/0!</v>
      </c>
      <c r="AN161" s="62" t="e">
        <f t="shared" si="110"/>
        <v>#DIV/0!</v>
      </c>
      <c r="AO161" s="62" t="e">
        <f t="shared" si="110"/>
        <v>#DIV/0!</v>
      </c>
      <c r="AP161" s="62" t="e">
        <f t="shared" si="110"/>
        <v>#DIV/0!</v>
      </c>
      <c r="AQ161" s="62" t="e">
        <f t="shared" si="110"/>
        <v>#DIV/0!</v>
      </c>
      <c r="AR161" s="62" t="e">
        <f t="shared" si="110"/>
        <v>#DIV/0!</v>
      </c>
      <c r="AS161" s="62" t="e">
        <f t="shared" si="110"/>
        <v>#DIV/0!</v>
      </c>
      <c r="AT161" s="62" t="e">
        <f t="shared" si="110"/>
        <v>#DIV/0!</v>
      </c>
      <c r="AU161" s="62" t="e">
        <f t="shared" si="110"/>
        <v>#DIV/0!</v>
      </c>
      <c r="AV161" s="62" t="e">
        <f t="shared" si="110"/>
        <v>#DIV/0!</v>
      </c>
      <c r="AW161" s="62" t="e">
        <f t="shared" si="110"/>
        <v>#DIV/0!</v>
      </c>
      <c r="AX161" s="62" t="e">
        <f t="shared" si="110"/>
        <v>#DIV/0!</v>
      </c>
      <c r="AY161" s="62" t="e">
        <f t="shared" si="110"/>
        <v>#DIV/0!</v>
      </c>
      <c r="AZ161" s="62" t="e">
        <f t="shared" si="110"/>
        <v>#DIV/0!</v>
      </c>
      <c r="BA161" s="62" t="e">
        <f t="shared" si="110"/>
        <v>#DIV/0!</v>
      </c>
      <c r="BB161" s="62" t="e">
        <f t="shared" si="110"/>
        <v>#DIV/0!</v>
      </c>
      <c r="BC161" s="62" t="e">
        <f t="shared" si="110"/>
        <v>#DIV/0!</v>
      </c>
      <c r="BD161" s="62" t="e">
        <f t="shared" si="110"/>
        <v>#DIV/0!</v>
      </c>
      <c r="BE161" s="62" t="e">
        <f t="shared" si="110"/>
        <v>#DIV/0!</v>
      </c>
      <c r="BF161" s="62" t="e">
        <f t="shared" si="110"/>
        <v>#DIV/0!</v>
      </c>
      <c r="BG161" s="62" t="e">
        <f t="shared" si="110"/>
        <v>#DIV/0!</v>
      </c>
      <c r="BH161" s="62" t="e">
        <f t="shared" si="110"/>
        <v>#DIV/0!</v>
      </c>
      <c r="BI161" s="62" t="e">
        <f t="shared" si="110"/>
        <v>#DIV/0!</v>
      </c>
      <c r="BJ161" s="62" t="e">
        <f t="shared" si="110"/>
        <v>#DIV/0!</v>
      </c>
      <c r="BK161" s="62" t="e">
        <f t="shared" si="110"/>
        <v>#DIV/0!</v>
      </c>
      <c r="BL161" s="62" t="e">
        <f t="shared" si="110"/>
        <v>#DIV/0!</v>
      </c>
      <c r="BM161" s="62" t="e">
        <f t="shared" si="110"/>
        <v>#DIV/0!</v>
      </c>
      <c r="BN161" s="62" t="e">
        <f t="shared" si="110"/>
        <v>#DIV/0!</v>
      </c>
      <c r="BO161" s="62" t="e">
        <f t="shared" si="110"/>
        <v>#DIV/0!</v>
      </c>
      <c r="BP161" s="62" t="e">
        <f t="shared" si="110"/>
        <v>#DIV/0!</v>
      </c>
      <c r="BQ161" s="62" t="e">
        <f t="shared" si="110"/>
        <v>#DIV/0!</v>
      </c>
      <c r="BR161" s="62" t="e">
        <f t="shared" si="110"/>
        <v>#DIV/0!</v>
      </c>
      <c r="BS161" s="62" t="e">
        <f t="shared" ref="BS161:DA161" si="111">SLOPE(BS152:BS159,$D129:$D136)</f>
        <v>#DIV/0!</v>
      </c>
      <c r="BT161" s="62" t="e">
        <f t="shared" si="111"/>
        <v>#DIV/0!</v>
      </c>
      <c r="BU161" s="62" t="e">
        <f t="shared" si="111"/>
        <v>#DIV/0!</v>
      </c>
      <c r="BV161" s="62" t="e">
        <f t="shared" si="111"/>
        <v>#DIV/0!</v>
      </c>
      <c r="BW161" s="62" t="e">
        <f t="shared" si="111"/>
        <v>#DIV/0!</v>
      </c>
      <c r="BX161" s="62" t="e">
        <f t="shared" si="111"/>
        <v>#DIV/0!</v>
      </c>
      <c r="BY161" s="62" t="e">
        <f t="shared" si="111"/>
        <v>#DIV/0!</v>
      </c>
      <c r="BZ161" s="62" t="e">
        <f t="shared" si="111"/>
        <v>#DIV/0!</v>
      </c>
      <c r="CA161" s="62" t="e">
        <f t="shared" si="111"/>
        <v>#DIV/0!</v>
      </c>
      <c r="CB161" s="62" t="e">
        <f t="shared" si="111"/>
        <v>#DIV/0!</v>
      </c>
      <c r="CC161" s="62" t="e">
        <f t="shared" si="111"/>
        <v>#DIV/0!</v>
      </c>
      <c r="CD161" s="62" t="e">
        <f t="shared" si="111"/>
        <v>#DIV/0!</v>
      </c>
      <c r="CE161" s="62" t="e">
        <f t="shared" si="111"/>
        <v>#DIV/0!</v>
      </c>
      <c r="CF161" s="62" t="e">
        <f t="shared" si="111"/>
        <v>#DIV/0!</v>
      </c>
      <c r="CG161" s="62" t="e">
        <f t="shared" si="111"/>
        <v>#DIV/0!</v>
      </c>
      <c r="CH161" s="62" t="e">
        <f t="shared" si="111"/>
        <v>#DIV/0!</v>
      </c>
      <c r="CI161" s="62" t="e">
        <f t="shared" si="111"/>
        <v>#DIV/0!</v>
      </c>
      <c r="CJ161" s="62" t="e">
        <f t="shared" si="111"/>
        <v>#DIV/0!</v>
      </c>
      <c r="CK161" s="62" t="e">
        <f t="shared" si="111"/>
        <v>#DIV/0!</v>
      </c>
      <c r="CL161" s="62" t="e">
        <f t="shared" si="111"/>
        <v>#DIV/0!</v>
      </c>
      <c r="CM161" s="62" t="e">
        <f t="shared" si="111"/>
        <v>#DIV/0!</v>
      </c>
      <c r="CN161" s="62" t="e">
        <f t="shared" si="111"/>
        <v>#DIV/0!</v>
      </c>
      <c r="CO161" s="62" t="e">
        <f t="shared" si="111"/>
        <v>#DIV/0!</v>
      </c>
      <c r="CP161" s="62" t="e">
        <f t="shared" si="111"/>
        <v>#DIV/0!</v>
      </c>
      <c r="CQ161" s="62" t="e">
        <f t="shared" si="111"/>
        <v>#DIV/0!</v>
      </c>
      <c r="CR161" s="62" t="e">
        <f t="shared" si="111"/>
        <v>#DIV/0!</v>
      </c>
      <c r="CS161" s="62" t="e">
        <f t="shared" si="111"/>
        <v>#DIV/0!</v>
      </c>
      <c r="CT161" s="62" t="e">
        <f t="shared" si="111"/>
        <v>#DIV/0!</v>
      </c>
      <c r="CU161" s="62" t="e">
        <f t="shared" si="111"/>
        <v>#DIV/0!</v>
      </c>
      <c r="CV161" s="62" t="e">
        <f t="shared" si="111"/>
        <v>#DIV/0!</v>
      </c>
      <c r="CW161" s="62" t="e">
        <f t="shared" si="111"/>
        <v>#DIV/0!</v>
      </c>
      <c r="CX161" s="62" t="e">
        <f t="shared" si="111"/>
        <v>#DIV/0!</v>
      </c>
      <c r="CY161" s="62" t="e">
        <f t="shared" si="111"/>
        <v>#DIV/0!</v>
      </c>
      <c r="CZ161" s="62" t="e">
        <f t="shared" si="111"/>
        <v>#DIV/0!</v>
      </c>
      <c r="DA161" s="62" t="e">
        <f t="shared" si="111"/>
        <v>#DIV/0!</v>
      </c>
    </row>
    <row r="162" spans="4:105" ht="16.5">
      <c r="E162" s="81" t="s">
        <v>164</v>
      </c>
      <c r="F162" s="60" t="e">
        <f>INTERCEPT(F152:F159,$D129:$D136)</f>
        <v>#DIV/0!</v>
      </c>
      <c r="G162" s="60" t="e">
        <f t="shared" ref="G162:BR162" si="112">INTERCEPT(G152:G159,$D129:$D136)</f>
        <v>#DIV/0!</v>
      </c>
      <c r="H162" s="60" t="e">
        <f t="shared" si="112"/>
        <v>#DIV/0!</v>
      </c>
      <c r="I162" s="60" t="e">
        <f t="shared" si="112"/>
        <v>#DIV/0!</v>
      </c>
      <c r="J162" s="60" t="e">
        <f t="shared" si="112"/>
        <v>#DIV/0!</v>
      </c>
      <c r="K162" s="60" t="e">
        <f t="shared" si="112"/>
        <v>#DIV/0!</v>
      </c>
      <c r="L162" s="60" t="e">
        <f t="shared" si="112"/>
        <v>#DIV/0!</v>
      </c>
      <c r="M162" s="60" t="e">
        <f t="shared" si="112"/>
        <v>#DIV/0!</v>
      </c>
      <c r="N162" s="60" t="e">
        <f t="shared" si="112"/>
        <v>#DIV/0!</v>
      </c>
      <c r="O162" s="60" t="e">
        <f t="shared" si="112"/>
        <v>#DIV/0!</v>
      </c>
      <c r="P162" s="60" t="e">
        <f t="shared" si="112"/>
        <v>#DIV/0!</v>
      </c>
      <c r="Q162" s="60" t="e">
        <f t="shared" si="112"/>
        <v>#DIV/0!</v>
      </c>
      <c r="R162" s="60" t="e">
        <f t="shared" si="112"/>
        <v>#DIV/0!</v>
      </c>
      <c r="S162" s="60" t="e">
        <f t="shared" si="112"/>
        <v>#DIV/0!</v>
      </c>
      <c r="T162" s="60" t="e">
        <f t="shared" si="112"/>
        <v>#DIV/0!</v>
      </c>
      <c r="U162" s="60" t="e">
        <f t="shared" si="112"/>
        <v>#DIV/0!</v>
      </c>
      <c r="V162" s="60" t="e">
        <f t="shared" si="112"/>
        <v>#DIV/0!</v>
      </c>
      <c r="W162" s="60" t="e">
        <f t="shared" si="112"/>
        <v>#DIV/0!</v>
      </c>
      <c r="X162" s="60" t="e">
        <f t="shared" si="112"/>
        <v>#DIV/0!</v>
      </c>
      <c r="Y162" s="60" t="e">
        <f t="shared" si="112"/>
        <v>#DIV/0!</v>
      </c>
      <c r="Z162" s="60" t="e">
        <f t="shared" si="112"/>
        <v>#DIV/0!</v>
      </c>
      <c r="AA162" s="60" t="e">
        <f t="shared" si="112"/>
        <v>#DIV/0!</v>
      </c>
      <c r="AB162" s="60" t="e">
        <f t="shared" si="112"/>
        <v>#DIV/0!</v>
      </c>
      <c r="AC162" s="60" t="e">
        <f t="shared" si="112"/>
        <v>#DIV/0!</v>
      </c>
      <c r="AD162" s="60" t="e">
        <f t="shared" si="112"/>
        <v>#DIV/0!</v>
      </c>
      <c r="AE162" s="60" t="e">
        <f t="shared" si="112"/>
        <v>#DIV/0!</v>
      </c>
      <c r="AF162" s="60" t="e">
        <f t="shared" si="112"/>
        <v>#DIV/0!</v>
      </c>
      <c r="AG162" s="60" t="e">
        <f t="shared" si="112"/>
        <v>#DIV/0!</v>
      </c>
      <c r="AH162" s="60" t="e">
        <f t="shared" si="112"/>
        <v>#DIV/0!</v>
      </c>
      <c r="AI162" s="60" t="e">
        <f t="shared" si="112"/>
        <v>#DIV/0!</v>
      </c>
      <c r="AJ162" s="60" t="e">
        <f t="shared" si="112"/>
        <v>#DIV/0!</v>
      </c>
      <c r="AK162" s="60" t="e">
        <f t="shared" si="112"/>
        <v>#DIV/0!</v>
      </c>
      <c r="AL162" s="60" t="e">
        <f t="shared" si="112"/>
        <v>#DIV/0!</v>
      </c>
      <c r="AM162" s="60" t="e">
        <f t="shared" si="112"/>
        <v>#DIV/0!</v>
      </c>
      <c r="AN162" s="60" t="e">
        <f t="shared" si="112"/>
        <v>#DIV/0!</v>
      </c>
      <c r="AO162" s="60" t="e">
        <f t="shared" si="112"/>
        <v>#DIV/0!</v>
      </c>
      <c r="AP162" s="60" t="e">
        <f t="shared" si="112"/>
        <v>#DIV/0!</v>
      </c>
      <c r="AQ162" s="60" t="e">
        <f t="shared" si="112"/>
        <v>#DIV/0!</v>
      </c>
      <c r="AR162" s="60" t="e">
        <f t="shared" si="112"/>
        <v>#DIV/0!</v>
      </c>
      <c r="AS162" s="60" t="e">
        <f t="shared" si="112"/>
        <v>#DIV/0!</v>
      </c>
      <c r="AT162" s="60" t="e">
        <f t="shared" si="112"/>
        <v>#DIV/0!</v>
      </c>
      <c r="AU162" s="60" t="e">
        <f t="shared" si="112"/>
        <v>#DIV/0!</v>
      </c>
      <c r="AV162" s="60" t="e">
        <f t="shared" si="112"/>
        <v>#DIV/0!</v>
      </c>
      <c r="AW162" s="60" t="e">
        <f t="shared" si="112"/>
        <v>#DIV/0!</v>
      </c>
      <c r="AX162" s="60" t="e">
        <f t="shared" si="112"/>
        <v>#DIV/0!</v>
      </c>
      <c r="AY162" s="60" t="e">
        <f t="shared" si="112"/>
        <v>#DIV/0!</v>
      </c>
      <c r="AZ162" s="60" t="e">
        <f t="shared" si="112"/>
        <v>#DIV/0!</v>
      </c>
      <c r="BA162" s="60" t="e">
        <f t="shared" si="112"/>
        <v>#DIV/0!</v>
      </c>
      <c r="BB162" s="60" t="e">
        <f t="shared" si="112"/>
        <v>#DIV/0!</v>
      </c>
      <c r="BC162" s="60" t="e">
        <f t="shared" si="112"/>
        <v>#DIV/0!</v>
      </c>
      <c r="BD162" s="60" t="e">
        <f t="shared" si="112"/>
        <v>#DIV/0!</v>
      </c>
      <c r="BE162" s="60" t="e">
        <f t="shared" si="112"/>
        <v>#DIV/0!</v>
      </c>
      <c r="BF162" s="60" t="e">
        <f t="shared" si="112"/>
        <v>#DIV/0!</v>
      </c>
      <c r="BG162" s="60" t="e">
        <f t="shared" si="112"/>
        <v>#DIV/0!</v>
      </c>
      <c r="BH162" s="60" t="e">
        <f t="shared" si="112"/>
        <v>#DIV/0!</v>
      </c>
      <c r="BI162" s="60" t="e">
        <f t="shared" si="112"/>
        <v>#DIV/0!</v>
      </c>
      <c r="BJ162" s="60" t="e">
        <f t="shared" si="112"/>
        <v>#DIV/0!</v>
      </c>
      <c r="BK162" s="60" t="e">
        <f t="shared" si="112"/>
        <v>#DIV/0!</v>
      </c>
      <c r="BL162" s="60" t="e">
        <f t="shared" si="112"/>
        <v>#DIV/0!</v>
      </c>
      <c r="BM162" s="60" t="e">
        <f t="shared" si="112"/>
        <v>#DIV/0!</v>
      </c>
      <c r="BN162" s="60" t="e">
        <f t="shared" si="112"/>
        <v>#DIV/0!</v>
      </c>
      <c r="BO162" s="60" t="e">
        <f t="shared" si="112"/>
        <v>#DIV/0!</v>
      </c>
      <c r="BP162" s="60" t="e">
        <f t="shared" si="112"/>
        <v>#DIV/0!</v>
      </c>
      <c r="BQ162" s="60" t="e">
        <f t="shared" si="112"/>
        <v>#DIV/0!</v>
      </c>
      <c r="BR162" s="60" t="e">
        <f t="shared" si="112"/>
        <v>#DIV/0!</v>
      </c>
      <c r="BS162" s="60" t="e">
        <f t="shared" ref="BS162:DA162" si="113">INTERCEPT(BS152:BS159,$D129:$D136)</f>
        <v>#DIV/0!</v>
      </c>
      <c r="BT162" s="60" t="e">
        <f t="shared" si="113"/>
        <v>#DIV/0!</v>
      </c>
      <c r="BU162" s="60" t="e">
        <f t="shared" si="113"/>
        <v>#DIV/0!</v>
      </c>
      <c r="BV162" s="60" t="e">
        <f t="shared" si="113"/>
        <v>#DIV/0!</v>
      </c>
      <c r="BW162" s="60" t="e">
        <f t="shared" si="113"/>
        <v>#DIV/0!</v>
      </c>
      <c r="BX162" s="60" t="e">
        <f t="shared" si="113"/>
        <v>#DIV/0!</v>
      </c>
      <c r="BY162" s="60" t="e">
        <f t="shared" si="113"/>
        <v>#DIV/0!</v>
      </c>
      <c r="BZ162" s="60" t="e">
        <f t="shared" si="113"/>
        <v>#DIV/0!</v>
      </c>
      <c r="CA162" s="60" t="e">
        <f t="shared" si="113"/>
        <v>#DIV/0!</v>
      </c>
      <c r="CB162" s="60" t="e">
        <f t="shared" si="113"/>
        <v>#DIV/0!</v>
      </c>
      <c r="CC162" s="60" t="e">
        <f t="shared" si="113"/>
        <v>#DIV/0!</v>
      </c>
      <c r="CD162" s="60" t="e">
        <f t="shared" si="113"/>
        <v>#DIV/0!</v>
      </c>
      <c r="CE162" s="60" t="e">
        <f t="shared" si="113"/>
        <v>#DIV/0!</v>
      </c>
      <c r="CF162" s="60" t="e">
        <f t="shared" si="113"/>
        <v>#DIV/0!</v>
      </c>
      <c r="CG162" s="60" t="e">
        <f t="shared" si="113"/>
        <v>#DIV/0!</v>
      </c>
      <c r="CH162" s="60" t="e">
        <f t="shared" si="113"/>
        <v>#DIV/0!</v>
      </c>
      <c r="CI162" s="60" t="e">
        <f t="shared" si="113"/>
        <v>#DIV/0!</v>
      </c>
      <c r="CJ162" s="60" t="e">
        <f t="shared" si="113"/>
        <v>#DIV/0!</v>
      </c>
      <c r="CK162" s="60" t="e">
        <f t="shared" si="113"/>
        <v>#DIV/0!</v>
      </c>
      <c r="CL162" s="60" t="e">
        <f t="shared" si="113"/>
        <v>#DIV/0!</v>
      </c>
      <c r="CM162" s="60" t="e">
        <f t="shared" si="113"/>
        <v>#DIV/0!</v>
      </c>
      <c r="CN162" s="60" t="e">
        <f t="shared" si="113"/>
        <v>#DIV/0!</v>
      </c>
      <c r="CO162" s="60" t="e">
        <f t="shared" si="113"/>
        <v>#DIV/0!</v>
      </c>
      <c r="CP162" s="60" t="e">
        <f t="shared" si="113"/>
        <v>#DIV/0!</v>
      </c>
      <c r="CQ162" s="60" t="e">
        <f t="shared" si="113"/>
        <v>#DIV/0!</v>
      </c>
      <c r="CR162" s="60" t="e">
        <f t="shared" si="113"/>
        <v>#DIV/0!</v>
      </c>
      <c r="CS162" s="60" t="e">
        <f t="shared" si="113"/>
        <v>#DIV/0!</v>
      </c>
      <c r="CT162" s="60" t="e">
        <f t="shared" si="113"/>
        <v>#DIV/0!</v>
      </c>
      <c r="CU162" s="60" t="e">
        <f t="shared" si="113"/>
        <v>#DIV/0!</v>
      </c>
      <c r="CV162" s="60" t="e">
        <f t="shared" si="113"/>
        <v>#DIV/0!</v>
      </c>
      <c r="CW162" s="60" t="e">
        <f t="shared" si="113"/>
        <v>#DIV/0!</v>
      </c>
      <c r="CX162" s="60" t="e">
        <f t="shared" si="113"/>
        <v>#DIV/0!</v>
      </c>
      <c r="CY162" s="60" t="e">
        <f t="shared" si="113"/>
        <v>#DIV/0!</v>
      </c>
      <c r="CZ162" s="60" t="e">
        <f t="shared" si="113"/>
        <v>#DIV/0!</v>
      </c>
      <c r="DA162" s="60" t="e">
        <f t="shared" si="113"/>
        <v>#DIV/0!</v>
      </c>
    </row>
    <row r="170" spans="4:105">
      <c r="D170" s="81" t="s">
        <v>170</v>
      </c>
    </row>
    <row r="171" spans="4:105">
      <c r="D171" s="81" t="s">
        <v>175</v>
      </c>
      <c r="E171" t="s">
        <v>171</v>
      </c>
      <c r="F171">
        <f t="shared" ref="F171:Z171" si="114">F$15</f>
        <v>0</v>
      </c>
      <c r="G171">
        <f t="shared" si="114"/>
        <v>0</v>
      </c>
      <c r="H171">
        <f t="shared" si="114"/>
        <v>0</v>
      </c>
      <c r="I171">
        <f t="shared" si="114"/>
        <v>0</v>
      </c>
      <c r="J171">
        <f t="shared" si="114"/>
        <v>0</v>
      </c>
      <c r="K171">
        <f t="shared" si="114"/>
        <v>0</v>
      </c>
      <c r="L171">
        <f t="shared" si="114"/>
        <v>0</v>
      </c>
      <c r="M171">
        <f t="shared" si="114"/>
        <v>0</v>
      </c>
      <c r="N171">
        <f t="shared" si="114"/>
        <v>0</v>
      </c>
      <c r="O171">
        <f t="shared" si="114"/>
        <v>0</v>
      </c>
      <c r="P171">
        <f t="shared" si="114"/>
        <v>0</v>
      </c>
      <c r="Q171">
        <f t="shared" si="114"/>
        <v>0</v>
      </c>
      <c r="R171">
        <f t="shared" si="114"/>
        <v>0</v>
      </c>
      <c r="S171">
        <f t="shared" si="114"/>
        <v>0</v>
      </c>
      <c r="T171">
        <f t="shared" si="114"/>
        <v>0</v>
      </c>
      <c r="U171">
        <f t="shared" si="114"/>
        <v>0</v>
      </c>
      <c r="V171">
        <f t="shared" si="114"/>
        <v>0</v>
      </c>
      <c r="W171">
        <f t="shared" si="114"/>
        <v>0</v>
      </c>
      <c r="X171">
        <f t="shared" si="114"/>
        <v>0</v>
      </c>
      <c r="Y171">
        <f t="shared" si="114"/>
        <v>0</v>
      </c>
      <c r="Z171">
        <f t="shared" si="114"/>
        <v>0</v>
      </c>
    </row>
    <row r="172" spans="4:105">
      <c r="E172" t="s">
        <v>172</v>
      </c>
      <c r="F172" t="e">
        <f>F$150</f>
        <v>#NUM!</v>
      </c>
      <c r="G172" t="e">
        <f t="shared" ref="G172:BR172" si="115">G$150</f>
        <v>#NUM!</v>
      </c>
      <c r="H172" t="e">
        <f t="shared" si="115"/>
        <v>#NUM!</v>
      </c>
      <c r="I172" t="e">
        <f t="shared" si="115"/>
        <v>#NUM!</v>
      </c>
      <c r="J172" t="e">
        <f t="shared" si="115"/>
        <v>#NUM!</v>
      </c>
      <c r="K172" t="e">
        <f t="shared" si="115"/>
        <v>#NUM!</v>
      </c>
      <c r="L172" t="e">
        <f t="shared" si="115"/>
        <v>#NUM!</v>
      </c>
      <c r="M172" t="e">
        <f t="shared" si="115"/>
        <v>#NUM!</v>
      </c>
      <c r="N172" t="e">
        <f t="shared" si="115"/>
        <v>#NUM!</v>
      </c>
      <c r="O172" t="e">
        <f t="shared" si="115"/>
        <v>#NUM!</v>
      </c>
      <c r="P172" t="e">
        <f t="shared" si="115"/>
        <v>#NUM!</v>
      </c>
      <c r="Q172" t="e">
        <f t="shared" si="115"/>
        <v>#NUM!</v>
      </c>
      <c r="R172" t="e">
        <f t="shared" si="115"/>
        <v>#NUM!</v>
      </c>
      <c r="S172" t="e">
        <f t="shared" si="115"/>
        <v>#NUM!</v>
      </c>
      <c r="T172" t="e">
        <f t="shared" si="115"/>
        <v>#NUM!</v>
      </c>
      <c r="U172" t="e">
        <f t="shared" si="115"/>
        <v>#NUM!</v>
      </c>
      <c r="V172" t="e">
        <f t="shared" si="115"/>
        <v>#NUM!</v>
      </c>
      <c r="W172" t="e">
        <f t="shared" si="115"/>
        <v>#NUM!</v>
      </c>
      <c r="X172" t="e">
        <f t="shared" si="115"/>
        <v>#NUM!</v>
      </c>
      <c r="Y172" t="e">
        <f t="shared" si="115"/>
        <v>#NUM!</v>
      </c>
      <c r="Z172" t="e">
        <f t="shared" si="115"/>
        <v>#NUM!</v>
      </c>
      <c r="AA172" t="e">
        <f t="shared" si="115"/>
        <v>#NUM!</v>
      </c>
      <c r="AB172" t="e">
        <f t="shared" si="115"/>
        <v>#NUM!</v>
      </c>
      <c r="AC172" t="e">
        <f t="shared" si="115"/>
        <v>#NUM!</v>
      </c>
      <c r="AD172" t="e">
        <f t="shared" si="115"/>
        <v>#NUM!</v>
      </c>
      <c r="AE172" t="e">
        <f t="shared" si="115"/>
        <v>#NUM!</v>
      </c>
      <c r="AF172" t="e">
        <f t="shared" si="115"/>
        <v>#NUM!</v>
      </c>
      <c r="AG172" t="e">
        <f t="shared" si="115"/>
        <v>#NUM!</v>
      </c>
      <c r="AH172" t="e">
        <f t="shared" si="115"/>
        <v>#NUM!</v>
      </c>
      <c r="AI172" t="e">
        <f t="shared" si="115"/>
        <v>#NUM!</v>
      </c>
      <c r="AJ172" t="e">
        <f t="shared" si="115"/>
        <v>#NUM!</v>
      </c>
      <c r="AK172" t="e">
        <f t="shared" si="115"/>
        <v>#NUM!</v>
      </c>
      <c r="AL172" t="e">
        <f t="shared" si="115"/>
        <v>#NUM!</v>
      </c>
      <c r="AM172" t="e">
        <f t="shared" si="115"/>
        <v>#NUM!</v>
      </c>
      <c r="AN172" t="e">
        <f t="shared" si="115"/>
        <v>#NUM!</v>
      </c>
      <c r="AO172" t="e">
        <f t="shared" si="115"/>
        <v>#NUM!</v>
      </c>
      <c r="AP172" t="e">
        <f t="shared" si="115"/>
        <v>#NUM!</v>
      </c>
      <c r="AQ172" t="e">
        <f t="shared" si="115"/>
        <v>#NUM!</v>
      </c>
      <c r="AR172" t="e">
        <f t="shared" si="115"/>
        <v>#NUM!</v>
      </c>
      <c r="AS172" t="e">
        <f t="shared" si="115"/>
        <v>#NUM!</v>
      </c>
      <c r="AT172" t="e">
        <f t="shared" si="115"/>
        <v>#NUM!</v>
      </c>
      <c r="AU172" t="e">
        <f t="shared" si="115"/>
        <v>#NUM!</v>
      </c>
      <c r="AV172" t="e">
        <f t="shared" si="115"/>
        <v>#NUM!</v>
      </c>
      <c r="AW172" t="e">
        <f t="shared" si="115"/>
        <v>#NUM!</v>
      </c>
      <c r="AX172" t="e">
        <f t="shared" si="115"/>
        <v>#NUM!</v>
      </c>
      <c r="AY172" t="e">
        <f t="shared" si="115"/>
        <v>#NUM!</v>
      </c>
      <c r="AZ172" t="e">
        <f t="shared" si="115"/>
        <v>#NUM!</v>
      </c>
      <c r="BA172" t="e">
        <f t="shared" si="115"/>
        <v>#NUM!</v>
      </c>
      <c r="BB172" t="e">
        <f t="shared" si="115"/>
        <v>#NUM!</v>
      </c>
      <c r="BC172" t="e">
        <f t="shared" si="115"/>
        <v>#NUM!</v>
      </c>
      <c r="BD172" t="e">
        <f t="shared" si="115"/>
        <v>#NUM!</v>
      </c>
      <c r="BE172" t="e">
        <f t="shared" si="115"/>
        <v>#NUM!</v>
      </c>
      <c r="BF172" t="e">
        <f t="shared" si="115"/>
        <v>#NUM!</v>
      </c>
      <c r="BG172" t="e">
        <f t="shared" si="115"/>
        <v>#NUM!</v>
      </c>
      <c r="BH172" t="e">
        <f t="shared" si="115"/>
        <v>#NUM!</v>
      </c>
      <c r="BI172" t="e">
        <f t="shared" si="115"/>
        <v>#NUM!</v>
      </c>
      <c r="BJ172" t="e">
        <f t="shared" si="115"/>
        <v>#NUM!</v>
      </c>
      <c r="BK172" t="e">
        <f t="shared" si="115"/>
        <v>#NUM!</v>
      </c>
      <c r="BL172" t="e">
        <f t="shared" si="115"/>
        <v>#NUM!</v>
      </c>
      <c r="BM172" t="e">
        <f t="shared" si="115"/>
        <v>#NUM!</v>
      </c>
      <c r="BN172" t="e">
        <f t="shared" si="115"/>
        <v>#NUM!</v>
      </c>
      <c r="BO172" t="e">
        <f t="shared" si="115"/>
        <v>#NUM!</v>
      </c>
      <c r="BP172" t="e">
        <f t="shared" si="115"/>
        <v>#NUM!</v>
      </c>
      <c r="BQ172" t="e">
        <f t="shared" si="115"/>
        <v>#NUM!</v>
      </c>
      <c r="BR172" t="e">
        <f t="shared" si="115"/>
        <v>#NUM!</v>
      </c>
      <c r="BS172" t="e">
        <f t="shared" ref="BS172:DA172" si="116">BS$150</f>
        <v>#NUM!</v>
      </c>
      <c r="BT172" t="e">
        <f t="shared" si="116"/>
        <v>#NUM!</v>
      </c>
      <c r="BU172" t="e">
        <f t="shared" si="116"/>
        <v>#NUM!</v>
      </c>
      <c r="BV172" t="e">
        <f t="shared" si="116"/>
        <v>#NUM!</v>
      </c>
      <c r="BW172" t="e">
        <f t="shared" si="116"/>
        <v>#NUM!</v>
      </c>
      <c r="BX172" t="e">
        <f t="shared" si="116"/>
        <v>#NUM!</v>
      </c>
      <c r="BY172" t="e">
        <f t="shared" si="116"/>
        <v>#NUM!</v>
      </c>
      <c r="BZ172" t="e">
        <f t="shared" si="116"/>
        <v>#NUM!</v>
      </c>
      <c r="CA172" t="e">
        <f t="shared" si="116"/>
        <v>#NUM!</v>
      </c>
      <c r="CB172" t="e">
        <f t="shared" si="116"/>
        <v>#NUM!</v>
      </c>
      <c r="CC172" t="e">
        <f t="shared" si="116"/>
        <v>#NUM!</v>
      </c>
      <c r="CD172" t="e">
        <f t="shared" si="116"/>
        <v>#NUM!</v>
      </c>
      <c r="CE172" t="e">
        <f t="shared" si="116"/>
        <v>#NUM!</v>
      </c>
      <c r="CF172" t="e">
        <f t="shared" si="116"/>
        <v>#NUM!</v>
      </c>
      <c r="CG172" t="e">
        <f t="shared" si="116"/>
        <v>#NUM!</v>
      </c>
      <c r="CH172" t="e">
        <f t="shared" si="116"/>
        <v>#NUM!</v>
      </c>
      <c r="CI172" t="e">
        <f t="shared" si="116"/>
        <v>#NUM!</v>
      </c>
      <c r="CJ172" t="e">
        <f t="shared" si="116"/>
        <v>#NUM!</v>
      </c>
      <c r="CK172" t="e">
        <f t="shared" si="116"/>
        <v>#NUM!</v>
      </c>
      <c r="CL172" t="e">
        <f t="shared" si="116"/>
        <v>#NUM!</v>
      </c>
      <c r="CM172" t="e">
        <f t="shared" si="116"/>
        <v>#NUM!</v>
      </c>
      <c r="CN172" t="e">
        <f t="shared" si="116"/>
        <v>#NUM!</v>
      </c>
      <c r="CO172" t="e">
        <f t="shared" si="116"/>
        <v>#NUM!</v>
      </c>
      <c r="CP172" t="e">
        <f t="shared" si="116"/>
        <v>#NUM!</v>
      </c>
      <c r="CQ172" t="e">
        <f t="shared" si="116"/>
        <v>#NUM!</v>
      </c>
      <c r="CR172" t="e">
        <f t="shared" si="116"/>
        <v>#NUM!</v>
      </c>
      <c r="CS172" t="e">
        <f t="shared" si="116"/>
        <v>#NUM!</v>
      </c>
      <c r="CT172" t="e">
        <f t="shared" si="116"/>
        <v>#NUM!</v>
      </c>
      <c r="CU172" t="e">
        <f t="shared" si="116"/>
        <v>#NUM!</v>
      </c>
      <c r="CV172" t="e">
        <f t="shared" si="116"/>
        <v>#NUM!</v>
      </c>
      <c r="CW172" t="e">
        <f t="shared" si="116"/>
        <v>#NUM!</v>
      </c>
      <c r="CX172" t="e">
        <f t="shared" si="116"/>
        <v>#NUM!</v>
      </c>
      <c r="CY172" t="e">
        <f t="shared" si="116"/>
        <v>#NUM!</v>
      </c>
      <c r="CZ172" t="e">
        <f t="shared" si="116"/>
        <v>#NUM!</v>
      </c>
      <c r="DA172" t="e">
        <f t="shared" si="116"/>
        <v>#NUM!</v>
      </c>
    </row>
    <row r="173" spans="4:105" ht="15.75">
      <c r="E173" t="s">
        <v>173</v>
      </c>
      <c r="F173" s="60" t="e">
        <f>F$149</f>
        <v>#NUM!</v>
      </c>
      <c r="G173" s="60" t="e">
        <f>G$149</f>
        <v>#NUM!</v>
      </c>
      <c r="H173" s="60" t="e">
        <f t="shared" ref="H173:BS173" si="117">H$149</f>
        <v>#NUM!</v>
      </c>
      <c r="I173" s="60" t="e">
        <f t="shared" si="117"/>
        <v>#NUM!</v>
      </c>
      <c r="J173" s="60" t="e">
        <f t="shared" si="117"/>
        <v>#NUM!</v>
      </c>
      <c r="K173" s="60" t="e">
        <f t="shared" si="117"/>
        <v>#NUM!</v>
      </c>
      <c r="L173" s="60" t="e">
        <f t="shared" si="117"/>
        <v>#NUM!</v>
      </c>
      <c r="M173" s="60" t="e">
        <f t="shared" si="117"/>
        <v>#NUM!</v>
      </c>
      <c r="N173" s="60" t="e">
        <f t="shared" si="117"/>
        <v>#NUM!</v>
      </c>
      <c r="O173" s="60" t="e">
        <f t="shared" si="117"/>
        <v>#NUM!</v>
      </c>
      <c r="P173" s="60" t="e">
        <f t="shared" si="117"/>
        <v>#NUM!</v>
      </c>
      <c r="Q173" s="60" t="e">
        <f t="shared" si="117"/>
        <v>#NUM!</v>
      </c>
      <c r="R173" s="60" t="e">
        <f t="shared" si="117"/>
        <v>#NUM!</v>
      </c>
      <c r="S173" s="60" t="e">
        <f t="shared" si="117"/>
        <v>#NUM!</v>
      </c>
      <c r="T173" s="60" t="e">
        <f t="shared" si="117"/>
        <v>#NUM!</v>
      </c>
      <c r="U173" s="60" t="e">
        <f t="shared" si="117"/>
        <v>#NUM!</v>
      </c>
      <c r="V173" s="60" t="e">
        <f t="shared" si="117"/>
        <v>#NUM!</v>
      </c>
      <c r="W173" s="60" t="e">
        <f t="shared" si="117"/>
        <v>#NUM!</v>
      </c>
      <c r="X173" s="60" t="e">
        <f t="shared" si="117"/>
        <v>#NUM!</v>
      </c>
      <c r="Y173" s="60" t="e">
        <f t="shared" si="117"/>
        <v>#NUM!</v>
      </c>
      <c r="Z173" s="60" t="e">
        <f t="shared" si="117"/>
        <v>#NUM!</v>
      </c>
      <c r="AA173" s="60" t="e">
        <f t="shared" si="117"/>
        <v>#NUM!</v>
      </c>
      <c r="AB173" s="60" t="e">
        <f t="shared" si="117"/>
        <v>#NUM!</v>
      </c>
      <c r="AC173" s="60" t="e">
        <f t="shared" si="117"/>
        <v>#NUM!</v>
      </c>
      <c r="AD173" s="60" t="e">
        <f t="shared" si="117"/>
        <v>#NUM!</v>
      </c>
      <c r="AE173" s="60" t="e">
        <f t="shared" si="117"/>
        <v>#NUM!</v>
      </c>
      <c r="AF173" s="60" t="e">
        <f t="shared" si="117"/>
        <v>#NUM!</v>
      </c>
      <c r="AG173" s="60" t="e">
        <f t="shared" si="117"/>
        <v>#NUM!</v>
      </c>
      <c r="AH173" s="60" t="e">
        <f t="shared" si="117"/>
        <v>#NUM!</v>
      </c>
      <c r="AI173" s="60" t="e">
        <f t="shared" si="117"/>
        <v>#NUM!</v>
      </c>
      <c r="AJ173" s="60" t="e">
        <f t="shared" si="117"/>
        <v>#NUM!</v>
      </c>
      <c r="AK173" s="60" t="e">
        <f t="shared" si="117"/>
        <v>#NUM!</v>
      </c>
      <c r="AL173" s="60" t="e">
        <f t="shared" si="117"/>
        <v>#NUM!</v>
      </c>
      <c r="AM173" s="60" t="e">
        <f t="shared" si="117"/>
        <v>#NUM!</v>
      </c>
      <c r="AN173" s="60" t="e">
        <f t="shared" si="117"/>
        <v>#NUM!</v>
      </c>
      <c r="AO173" s="60" t="e">
        <f t="shared" si="117"/>
        <v>#NUM!</v>
      </c>
      <c r="AP173" s="60" t="e">
        <f t="shared" si="117"/>
        <v>#NUM!</v>
      </c>
      <c r="AQ173" s="60" t="e">
        <f t="shared" si="117"/>
        <v>#NUM!</v>
      </c>
      <c r="AR173" s="60" t="e">
        <f t="shared" si="117"/>
        <v>#NUM!</v>
      </c>
      <c r="AS173" s="60" t="e">
        <f t="shared" si="117"/>
        <v>#NUM!</v>
      </c>
      <c r="AT173" s="60" t="e">
        <f t="shared" si="117"/>
        <v>#NUM!</v>
      </c>
      <c r="AU173" s="60" t="e">
        <f t="shared" si="117"/>
        <v>#NUM!</v>
      </c>
      <c r="AV173" s="60" t="e">
        <f t="shared" si="117"/>
        <v>#NUM!</v>
      </c>
      <c r="AW173" s="60" t="e">
        <f t="shared" si="117"/>
        <v>#NUM!</v>
      </c>
      <c r="AX173" s="60" t="e">
        <f t="shared" si="117"/>
        <v>#NUM!</v>
      </c>
      <c r="AY173" s="60" t="e">
        <f t="shared" si="117"/>
        <v>#NUM!</v>
      </c>
      <c r="AZ173" s="60" t="e">
        <f t="shared" si="117"/>
        <v>#NUM!</v>
      </c>
      <c r="BA173" s="60" t="e">
        <f t="shared" si="117"/>
        <v>#NUM!</v>
      </c>
      <c r="BB173" s="60" t="e">
        <f t="shared" si="117"/>
        <v>#NUM!</v>
      </c>
      <c r="BC173" s="60" t="e">
        <f t="shared" si="117"/>
        <v>#NUM!</v>
      </c>
      <c r="BD173" s="60" t="e">
        <f t="shared" si="117"/>
        <v>#NUM!</v>
      </c>
      <c r="BE173" s="60" t="e">
        <f t="shared" si="117"/>
        <v>#NUM!</v>
      </c>
      <c r="BF173" s="60" t="e">
        <f t="shared" si="117"/>
        <v>#NUM!</v>
      </c>
      <c r="BG173" s="60" t="e">
        <f t="shared" si="117"/>
        <v>#NUM!</v>
      </c>
      <c r="BH173" s="60" t="e">
        <f t="shared" si="117"/>
        <v>#NUM!</v>
      </c>
      <c r="BI173" s="60" t="e">
        <f t="shared" si="117"/>
        <v>#NUM!</v>
      </c>
      <c r="BJ173" s="60" t="e">
        <f t="shared" si="117"/>
        <v>#NUM!</v>
      </c>
      <c r="BK173" s="60" t="e">
        <f t="shared" si="117"/>
        <v>#NUM!</v>
      </c>
      <c r="BL173" s="60" t="e">
        <f t="shared" si="117"/>
        <v>#NUM!</v>
      </c>
      <c r="BM173" s="60" t="e">
        <f t="shared" si="117"/>
        <v>#NUM!</v>
      </c>
      <c r="BN173" s="60" t="e">
        <f t="shared" si="117"/>
        <v>#NUM!</v>
      </c>
      <c r="BO173" s="60" t="e">
        <f t="shared" si="117"/>
        <v>#NUM!</v>
      </c>
      <c r="BP173" s="60" t="e">
        <f t="shared" si="117"/>
        <v>#NUM!</v>
      </c>
      <c r="BQ173" s="60" t="e">
        <f t="shared" si="117"/>
        <v>#NUM!</v>
      </c>
      <c r="BR173" s="60" t="e">
        <f t="shared" si="117"/>
        <v>#NUM!</v>
      </c>
      <c r="BS173" s="60" t="e">
        <f t="shared" si="117"/>
        <v>#NUM!</v>
      </c>
      <c r="BT173" s="60" t="e">
        <f t="shared" ref="BT173:DA173" si="118">BT$149</f>
        <v>#NUM!</v>
      </c>
      <c r="BU173" s="60" t="e">
        <f t="shared" si="118"/>
        <v>#NUM!</v>
      </c>
      <c r="BV173" s="60" t="e">
        <f t="shared" si="118"/>
        <v>#NUM!</v>
      </c>
      <c r="BW173" s="60" t="e">
        <f t="shared" si="118"/>
        <v>#NUM!</v>
      </c>
      <c r="BX173" s="60" t="e">
        <f t="shared" si="118"/>
        <v>#NUM!</v>
      </c>
      <c r="BY173" s="60" t="e">
        <f t="shared" si="118"/>
        <v>#NUM!</v>
      </c>
      <c r="BZ173" s="60" t="e">
        <f t="shared" si="118"/>
        <v>#NUM!</v>
      </c>
      <c r="CA173" s="60" t="e">
        <f t="shared" si="118"/>
        <v>#NUM!</v>
      </c>
      <c r="CB173" s="60" t="e">
        <f t="shared" si="118"/>
        <v>#NUM!</v>
      </c>
      <c r="CC173" s="60" t="e">
        <f t="shared" si="118"/>
        <v>#NUM!</v>
      </c>
      <c r="CD173" s="60" t="e">
        <f t="shared" si="118"/>
        <v>#NUM!</v>
      </c>
      <c r="CE173" s="60" t="e">
        <f t="shared" si="118"/>
        <v>#NUM!</v>
      </c>
      <c r="CF173" s="60" t="e">
        <f t="shared" si="118"/>
        <v>#NUM!</v>
      </c>
      <c r="CG173" s="60" t="e">
        <f t="shared" si="118"/>
        <v>#NUM!</v>
      </c>
      <c r="CH173" s="60" t="e">
        <f t="shared" si="118"/>
        <v>#NUM!</v>
      </c>
      <c r="CI173" s="60" t="e">
        <f t="shared" si="118"/>
        <v>#NUM!</v>
      </c>
      <c r="CJ173" s="60" t="e">
        <f t="shared" si="118"/>
        <v>#NUM!</v>
      </c>
      <c r="CK173" s="60" t="e">
        <f t="shared" si="118"/>
        <v>#NUM!</v>
      </c>
      <c r="CL173" s="60" t="e">
        <f t="shared" si="118"/>
        <v>#NUM!</v>
      </c>
      <c r="CM173" s="60" t="e">
        <f t="shared" si="118"/>
        <v>#NUM!</v>
      </c>
      <c r="CN173" s="60" t="e">
        <f t="shared" si="118"/>
        <v>#NUM!</v>
      </c>
      <c r="CO173" s="60" t="e">
        <f t="shared" si="118"/>
        <v>#NUM!</v>
      </c>
      <c r="CP173" s="60" t="e">
        <f t="shared" si="118"/>
        <v>#NUM!</v>
      </c>
      <c r="CQ173" s="60" t="e">
        <f t="shared" si="118"/>
        <v>#NUM!</v>
      </c>
      <c r="CR173" s="60" t="e">
        <f t="shared" si="118"/>
        <v>#NUM!</v>
      </c>
      <c r="CS173" s="60" t="e">
        <f t="shared" si="118"/>
        <v>#NUM!</v>
      </c>
      <c r="CT173" s="60" t="e">
        <f t="shared" si="118"/>
        <v>#NUM!</v>
      </c>
      <c r="CU173" s="60" t="e">
        <f t="shared" si="118"/>
        <v>#NUM!</v>
      </c>
      <c r="CV173" s="60" t="e">
        <f t="shared" si="118"/>
        <v>#NUM!</v>
      </c>
      <c r="CW173" s="60" t="e">
        <f t="shared" si="118"/>
        <v>#NUM!</v>
      </c>
      <c r="CX173" s="60" t="e">
        <f t="shared" si="118"/>
        <v>#NUM!</v>
      </c>
      <c r="CY173" s="60" t="e">
        <f t="shared" si="118"/>
        <v>#NUM!</v>
      </c>
      <c r="CZ173" s="60" t="e">
        <f t="shared" si="118"/>
        <v>#NUM!</v>
      </c>
      <c r="DA173" s="60" t="e">
        <f t="shared" si="118"/>
        <v>#NUM!</v>
      </c>
    </row>
    <row r="174" spans="4:105" ht="15.75">
      <c r="E174" t="s">
        <v>174</v>
      </c>
      <c r="F174" s="60" t="e">
        <f>F$162</f>
        <v>#DIV/0!</v>
      </c>
      <c r="G174" s="60" t="e">
        <f>G$162</f>
        <v>#DIV/0!</v>
      </c>
      <c r="H174" s="60" t="e">
        <f t="shared" ref="H174:BS174" si="119">H$162</f>
        <v>#DIV/0!</v>
      </c>
      <c r="I174" s="60" t="e">
        <f t="shared" si="119"/>
        <v>#DIV/0!</v>
      </c>
      <c r="J174" s="60" t="e">
        <f t="shared" si="119"/>
        <v>#DIV/0!</v>
      </c>
      <c r="K174" s="60" t="e">
        <f t="shared" si="119"/>
        <v>#DIV/0!</v>
      </c>
      <c r="L174" s="60" t="e">
        <f t="shared" si="119"/>
        <v>#DIV/0!</v>
      </c>
      <c r="M174" s="60" t="e">
        <f t="shared" si="119"/>
        <v>#DIV/0!</v>
      </c>
      <c r="N174" s="60" t="e">
        <f t="shared" si="119"/>
        <v>#DIV/0!</v>
      </c>
      <c r="O174" s="60" t="e">
        <f t="shared" si="119"/>
        <v>#DIV/0!</v>
      </c>
      <c r="P174" s="60" t="e">
        <f t="shared" si="119"/>
        <v>#DIV/0!</v>
      </c>
      <c r="Q174" s="60" t="e">
        <f t="shared" si="119"/>
        <v>#DIV/0!</v>
      </c>
      <c r="R174" s="60" t="e">
        <f t="shared" si="119"/>
        <v>#DIV/0!</v>
      </c>
      <c r="S174" s="60" t="e">
        <f t="shared" si="119"/>
        <v>#DIV/0!</v>
      </c>
      <c r="T174" s="60" t="e">
        <f t="shared" si="119"/>
        <v>#DIV/0!</v>
      </c>
      <c r="U174" s="60" t="e">
        <f t="shared" si="119"/>
        <v>#DIV/0!</v>
      </c>
      <c r="V174" s="60" t="e">
        <f t="shared" si="119"/>
        <v>#DIV/0!</v>
      </c>
      <c r="W174" s="60" t="e">
        <f t="shared" si="119"/>
        <v>#DIV/0!</v>
      </c>
      <c r="X174" s="60" t="e">
        <f t="shared" si="119"/>
        <v>#DIV/0!</v>
      </c>
      <c r="Y174" s="60" t="e">
        <f t="shared" si="119"/>
        <v>#DIV/0!</v>
      </c>
      <c r="Z174" s="60" t="e">
        <f t="shared" si="119"/>
        <v>#DIV/0!</v>
      </c>
      <c r="AA174" s="60" t="e">
        <f t="shared" si="119"/>
        <v>#DIV/0!</v>
      </c>
      <c r="AB174" s="60" t="e">
        <f t="shared" si="119"/>
        <v>#DIV/0!</v>
      </c>
      <c r="AC174" s="60" t="e">
        <f t="shared" si="119"/>
        <v>#DIV/0!</v>
      </c>
      <c r="AD174" s="60" t="e">
        <f t="shared" si="119"/>
        <v>#DIV/0!</v>
      </c>
      <c r="AE174" s="60" t="e">
        <f t="shared" si="119"/>
        <v>#DIV/0!</v>
      </c>
      <c r="AF174" s="60" t="e">
        <f t="shared" si="119"/>
        <v>#DIV/0!</v>
      </c>
      <c r="AG174" s="60" t="e">
        <f t="shared" si="119"/>
        <v>#DIV/0!</v>
      </c>
      <c r="AH174" s="60" t="e">
        <f t="shared" si="119"/>
        <v>#DIV/0!</v>
      </c>
      <c r="AI174" s="60" t="e">
        <f t="shared" si="119"/>
        <v>#DIV/0!</v>
      </c>
      <c r="AJ174" s="60" t="e">
        <f t="shared" si="119"/>
        <v>#DIV/0!</v>
      </c>
      <c r="AK174" s="60" t="e">
        <f t="shared" si="119"/>
        <v>#DIV/0!</v>
      </c>
      <c r="AL174" s="60" t="e">
        <f t="shared" si="119"/>
        <v>#DIV/0!</v>
      </c>
      <c r="AM174" s="60" t="e">
        <f t="shared" si="119"/>
        <v>#DIV/0!</v>
      </c>
      <c r="AN174" s="60" t="e">
        <f t="shared" si="119"/>
        <v>#DIV/0!</v>
      </c>
      <c r="AO174" s="60" t="e">
        <f t="shared" si="119"/>
        <v>#DIV/0!</v>
      </c>
      <c r="AP174" s="60" t="e">
        <f t="shared" si="119"/>
        <v>#DIV/0!</v>
      </c>
      <c r="AQ174" s="60" t="e">
        <f t="shared" si="119"/>
        <v>#DIV/0!</v>
      </c>
      <c r="AR174" s="60" t="e">
        <f t="shared" si="119"/>
        <v>#DIV/0!</v>
      </c>
      <c r="AS174" s="60" t="e">
        <f t="shared" si="119"/>
        <v>#DIV/0!</v>
      </c>
      <c r="AT174" s="60" t="e">
        <f t="shared" si="119"/>
        <v>#DIV/0!</v>
      </c>
      <c r="AU174" s="60" t="e">
        <f t="shared" si="119"/>
        <v>#DIV/0!</v>
      </c>
      <c r="AV174" s="60" t="e">
        <f t="shared" si="119"/>
        <v>#DIV/0!</v>
      </c>
      <c r="AW174" s="60" t="e">
        <f t="shared" si="119"/>
        <v>#DIV/0!</v>
      </c>
      <c r="AX174" s="60" t="e">
        <f t="shared" si="119"/>
        <v>#DIV/0!</v>
      </c>
      <c r="AY174" s="60" t="e">
        <f t="shared" si="119"/>
        <v>#DIV/0!</v>
      </c>
      <c r="AZ174" s="60" t="e">
        <f t="shared" si="119"/>
        <v>#DIV/0!</v>
      </c>
      <c r="BA174" s="60" t="e">
        <f t="shared" si="119"/>
        <v>#DIV/0!</v>
      </c>
      <c r="BB174" s="60" t="e">
        <f t="shared" si="119"/>
        <v>#DIV/0!</v>
      </c>
      <c r="BC174" s="60" t="e">
        <f t="shared" si="119"/>
        <v>#DIV/0!</v>
      </c>
      <c r="BD174" s="60" t="e">
        <f t="shared" si="119"/>
        <v>#DIV/0!</v>
      </c>
      <c r="BE174" s="60" t="e">
        <f t="shared" si="119"/>
        <v>#DIV/0!</v>
      </c>
      <c r="BF174" s="60" t="e">
        <f t="shared" si="119"/>
        <v>#DIV/0!</v>
      </c>
      <c r="BG174" s="60" t="e">
        <f t="shared" si="119"/>
        <v>#DIV/0!</v>
      </c>
      <c r="BH174" s="60" t="e">
        <f t="shared" si="119"/>
        <v>#DIV/0!</v>
      </c>
      <c r="BI174" s="60" t="e">
        <f t="shared" si="119"/>
        <v>#DIV/0!</v>
      </c>
      <c r="BJ174" s="60" t="e">
        <f t="shared" si="119"/>
        <v>#DIV/0!</v>
      </c>
      <c r="BK174" s="60" t="e">
        <f t="shared" si="119"/>
        <v>#DIV/0!</v>
      </c>
      <c r="BL174" s="60" t="e">
        <f t="shared" si="119"/>
        <v>#DIV/0!</v>
      </c>
      <c r="BM174" s="60" t="e">
        <f t="shared" si="119"/>
        <v>#DIV/0!</v>
      </c>
      <c r="BN174" s="60" t="e">
        <f t="shared" si="119"/>
        <v>#DIV/0!</v>
      </c>
      <c r="BO174" s="60" t="e">
        <f t="shared" si="119"/>
        <v>#DIV/0!</v>
      </c>
      <c r="BP174" s="60" t="e">
        <f t="shared" si="119"/>
        <v>#DIV/0!</v>
      </c>
      <c r="BQ174" s="60" t="e">
        <f t="shared" si="119"/>
        <v>#DIV/0!</v>
      </c>
      <c r="BR174" s="60" t="e">
        <f t="shared" si="119"/>
        <v>#DIV/0!</v>
      </c>
      <c r="BS174" s="60" t="e">
        <f t="shared" si="119"/>
        <v>#DIV/0!</v>
      </c>
      <c r="BT174" s="60" t="e">
        <f t="shared" ref="BT174:DA174" si="120">BT$162</f>
        <v>#DIV/0!</v>
      </c>
      <c r="BU174" s="60" t="e">
        <f t="shared" si="120"/>
        <v>#DIV/0!</v>
      </c>
      <c r="BV174" s="60" t="e">
        <f t="shared" si="120"/>
        <v>#DIV/0!</v>
      </c>
      <c r="BW174" s="60" t="e">
        <f t="shared" si="120"/>
        <v>#DIV/0!</v>
      </c>
      <c r="BX174" s="60" t="e">
        <f t="shared" si="120"/>
        <v>#DIV/0!</v>
      </c>
      <c r="BY174" s="60" t="e">
        <f t="shared" si="120"/>
        <v>#DIV/0!</v>
      </c>
      <c r="BZ174" s="60" t="e">
        <f t="shared" si="120"/>
        <v>#DIV/0!</v>
      </c>
      <c r="CA174" s="60" t="e">
        <f t="shared" si="120"/>
        <v>#DIV/0!</v>
      </c>
      <c r="CB174" s="60" t="e">
        <f t="shared" si="120"/>
        <v>#DIV/0!</v>
      </c>
      <c r="CC174" s="60" t="e">
        <f t="shared" si="120"/>
        <v>#DIV/0!</v>
      </c>
      <c r="CD174" s="60" t="e">
        <f t="shared" si="120"/>
        <v>#DIV/0!</v>
      </c>
      <c r="CE174" s="60" t="e">
        <f t="shared" si="120"/>
        <v>#DIV/0!</v>
      </c>
      <c r="CF174" s="60" t="e">
        <f t="shared" si="120"/>
        <v>#DIV/0!</v>
      </c>
      <c r="CG174" s="60" t="e">
        <f t="shared" si="120"/>
        <v>#DIV/0!</v>
      </c>
      <c r="CH174" s="60" t="e">
        <f t="shared" si="120"/>
        <v>#DIV/0!</v>
      </c>
      <c r="CI174" s="60" t="e">
        <f t="shared" si="120"/>
        <v>#DIV/0!</v>
      </c>
      <c r="CJ174" s="60" t="e">
        <f t="shared" si="120"/>
        <v>#DIV/0!</v>
      </c>
      <c r="CK174" s="60" t="e">
        <f t="shared" si="120"/>
        <v>#DIV/0!</v>
      </c>
      <c r="CL174" s="60" t="e">
        <f t="shared" si="120"/>
        <v>#DIV/0!</v>
      </c>
      <c r="CM174" s="60" t="e">
        <f t="shared" si="120"/>
        <v>#DIV/0!</v>
      </c>
      <c r="CN174" s="60" t="e">
        <f t="shared" si="120"/>
        <v>#DIV/0!</v>
      </c>
      <c r="CO174" s="60" t="e">
        <f t="shared" si="120"/>
        <v>#DIV/0!</v>
      </c>
      <c r="CP174" s="60" t="e">
        <f t="shared" si="120"/>
        <v>#DIV/0!</v>
      </c>
      <c r="CQ174" s="60" t="e">
        <f t="shared" si="120"/>
        <v>#DIV/0!</v>
      </c>
      <c r="CR174" s="60" t="e">
        <f t="shared" si="120"/>
        <v>#DIV/0!</v>
      </c>
      <c r="CS174" s="60" t="e">
        <f t="shared" si="120"/>
        <v>#DIV/0!</v>
      </c>
      <c r="CT174" s="60" t="e">
        <f t="shared" si="120"/>
        <v>#DIV/0!</v>
      </c>
      <c r="CU174" s="60" t="e">
        <f t="shared" si="120"/>
        <v>#DIV/0!</v>
      </c>
      <c r="CV174" s="60" t="e">
        <f t="shared" si="120"/>
        <v>#DIV/0!</v>
      </c>
      <c r="CW174" s="60" t="e">
        <f t="shared" si="120"/>
        <v>#DIV/0!</v>
      </c>
      <c r="CX174" s="60" t="e">
        <f t="shared" si="120"/>
        <v>#DIV/0!</v>
      </c>
      <c r="CY174" s="60" t="e">
        <f t="shared" si="120"/>
        <v>#DIV/0!</v>
      </c>
      <c r="CZ174" s="60" t="e">
        <f t="shared" si="120"/>
        <v>#DIV/0!</v>
      </c>
      <c r="DA174" s="60" t="e">
        <f t="shared" si="120"/>
        <v>#DIV/0!</v>
      </c>
    </row>
    <row r="177" spans="4:9" ht="15.75">
      <c r="D177" s="81" t="s">
        <v>176</v>
      </c>
      <c r="E177" s="84" t="s">
        <v>171</v>
      </c>
      <c r="F177" s="81" t="s">
        <v>172</v>
      </c>
      <c r="G177" s="81" t="s">
        <v>177</v>
      </c>
      <c r="H177" s="81" t="s">
        <v>178</v>
      </c>
      <c r="I177" s="81" t="s">
        <v>179</v>
      </c>
    </row>
    <row r="178" spans="4:9">
      <c r="E178">
        <f>F$15</f>
        <v>0</v>
      </c>
      <c r="F178" t="e">
        <f>F$150</f>
        <v>#NUM!</v>
      </c>
      <c r="G178" s="60" t="e">
        <f>F$149</f>
        <v>#NUM!</v>
      </c>
      <c r="H178" s="60" t="e">
        <f>F$162</f>
        <v>#DIV/0!</v>
      </c>
      <c r="I178" s="2" t="e">
        <f>G178/H178</f>
        <v>#NUM!</v>
      </c>
    </row>
    <row r="179" spans="4:9">
      <c r="E179">
        <f>G$15</f>
        <v>0</v>
      </c>
      <c r="F179" t="e">
        <f>G$150</f>
        <v>#NUM!</v>
      </c>
      <c r="G179" s="60" t="e">
        <f>G$149</f>
        <v>#NUM!</v>
      </c>
      <c r="H179" s="60" t="e">
        <f>G$162</f>
        <v>#DIV/0!</v>
      </c>
      <c r="I179" s="2" t="e">
        <f t="shared" ref="I179:I242" si="121">G179/H179</f>
        <v>#NUM!</v>
      </c>
    </row>
    <row r="180" spans="4:9">
      <c r="E180">
        <f>H$15</f>
        <v>0</v>
      </c>
      <c r="F180" t="e">
        <f>H$150</f>
        <v>#NUM!</v>
      </c>
      <c r="G180" s="60" t="e">
        <f>H$149</f>
        <v>#NUM!</v>
      </c>
      <c r="H180" s="60" t="e">
        <f>H$162</f>
        <v>#DIV/0!</v>
      </c>
      <c r="I180" s="2" t="e">
        <f t="shared" si="121"/>
        <v>#NUM!</v>
      </c>
    </row>
    <row r="181" spans="4:9">
      <c r="E181">
        <f>I$15</f>
        <v>0</v>
      </c>
      <c r="F181" t="e">
        <f>I$150</f>
        <v>#NUM!</v>
      </c>
      <c r="G181" s="60" t="e">
        <f>I$149</f>
        <v>#NUM!</v>
      </c>
      <c r="H181" s="60" t="e">
        <f>I$162</f>
        <v>#DIV/0!</v>
      </c>
      <c r="I181" s="2" t="e">
        <f t="shared" si="121"/>
        <v>#NUM!</v>
      </c>
    </row>
    <row r="182" spans="4:9">
      <c r="E182">
        <f>J$15</f>
        <v>0</v>
      </c>
      <c r="F182" t="e">
        <f>J$150</f>
        <v>#NUM!</v>
      </c>
      <c r="G182" s="60" t="e">
        <f>J$149</f>
        <v>#NUM!</v>
      </c>
      <c r="H182" s="60" t="e">
        <f>J$162</f>
        <v>#DIV/0!</v>
      </c>
      <c r="I182" s="2" t="e">
        <f t="shared" si="121"/>
        <v>#NUM!</v>
      </c>
    </row>
    <row r="183" spans="4:9">
      <c r="E183">
        <f>K$15</f>
        <v>0</v>
      </c>
      <c r="F183" t="e">
        <f>K$150</f>
        <v>#NUM!</v>
      </c>
      <c r="G183" s="60" t="e">
        <f>K$149</f>
        <v>#NUM!</v>
      </c>
      <c r="H183" s="60" t="e">
        <f>K$162</f>
        <v>#DIV/0!</v>
      </c>
      <c r="I183" s="2" t="e">
        <f t="shared" si="121"/>
        <v>#NUM!</v>
      </c>
    </row>
    <row r="184" spans="4:9">
      <c r="E184">
        <f>L$15</f>
        <v>0</v>
      </c>
      <c r="F184" t="e">
        <f>L$150</f>
        <v>#NUM!</v>
      </c>
      <c r="G184" s="60" t="e">
        <f>L$149</f>
        <v>#NUM!</v>
      </c>
      <c r="H184" s="60" t="e">
        <f>L$162</f>
        <v>#DIV/0!</v>
      </c>
      <c r="I184" s="2" t="e">
        <f t="shared" si="121"/>
        <v>#NUM!</v>
      </c>
    </row>
    <row r="185" spans="4:9">
      <c r="E185">
        <f>M$15</f>
        <v>0</v>
      </c>
      <c r="F185" t="e">
        <f>M$150</f>
        <v>#NUM!</v>
      </c>
      <c r="G185" s="60" t="e">
        <f>M$149</f>
        <v>#NUM!</v>
      </c>
      <c r="H185" s="60" t="e">
        <f>M$162</f>
        <v>#DIV/0!</v>
      </c>
      <c r="I185" s="2" t="e">
        <f t="shared" si="121"/>
        <v>#NUM!</v>
      </c>
    </row>
    <row r="186" spans="4:9">
      <c r="E186">
        <f>N$15</f>
        <v>0</v>
      </c>
      <c r="F186" t="e">
        <f>N$150</f>
        <v>#NUM!</v>
      </c>
      <c r="G186" s="60" t="e">
        <f>N$149</f>
        <v>#NUM!</v>
      </c>
      <c r="H186" s="60" t="e">
        <f>N$162</f>
        <v>#DIV/0!</v>
      </c>
      <c r="I186" s="2" t="e">
        <f t="shared" si="121"/>
        <v>#NUM!</v>
      </c>
    </row>
    <row r="187" spans="4:9">
      <c r="E187">
        <f>O$15</f>
        <v>0</v>
      </c>
      <c r="F187" t="e">
        <f>O$150</f>
        <v>#NUM!</v>
      </c>
      <c r="G187" s="60" t="e">
        <f>O$149</f>
        <v>#NUM!</v>
      </c>
      <c r="H187" s="60" t="e">
        <f>O$162</f>
        <v>#DIV/0!</v>
      </c>
      <c r="I187" s="2" t="e">
        <f t="shared" si="121"/>
        <v>#NUM!</v>
      </c>
    </row>
    <row r="188" spans="4:9">
      <c r="E188">
        <f>P$15</f>
        <v>0</v>
      </c>
      <c r="F188" t="e">
        <f>P$150</f>
        <v>#NUM!</v>
      </c>
      <c r="G188" s="60" t="e">
        <f>P$149</f>
        <v>#NUM!</v>
      </c>
      <c r="H188" s="60" t="e">
        <f>P$162</f>
        <v>#DIV/0!</v>
      </c>
      <c r="I188" s="2" t="e">
        <f t="shared" si="121"/>
        <v>#NUM!</v>
      </c>
    </row>
    <row r="189" spans="4:9">
      <c r="E189">
        <f>Q$15</f>
        <v>0</v>
      </c>
      <c r="F189" t="e">
        <f>Q$150</f>
        <v>#NUM!</v>
      </c>
      <c r="G189" s="60" t="e">
        <f>Q$149</f>
        <v>#NUM!</v>
      </c>
      <c r="H189" s="60" t="e">
        <f>Q$162</f>
        <v>#DIV/0!</v>
      </c>
      <c r="I189" s="2" t="e">
        <f t="shared" si="121"/>
        <v>#NUM!</v>
      </c>
    </row>
    <row r="190" spans="4:9">
      <c r="E190">
        <f>R$15</f>
        <v>0</v>
      </c>
      <c r="F190" t="e">
        <f>R$150</f>
        <v>#NUM!</v>
      </c>
      <c r="G190" s="60" t="e">
        <f>R$149</f>
        <v>#NUM!</v>
      </c>
      <c r="H190" s="60" t="e">
        <f>R$162</f>
        <v>#DIV/0!</v>
      </c>
      <c r="I190" s="2" t="e">
        <f t="shared" si="121"/>
        <v>#NUM!</v>
      </c>
    </row>
    <row r="191" spans="4:9">
      <c r="E191">
        <f>S$15</f>
        <v>0</v>
      </c>
      <c r="F191" t="e">
        <f>S$150</f>
        <v>#NUM!</v>
      </c>
      <c r="G191" s="60" t="e">
        <f>S$149</f>
        <v>#NUM!</v>
      </c>
      <c r="H191" s="60" t="e">
        <f>S$162</f>
        <v>#DIV/0!</v>
      </c>
      <c r="I191" s="2" t="e">
        <f t="shared" si="121"/>
        <v>#NUM!</v>
      </c>
    </row>
    <row r="192" spans="4:9">
      <c r="E192">
        <f>T$15</f>
        <v>0</v>
      </c>
      <c r="F192" t="e">
        <f>T$150</f>
        <v>#NUM!</v>
      </c>
      <c r="G192" s="60" t="e">
        <f>T$149</f>
        <v>#NUM!</v>
      </c>
      <c r="H192" s="60" t="e">
        <f>T$162</f>
        <v>#DIV/0!</v>
      </c>
      <c r="I192" s="2" t="e">
        <f t="shared" si="121"/>
        <v>#NUM!</v>
      </c>
    </row>
    <row r="193" spans="5:9">
      <c r="E193">
        <f>U$15</f>
        <v>0</v>
      </c>
      <c r="F193" t="e">
        <f>U$150</f>
        <v>#NUM!</v>
      </c>
      <c r="G193" s="60" t="e">
        <f>U$149</f>
        <v>#NUM!</v>
      </c>
      <c r="H193" s="60" t="e">
        <f>U$162</f>
        <v>#DIV/0!</v>
      </c>
      <c r="I193" s="2" t="e">
        <f t="shared" si="121"/>
        <v>#NUM!</v>
      </c>
    </row>
    <row r="194" spans="5:9">
      <c r="E194">
        <f>V$15</f>
        <v>0</v>
      </c>
      <c r="F194" t="e">
        <f>V$150</f>
        <v>#NUM!</v>
      </c>
      <c r="G194" s="60" t="e">
        <f>V$149</f>
        <v>#NUM!</v>
      </c>
      <c r="H194" s="60" t="e">
        <f>V$162</f>
        <v>#DIV/0!</v>
      </c>
      <c r="I194" s="2" t="e">
        <f t="shared" si="121"/>
        <v>#NUM!</v>
      </c>
    </row>
    <row r="195" spans="5:9">
      <c r="E195">
        <f>W$15</f>
        <v>0</v>
      </c>
      <c r="F195" t="e">
        <f>W$150</f>
        <v>#NUM!</v>
      </c>
      <c r="G195" s="60" t="e">
        <f>W$149</f>
        <v>#NUM!</v>
      </c>
      <c r="H195" s="60" t="e">
        <f>W$162</f>
        <v>#DIV/0!</v>
      </c>
      <c r="I195" s="2" t="e">
        <f t="shared" si="121"/>
        <v>#NUM!</v>
      </c>
    </row>
    <row r="196" spans="5:9">
      <c r="E196">
        <f>X$15</f>
        <v>0</v>
      </c>
      <c r="F196" t="e">
        <f>X$150</f>
        <v>#NUM!</v>
      </c>
      <c r="G196" s="60" t="e">
        <f>X$149</f>
        <v>#NUM!</v>
      </c>
      <c r="H196" s="60" t="e">
        <f>X$162</f>
        <v>#DIV/0!</v>
      </c>
      <c r="I196" s="2" t="e">
        <f t="shared" si="121"/>
        <v>#NUM!</v>
      </c>
    </row>
    <row r="197" spans="5:9">
      <c r="E197">
        <f>Y$15</f>
        <v>0</v>
      </c>
      <c r="F197" t="e">
        <f>Y$150</f>
        <v>#NUM!</v>
      </c>
      <c r="G197" s="60" t="e">
        <f>Y$149</f>
        <v>#NUM!</v>
      </c>
      <c r="H197" s="60" t="e">
        <f>Y$162</f>
        <v>#DIV/0!</v>
      </c>
      <c r="I197" s="2" t="e">
        <f t="shared" si="121"/>
        <v>#NUM!</v>
      </c>
    </row>
    <row r="198" spans="5:9">
      <c r="E198">
        <f>Z$15</f>
        <v>0</v>
      </c>
      <c r="F198" t="e">
        <f>Z$150</f>
        <v>#NUM!</v>
      </c>
      <c r="G198" s="60" t="e">
        <f>Z$149</f>
        <v>#NUM!</v>
      </c>
      <c r="H198" s="60" t="e">
        <f>Z$162</f>
        <v>#DIV/0!</v>
      </c>
      <c r="I198" s="2" t="e">
        <f t="shared" si="121"/>
        <v>#NUM!</v>
      </c>
    </row>
    <row r="199" spans="5:9">
      <c r="F199" t="e">
        <f>AA$150</f>
        <v>#NUM!</v>
      </c>
      <c r="G199" s="60" t="e">
        <f>AA$149</f>
        <v>#NUM!</v>
      </c>
      <c r="H199" s="60" t="e">
        <f>AA$162</f>
        <v>#DIV/0!</v>
      </c>
      <c r="I199" s="2" t="e">
        <f t="shared" si="121"/>
        <v>#NUM!</v>
      </c>
    </row>
    <row r="200" spans="5:9">
      <c r="F200" t="e">
        <f>AB$150</f>
        <v>#NUM!</v>
      </c>
      <c r="G200" s="60" t="e">
        <f>AB$149</f>
        <v>#NUM!</v>
      </c>
      <c r="H200" s="60" t="e">
        <f>AB$162</f>
        <v>#DIV/0!</v>
      </c>
      <c r="I200" s="2" t="e">
        <f t="shared" si="121"/>
        <v>#NUM!</v>
      </c>
    </row>
    <row r="201" spans="5:9">
      <c r="F201" t="e">
        <f>AC$150</f>
        <v>#NUM!</v>
      </c>
      <c r="G201" s="60" t="e">
        <f>AC$149</f>
        <v>#NUM!</v>
      </c>
      <c r="H201" s="60" t="e">
        <f>AC$162</f>
        <v>#DIV/0!</v>
      </c>
      <c r="I201" s="2" t="e">
        <f t="shared" si="121"/>
        <v>#NUM!</v>
      </c>
    </row>
    <row r="202" spans="5:9">
      <c r="F202" t="e">
        <f>AD$150</f>
        <v>#NUM!</v>
      </c>
      <c r="G202" s="60" t="e">
        <f>AD$149</f>
        <v>#NUM!</v>
      </c>
      <c r="H202" s="60" t="e">
        <f>AD$162</f>
        <v>#DIV/0!</v>
      </c>
      <c r="I202" s="2" t="e">
        <f t="shared" si="121"/>
        <v>#NUM!</v>
      </c>
    </row>
    <row r="203" spans="5:9">
      <c r="F203" t="e">
        <f>AE$150</f>
        <v>#NUM!</v>
      </c>
      <c r="G203" s="60" t="e">
        <f>AE$149</f>
        <v>#NUM!</v>
      </c>
      <c r="H203" s="60" t="e">
        <f>AE$162</f>
        <v>#DIV/0!</v>
      </c>
      <c r="I203" s="2" t="e">
        <f t="shared" si="121"/>
        <v>#NUM!</v>
      </c>
    </row>
    <row r="204" spans="5:9">
      <c r="F204" t="e">
        <f>AF$150</f>
        <v>#NUM!</v>
      </c>
      <c r="G204" s="60" t="e">
        <f>AF$149</f>
        <v>#NUM!</v>
      </c>
      <c r="H204" s="60" t="e">
        <f>AF$162</f>
        <v>#DIV/0!</v>
      </c>
      <c r="I204" s="2" t="e">
        <f t="shared" si="121"/>
        <v>#NUM!</v>
      </c>
    </row>
    <row r="205" spans="5:9">
      <c r="F205" t="e">
        <f>AG$150</f>
        <v>#NUM!</v>
      </c>
      <c r="G205" s="60" t="e">
        <f>AG$149</f>
        <v>#NUM!</v>
      </c>
      <c r="H205" s="60" t="e">
        <f>AG$162</f>
        <v>#DIV/0!</v>
      </c>
      <c r="I205" s="2" t="e">
        <f t="shared" si="121"/>
        <v>#NUM!</v>
      </c>
    </row>
    <row r="206" spans="5:9">
      <c r="F206" t="e">
        <f>AH$150</f>
        <v>#NUM!</v>
      </c>
      <c r="G206" s="60" t="e">
        <f>AH$149</f>
        <v>#NUM!</v>
      </c>
      <c r="H206" s="60" t="e">
        <f>AH$162</f>
        <v>#DIV/0!</v>
      </c>
      <c r="I206" s="2" t="e">
        <f t="shared" si="121"/>
        <v>#NUM!</v>
      </c>
    </row>
    <row r="207" spans="5:9">
      <c r="F207" t="e">
        <f>AI$150</f>
        <v>#NUM!</v>
      </c>
      <c r="G207" s="60" t="e">
        <f>AI$149</f>
        <v>#NUM!</v>
      </c>
      <c r="H207" s="60" t="e">
        <f>AI$162</f>
        <v>#DIV/0!</v>
      </c>
      <c r="I207" s="2" t="e">
        <f t="shared" si="121"/>
        <v>#NUM!</v>
      </c>
    </row>
    <row r="208" spans="5:9">
      <c r="F208" t="e">
        <f>AJ$150</f>
        <v>#NUM!</v>
      </c>
      <c r="G208" s="60" t="e">
        <f>AJ$149</f>
        <v>#NUM!</v>
      </c>
      <c r="H208" s="60" t="e">
        <f>AJ$162</f>
        <v>#DIV/0!</v>
      </c>
      <c r="I208" s="2" t="e">
        <f t="shared" si="121"/>
        <v>#NUM!</v>
      </c>
    </row>
    <row r="209" spans="6:9">
      <c r="F209" t="e">
        <f>AK$150</f>
        <v>#NUM!</v>
      </c>
      <c r="G209" s="60" t="e">
        <f>AK$149</f>
        <v>#NUM!</v>
      </c>
      <c r="H209" s="60" t="e">
        <f>AK$162</f>
        <v>#DIV/0!</v>
      </c>
      <c r="I209" s="2" t="e">
        <f t="shared" si="121"/>
        <v>#NUM!</v>
      </c>
    </row>
    <row r="210" spans="6:9">
      <c r="F210" t="e">
        <f>AL$150</f>
        <v>#NUM!</v>
      </c>
      <c r="G210" s="60" t="e">
        <f>AL$149</f>
        <v>#NUM!</v>
      </c>
      <c r="H210" s="60" t="e">
        <f>AL$162</f>
        <v>#DIV/0!</v>
      </c>
      <c r="I210" s="2" t="e">
        <f t="shared" si="121"/>
        <v>#NUM!</v>
      </c>
    </row>
    <row r="211" spans="6:9">
      <c r="F211" t="e">
        <f>AM$150</f>
        <v>#NUM!</v>
      </c>
      <c r="G211" s="60" t="e">
        <f>AM$149</f>
        <v>#NUM!</v>
      </c>
      <c r="H211" s="60" t="e">
        <f>AM$162</f>
        <v>#DIV/0!</v>
      </c>
      <c r="I211" s="2" t="e">
        <f t="shared" si="121"/>
        <v>#NUM!</v>
      </c>
    </row>
    <row r="212" spans="6:9">
      <c r="F212" t="e">
        <f>AN$150</f>
        <v>#NUM!</v>
      </c>
      <c r="G212" s="60" t="e">
        <f>AN$149</f>
        <v>#NUM!</v>
      </c>
      <c r="H212" s="60" t="e">
        <f>AN$162</f>
        <v>#DIV/0!</v>
      </c>
      <c r="I212" s="2" t="e">
        <f t="shared" si="121"/>
        <v>#NUM!</v>
      </c>
    </row>
    <row r="213" spans="6:9">
      <c r="F213" t="e">
        <f>AO$150</f>
        <v>#NUM!</v>
      </c>
      <c r="G213" s="60" t="e">
        <f>AO$149</f>
        <v>#NUM!</v>
      </c>
      <c r="H213" s="60" t="e">
        <f>AO$162</f>
        <v>#DIV/0!</v>
      </c>
      <c r="I213" s="2" t="e">
        <f t="shared" si="121"/>
        <v>#NUM!</v>
      </c>
    </row>
    <row r="214" spans="6:9">
      <c r="F214" t="e">
        <f>AP$150</f>
        <v>#NUM!</v>
      </c>
      <c r="G214" s="60" t="e">
        <f>AP$149</f>
        <v>#NUM!</v>
      </c>
      <c r="H214" s="60" t="e">
        <f>AP$162</f>
        <v>#DIV/0!</v>
      </c>
      <c r="I214" s="2" t="e">
        <f t="shared" si="121"/>
        <v>#NUM!</v>
      </c>
    </row>
    <row r="215" spans="6:9">
      <c r="F215" t="e">
        <f>AQ$150</f>
        <v>#NUM!</v>
      </c>
      <c r="G215" s="60" t="e">
        <f>AQ$149</f>
        <v>#NUM!</v>
      </c>
      <c r="H215" s="60" t="e">
        <f>AQ$162</f>
        <v>#DIV/0!</v>
      </c>
      <c r="I215" s="2" t="e">
        <f t="shared" si="121"/>
        <v>#NUM!</v>
      </c>
    </row>
    <row r="216" spans="6:9">
      <c r="F216" t="e">
        <f>AR$150</f>
        <v>#NUM!</v>
      </c>
      <c r="G216" s="60" t="e">
        <f>AR$149</f>
        <v>#NUM!</v>
      </c>
      <c r="H216" s="60" t="e">
        <f>AR$162</f>
        <v>#DIV/0!</v>
      </c>
      <c r="I216" s="2" t="e">
        <f t="shared" si="121"/>
        <v>#NUM!</v>
      </c>
    </row>
    <row r="217" spans="6:9">
      <c r="F217" t="e">
        <f>AS$150</f>
        <v>#NUM!</v>
      </c>
      <c r="G217" s="60" t="e">
        <f>AS$149</f>
        <v>#NUM!</v>
      </c>
      <c r="H217" s="60" t="e">
        <f>AS$162</f>
        <v>#DIV/0!</v>
      </c>
      <c r="I217" s="2" t="e">
        <f t="shared" si="121"/>
        <v>#NUM!</v>
      </c>
    </row>
    <row r="218" spans="6:9">
      <c r="F218" t="e">
        <f>AT$150</f>
        <v>#NUM!</v>
      </c>
      <c r="G218" s="60" t="e">
        <f>AT$149</f>
        <v>#NUM!</v>
      </c>
      <c r="H218" s="60" t="e">
        <f>AT$162</f>
        <v>#DIV/0!</v>
      </c>
      <c r="I218" s="2" t="e">
        <f t="shared" si="121"/>
        <v>#NUM!</v>
      </c>
    </row>
    <row r="219" spans="6:9">
      <c r="F219" t="e">
        <f>AU$150</f>
        <v>#NUM!</v>
      </c>
      <c r="G219" s="60" t="e">
        <f>AU$149</f>
        <v>#NUM!</v>
      </c>
      <c r="H219" s="60" t="e">
        <f>AU$162</f>
        <v>#DIV/0!</v>
      </c>
      <c r="I219" s="2" t="e">
        <f t="shared" si="121"/>
        <v>#NUM!</v>
      </c>
    </row>
    <row r="220" spans="6:9">
      <c r="F220" t="e">
        <f>AV$150</f>
        <v>#NUM!</v>
      </c>
      <c r="G220" s="60" t="e">
        <f>AV$149</f>
        <v>#NUM!</v>
      </c>
      <c r="H220" s="60" t="e">
        <f>AV$162</f>
        <v>#DIV/0!</v>
      </c>
      <c r="I220" s="2" t="e">
        <f t="shared" si="121"/>
        <v>#NUM!</v>
      </c>
    </row>
    <row r="221" spans="6:9">
      <c r="F221" t="e">
        <f>AW$150</f>
        <v>#NUM!</v>
      </c>
      <c r="G221" s="60" t="e">
        <f>AW$149</f>
        <v>#NUM!</v>
      </c>
      <c r="H221" s="60" t="e">
        <f>AW$162</f>
        <v>#DIV/0!</v>
      </c>
      <c r="I221" s="2" t="e">
        <f t="shared" si="121"/>
        <v>#NUM!</v>
      </c>
    </row>
    <row r="222" spans="6:9">
      <c r="F222" t="e">
        <f>AX$150</f>
        <v>#NUM!</v>
      </c>
      <c r="G222" s="60" t="e">
        <f>AX$149</f>
        <v>#NUM!</v>
      </c>
      <c r="H222" s="60" t="e">
        <f>AX$162</f>
        <v>#DIV/0!</v>
      </c>
      <c r="I222" s="2" t="e">
        <f t="shared" si="121"/>
        <v>#NUM!</v>
      </c>
    </row>
    <row r="223" spans="6:9">
      <c r="F223" t="e">
        <f>AY$150</f>
        <v>#NUM!</v>
      </c>
      <c r="G223" s="60" t="e">
        <f>AY$149</f>
        <v>#NUM!</v>
      </c>
      <c r="H223" s="60" t="e">
        <f>AY$162</f>
        <v>#DIV/0!</v>
      </c>
      <c r="I223" s="2" t="e">
        <f t="shared" si="121"/>
        <v>#NUM!</v>
      </c>
    </row>
    <row r="224" spans="6:9">
      <c r="F224" t="e">
        <f>AZ$150</f>
        <v>#NUM!</v>
      </c>
      <c r="G224" s="60" t="e">
        <f>AZ$149</f>
        <v>#NUM!</v>
      </c>
      <c r="H224" s="60" t="e">
        <f>AZ$162</f>
        <v>#DIV/0!</v>
      </c>
      <c r="I224" s="2" t="e">
        <f t="shared" si="121"/>
        <v>#NUM!</v>
      </c>
    </row>
    <row r="225" spans="6:9">
      <c r="F225" t="e">
        <f>BA$150</f>
        <v>#NUM!</v>
      </c>
      <c r="G225" s="60" t="e">
        <f>BA$149</f>
        <v>#NUM!</v>
      </c>
      <c r="H225" s="60" t="e">
        <f>BA$162</f>
        <v>#DIV/0!</v>
      </c>
      <c r="I225" s="2" t="e">
        <f t="shared" si="121"/>
        <v>#NUM!</v>
      </c>
    </row>
    <row r="226" spans="6:9">
      <c r="F226" t="e">
        <f>BB$150</f>
        <v>#NUM!</v>
      </c>
      <c r="G226" s="60" t="e">
        <f>BB$149</f>
        <v>#NUM!</v>
      </c>
      <c r="H226" s="60" t="e">
        <f>BB$162</f>
        <v>#DIV/0!</v>
      </c>
      <c r="I226" s="2" t="e">
        <f t="shared" si="121"/>
        <v>#NUM!</v>
      </c>
    </row>
    <row r="227" spans="6:9">
      <c r="F227" t="e">
        <f>BC$150</f>
        <v>#NUM!</v>
      </c>
      <c r="G227" s="60" t="e">
        <f>BC$149</f>
        <v>#NUM!</v>
      </c>
      <c r="H227" s="60" t="e">
        <f>BC$162</f>
        <v>#DIV/0!</v>
      </c>
      <c r="I227" s="2" t="e">
        <f t="shared" si="121"/>
        <v>#NUM!</v>
      </c>
    </row>
    <row r="228" spans="6:9">
      <c r="F228" t="e">
        <f>BD$150</f>
        <v>#NUM!</v>
      </c>
      <c r="G228" s="60" t="e">
        <f>BD$149</f>
        <v>#NUM!</v>
      </c>
      <c r="H228" s="60" t="e">
        <f>BD$162</f>
        <v>#DIV/0!</v>
      </c>
      <c r="I228" s="2" t="e">
        <f t="shared" si="121"/>
        <v>#NUM!</v>
      </c>
    </row>
    <row r="229" spans="6:9">
      <c r="F229" t="e">
        <f>BE$150</f>
        <v>#NUM!</v>
      </c>
      <c r="G229" s="60" t="e">
        <f>BE$149</f>
        <v>#NUM!</v>
      </c>
      <c r="H229" s="60" t="e">
        <f>BE$162</f>
        <v>#DIV/0!</v>
      </c>
      <c r="I229" s="2" t="e">
        <f t="shared" si="121"/>
        <v>#NUM!</v>
      </c>
    </row>
    <row r="230" spans="6:9">
      <c r="F230" t="e">
        <f>BF$150</f>
        <v>#NUM!</v>
      </c>
      <c r="G230" s="60" t="e">
        <f>BF$149</f>
        <v>#NUM!</v>
      </c>
      <c r="H230" s="60" t="e">
        <f>BF$162</f>
        <v>#DIV/0!</v>
      </c>
      <c r="I230" s="2" t="e">
        <f t="shared" si="121"/>
        <v>#NUM!</v>
      </c>
    </row>
    <row r="231" spans="6:9">
      <c r="F231" t="e">
        <f>BG$150</f>
        <v>#NUM!</v>
      </c>
      <c r="G231" s="60" t="e">
        <f>BG$149</f>
        <v>#NUM!</v>
      </c>
      <c r="H231" s="60" t="e">
        <f>BG$162</f>
        <v>#DIV/0!</v>
      </c>
      <c r="I231" s="2" t="e">
        <f t="shared" si="121"/>
        <v>#NUM!</v>
      </c>
    </row>
    <row r="232" spans="6:9">
      <c r="F232" t="e">
        <f>BH$150</f>
        <v>#NUM!</v>
      </c>
      <c r="G232" s="60" t="e">
        <f>BH$149</f>
        <v>#NUM!</v>
      </c>
      <c r="H232" s="60" t="e">
        <f>BH$162</f>
        <v>#DIV/0!</v>
      </c>
      <c r="I232" s="2" t="e">
        <f t="shared" si="121"/>
        <v>#NUM!</v>
      </c>
    </row>
    <row r="233" spans="6:9">
      <c r="F233" t="e">
        <f>BI$150</f>
        <v>#NUM!</v>
      </c>
      <c r="G233" s="60" t="e">
        <f>BI$149</f>
        <v>#NUM!</v>
      </c>
      <c r="H233" s="60" t="e">
        <f>BI$162</f>
        <v>#DIV/0!</v>
      </c>
      <c r="I233" s="2" t="e">
        <f t="shared" si="121"/>
        <v>#NUM!</v>
      </c>
    </row>
    <row r="234" spans="6:9">
      <c r="F234" t="e">
        <f>BJ$150</f>
        <v>#NUM!</v>
      </c>
      <c r="G234" s="60" t="e">
        <f>BJ$149</f>
        <v>#NUM!</v>
      </c>
      <c r="H234" s="60" t="e">
        <f>BJ$162</f>
        <v>#DIV/0!</v>
      </c>
      <c r="I234" s="2" t="e">
        <f t="shared" si="121"/>
        <v>#NUM!</v>
      </c>
    </row>
    <row r="235" spans="6:9">
      <c r="F235" t="e">
        <f>BK$150</f>
        <v>#NUM!</v>
      </c>
      <c r="G235" s="60" t="e">
        <f>BK$149</f>
        <v>#NUM!</v>
      </c>
      <c r="H235" s="60" t="e">
        <f>BK$162</f>
        <v>#DIV/0!</v>
      </c>
      <c r="I235" s="2" t="e">
        <f t="shared" si="121"/>
        <v>#NUM!</v>
      </c>
    </row>
    <row r="236" spans="6:9">
      <c r="F236" t="e">
        <f>BL$150</f>
        <v>#NUM!</v>
      </c>
      <c r="G236" s="60" t="e">
        <f>BL$149</f>
        <v>#NUM!</v>
      </c>
      <c r="H236" s="60" t="e">
        <f>BL$162</f>
        <v>#DIV/0!</v>
      </c>
      <c r="I236" s="2" t="e">
        <f t="shared" si="121"/>
        <v>#NUM!</v>
      </c>
    </row>
    <row r="237" spans="6:9">
      <c r="F237" t="e">
        <f>BM$150</f>
        <v>#NUM!</v>
      </c>
      <c r="G237" s="60" t="e">
        <f>BM$149</f>
        <v>#NUM!</v>
      </c>
      <c r="H237" s="60" t="e">
        <f>BM$162</f>
        <v>#DIV/0!</v>
      </c>
      <c r="I237" s="2" t="e">
        <f t="shared" si="121"/>
        <v>#NUM!</v>
      </c>
    </row>
    <row r="238" spans="6:9">
      <c r="F238" t="e">
        <f>BN$150</f>
        <v>#NUM!</v>
      </c>
      <c r="G238" s="60" t="e">
        <f>BN$149</f>
        <v>#NUM!</v>
      </c>
      <c r="H238" s="60" t="e">
        <f>BN$162</f>
        <v>#DIV/0!</v>
      </c>
      <c r="I238" s="2" t="e">
        <f t="shared" si="121"/>
        <v>#NUM!</v>
      </c>
    </row>
    <row r="239" spans="6:9">
      <c r="F239" t="e">
        <f>BO$150</f>
        <v>#NUM!</v>
      </c>
      <c r="G239" s="60" t="e">
        <f>BO$149</f>
        <v>#NUM!</v>
      </c>
      <c r="H239" s="60" t="e">
        <f>BO$162</f>
        <v>#DIV/0!</v>
      </c>
      <c r="I239" s="2" t="e">
        <f t="shared" si="121"/>
        <v>#NUM!</v>
      </c>
    </row>
    <row r="240" spans="6:9">
      <c r="F240" t="e">
        <f>BP$150</f>
        <v>#NUM!</v>
      </c>
      <c r="G240" s="60" t="e">
        <f>BP$149</f>
        <v>#NUM!</v>
      </c>
      <c r="H240" s="60" t="e">
        <f>BP$162</f>
        <v>#DIV/0!</v>
      </c>
      <c r="I240" s="2" t="e">
        <f t="shared" si="121"/>
        <v>#NUM!</v>
      </c>
    </row>
    <row r="241" spans="6:9">
      <c r="F241" t="e">
        <f>BQ$150</f>
        <v>#NUM!</v>
      </c>
      <c r="G241" s="60" t="e">
        <f>BQ$149</f>
        <v>#NUM!</v>
      </c>
      <c r="H241" s="60" t="e">
        <f>BQ$162</f>
        <v>#DIV/0!</v>
      </c>
      <c r="I241" s="2" t="e">
        <f t="shared" si="121"/>
        <v>#NUM!</v>
      </c>
    </row>
    <row r="242" spans="6:9">
      <c r="F242" t="e">
        <f>BR$150</f>
        <v>#NUM!</v>
      </c>
      <c r="G242" s="60" t="e">
        <f>BR$149</f>
        <v>#NUM!</v>
      </c>
      <c r="H242" s="60" t="e">
        <f>BR$162</f>
        <v>#DIV/0!</v>
      </c>
      <c r="I242" s="2" t="e">
        <f t="shared" si="121"/>
        <v>#NUM!</v>
      </c>
    </row>
    <row r="243" spans="6:9">
      <c r="F243" t="e">
        <f>BS$150</f>
        <v>#NUM!</v>
      </c>
      <c r="G243" s="60" t="e">
        <f>BS$149</f>
        <v>#NUM!</v>
      </c>
      <c r="H243" s="60" t="e">
        <f>BS$162</f>
        <v>#DIV/0!</v>
      </c>
      <c r="I243" s="2" t="e">
        <f t="shared" ref="I243:I277" si="122">G243/H243</f>
        <v>#NUM!</v>
      </c>
    </row>
    <row r="244" spans="6:9">
      <c r="F244" t="e">
        <f>BT$150</f>
        <v>#NUM!</v>
      </c>
      <c r="G244" s="60" t="e">
        <f>BT$149</f>
        <v>#NUM!</v>
      </c>
      <c r="H244" s="60" t="e">
        <f>BT$162</f>
        <v>#DIV/0!</v>
      </c>
      <c r="I244" s="2" t="e">
        <f t="shared" si="122"/>
        <v>#NUM!</v>
      </c>
    </row>
    <row r="245" spans="6:9">
      <c r="F245" t="e">
        <f>BU$150</f>
        <v>#NUM!</v>
      </c>
      <c r="G245" s="60" t="e">
        <f>BU$149</f>
        <v>#NUM!</v>
      </c>
      <c r="H245" s="60" t="e">
        <f>BU$162</f>
        <v>#DIV/0!</v>
      </c>
      <c r="I245" s="2" t="e">
        <f t="shared" si="122"/>
        <v>#NUM!</v>
      </c>
    </row>
    <row r="246" spans="6:9">
      <c r="F246" t="e">
        <f>BV$150</f>
        <v>#NUM!</v>
      </c>
      <c r="G246" s="60" t="e">
        <f>BV$149</f>
        <v>#NUM!</v>
      </c>
      <c r="H246" s="60" t="e">
        <f>BV$162</f>
        <v>#DIV/0!</v>
      </c>
      <c r="I246" s="2" t="e">
        <f t="shared" si="122"/>
        <v>#NUM!</v>
      </c>
    </row>
    <row r="247" spans="6:9">
      <c r="F247" t="e">
        <f>BW$150</f>
        <v>#NUM!</v>
      </c>
      <c r="G247" s="60" t="e">
        <f>BW$149</f>
        <v>#NUM!</v>
      </c>
      <c r="H247" s="60" t="e">
        <f>BW$162</f>
        <v>#DIV/0!</v>
      </c>
      <c r="I247" s="2" t="e">
        <f t="shared" si="122"/>
        <v>#NUM!</v>
      </c>
    </row>
    <row r="248" spans="6:9">
      <c r="F248" t="e">
        <f>BX$150</f>
        <v>#NUM!</v>
      </c>
      <c r="G248" s="60" t="e">
        <f>BX$149</f>
        <v>#NUM!</v>
      </c>
      <c r="H248" s="60" t="e">
        <f>BX$162</f>
        <v>#DIV/0!</v>
      </c>
      <c r="I248" s="2" t="e">
        <f t="shared" si="122"/>
        <v>#NUM!</v>
      </c>
    </row>
    <row r="249" spans="6:9">
      <c r="F249" t="e">
        <f>BY$150</f>
        <v>#NUM!</v>
      </c>
      <c r="G249" s="60" t="e">
        <f>BY$149</f>
        <v>#NUM!</v>
      </c>
      <c r="H249" s="60" t="e">
        <f>BY$162</f>
        <v>#DIV/0!</v>
      </c>
      <c r="I249" s="2" t="e">
        <f t="shared" si="122"/>
        <v>#NUM!</v>
      </c>
    </row>
    <row r="250" spans="6:9">
      <c r="F250" t="e">
        <f>BZ$150</f>
        <v>#NUM!</v>
      </c>
      <c r="G250" s="60" t="e">
        <f>BZ$149</f>
        <v>#NUM!</v>
      </c>
      <c r="H250" s="60" t="e">
        <f>BZ$162</f>
        <v>#DIV/0!</v>
      </c>
      <c r="I250" s="2" t="e">
        <f t="shared" si="122"/>
        <v>#NUM!</v>
      </c>
    </row>
    <row r="251" spans="6:9">
      <c r="F251" t="e">
        <f>CA$150</f>
        <v>#NUM!</v>
      </c>
      <c r="G251" s="60" t="e">
        <f>CA$149</f>
        <v>#NUM!</v>
      </c>
      <c r="H251" s="60" t="e">
        <f>CA$162</f>
        <v>#DIV/0!</v>
      </c>
      <c r="I251" s="2" t="e">
        <f t="shared" si="122"/>
        <v>#NUM!</v>
      </c>
    </row>
    <row r="252" spans="6:9">
      <c r="F252" t="e">
        <f>CB$150</f>
        <v>#NUM!</v>
      </c>
      <c r="G252" s="60" t="e">
        <f>CB$149</f>
        <v>#NUM!</v>
      </c>
      <c r="H252" s="60" t="e">
        <f>CB$162</f>
        <v>#DIV/0!</v>
      </c>
      <c r="I252" s="2" t="e">
        <f t="shared" si="122"/>
        <v>#NUM!</v>
      </c>
    </row>
    <row r="253" spans="6:9">
      <c r="F253" t="e">
        <f>CC$150</f>
        <v>#NUM!</v>
      </c>
      <c r="G253" s="60" t="e">
        <f>CC$149</f>
        <v>#NUM!</v>
      </c>
      <c r="H253" s="60" t="e">
        <f>CC$162</f>
        <v>#DIV/0!</v>
      </c>
      <c r="I253" s="2" t="e">
        <f t="shared" si="122"/>
        <v>#NUM!</v>
      </c>
    </row>
    <row r="254" spans="6:9">
      <c r="F254" t="e">
        <f>CD$150</f>
        <v>#NUM!</v>
      </c>
      <c r="G254" s="60" t="e">
        <f>CD$149</f>
        <v>#NUM!</v>
      </c>
      <c r="H254" s="60" t="e">
        <f>CD$162</f>
        <v>#DIV/0!</v>
      </c>
      <c r="I254" s="2" t="e">
        <f t="shared" si="122"/>
        <v>#NUM!</v>
      </c>
    </row>
    <row r="255" spans="6:9">
      <c r="F255" t="e">
        <f>CE$150</f>
        <v>#NUM!</v>
      </c>
      <c r="G255" s="60" t="e">
        <f>CE$149</f>
        <v>#NUM!</v>
      </c>
      <c r="H255" s="60" t="e">
        <f>CE$162</f>
        <v>#DIV/0!</v>
      </c>
      <c r="I255" s="2" t="e">
        <f t="shared" si="122"/>
        <v>#NUM!</v>
      </c>
    </row>
    <row r="256" spans="6:9">
      <c r="F256" t="e">
        <f>CF$150</f>
        <v>#NUM!</v>
      </c>
      <c r="G256" s="60" t="e">
        <f>CF$149</f>
        <v>#NUM!</v>
      </c>
      <c r="H256" s="60" t="e">
        <f>CF$162</f>
        <v>#DIV/0!</v>
      </c>
      <c r="I256" s="2" t="e">
        <f t="shared" si="122"/>
        <v>#NUM!</v>
      </c>
    </row>
    <row r="257" spans="6:9">
      <c r="F257" t="e">
        <f>CG$150</f>
        <v>#NUM!</v>
      </c>
      <c r="G257" s="60" t="e">
        <f>CG$149</f>
        <v>#NUM!</v>
      </c>
      <c r="H257" s="60" t="e">
        <f>CG$162</f>
        <v>#DIV/0!</v>
      </c>
      <c r="I257" s="2" t="e">
        <f t="shared" si="122"/>
        <v>#NUM!</v>
      </c>
    </row>
    <row r="258" spans="6:9">
      <c r="F258" t="e">
        <f>CH$150</f>
        <v>#NUM!</v>
      </c>
      <c r="G258" s="60" t="e">
        <f>CH$149</f>
        <v>#NUM!</v>
      </c>
      <c r="H258" s="60" t="e">
        <f>CH$162</f>
        <v>#DIV/0!</v>
      </c>
      <c r="I258" s="2" t="e">
        <f t="shared" si="122"/>
        <v>#NUM!</v>
      </c>
    </row>
    <row r="259" spans="6:9">
      <c r="F259" t="e">
        <f>CI$150</f>
        <v>#NUM!</v>
      </c>
      <c r="G259" s="60" t="e">
        <f>CI$149</f>
        <v>#NUM!</v>
      </c>
      <c r="H259" s="60" t="e">
        <f>CI$162</f>
        <v>#DIV/0!</v>
      </c>
      <c r="I259" s="2" t="e">
        <f t="shared" si="122"/>
        <v>#NUM!</v>
      </c>
    </row>
    <row r="260" spans="6:9">
      <c r="F260" t="e">
        <f>CJ$150</f>
        <v>#NUM!</v>
      </c>
      <c r="G260" s="60" t="e">
        <f>CJ$149</f>
        <v>#NUM!</v>
      </c>
      <c r="H260" s="60" t="e">
        <f>CJ$162</f>
        <v>#DIV/0!</v>
      </c>
      <c r="I260" s="2" t="e">
        <f t="shared" si="122"/>
        <v>#NUM!</v>
      </c>
    </row>
    <row r="261" spans="6:9">
      <c r="F261" t="e">
        <f>CK$150</f>
        <v>#NUM!</v>
      </c>
      <c r="G261" s="60" t="e">
        <f>CK$149</f>
        <v>#NUM!</v>
      </c>
      <c r="H261" s="60" t="e">
        <f>CK$162</f>
        <v>#DIV/0!</v>
      </c>
      <c r="I261" s="2" t="e">
        <f t="shared" si="122"/>
        <v>#NUM!</v>
      </c>
    </row>
    <row r="262" spans="6:9">
      <c r="F262" t="e">
        <f>CL$150</f>
        <v>#NUM!</v>
      </c>
      <c r="G262" s="60" t="e">
        <f>CL$149</f>
        <v>#NUM!</v>
      </c>
      <c r="H262" s="60" t="e">
        <f>CL$162</f>
        <v>#DIV/0!</v>
      </c>
      <c r="I262" s="2" t="e">
        <f t="shared" si="122"/>
        <v>#NUM!</v>
      </c>
    </row>
    <row r="263" spans="6:9">
      <c r="F263" t="e">
        <f>CM$150</f>
        <v>#NUM!</v>
      </c>
      <c r="G263" s="60" t="e">
        <f>CM$149</f>
        <v>#NUM!</v>
      </c>
      <c r="H263" s="60" t="e">
        <f>CM$162</f>
        <v>#DIV/0!</v>
      </c>
      <c r="I263" s="2" t="e">
        <f t="shared" si="122"/>
        <v>#NUM!</v>
      </c>
    </row>
    <row r="264" spans="6:9">
      <c r="F264" t="e">
        <f>CN$150</f>
        <v>#NUM!</v>
      </c>
      <c r="G264" s="60" t="e">
        <f>CN$149</f>
        <v>#NUM!</v>
      </c>
      <c r="H264" s="60" t="e">
        <f>CN$162</f>
        <v>#DIV/0!</v>
      </c>
      <c r="I264" s="2" t="e">
        <f t="shared" si="122"/>
        <v>#NUM!</v>
      </c>
    </row>
    <row r="265" spans="6:9">
      <c r="F265" t="e">
        <f>CO$150</f>
        <v>#NUM!</v>
      </c>
      <c r="G265" s="60" t="e">
        <f>CO$149</f>
        <v>#NUM!</v>
      </c>
      <c r="H265" s="60" t="e">
        <f>CO$162</f>
        <v>#DIV/0!</v>
      </c>
      <c r="I265" s="2" t="e">
        <f t="shared" si="122"/>
        <v>#NUM!</v>
      </c>
    </row>
    <row r="266" spans="6:9">
      <c r="F266" t="e">
        <f>CP$150</f>
        <v>#NUM!</v>
      </c>
      <c r="G266" s="60" t="e">
        <f>CP$149</f>
        <v>#NUM!</v>
      </c>
      <c r="H266" s="60" t="e">
        <f>CP$162</f>
        <v>#DIV/0!</v>
      </c>
      <c r="I266" s="2" t="e">
        <f t="shared" si="122"/>
        <v>#NUM!</v>
      </c>
    </row>
    <row r="267" spans="6:9">
      <c r="F267" t="e">
        <f>CQ$150</f>
        <v>#NUM!</v>
      </c>
      <c r="G267" s="60" t="e">
        <f>CQ$149</f>
        <v>#NUM!</v>
      </c>
      <c r="H267" s="60" t="e">
        <f>CQ$162</f>
        <v>#DIV/0!</v>
      </c>
      <c r="I267" s="2" t="e">
        <f t="shared" si="122"/>
        <v>#NUM!</v>
      </c>
    </row>
    <row r="268" spans="6:9">
      <c r="F268" t="e">
        <f>CR$150</f>
        <v>#NUM!</v>
      </c>
      <c r="G268" s="60" t="e">
        <f>CR$149</f>
        <v>#NUM!</v>
      </c>
      <c r="H268" s="60" t="e">
        <f>CR$162</f>
        <v>#DIV/0!</v>
      </c>
      <c r="I268" s="2" t="e">
        <f t="shared" si="122"/>
        <v>#NUM!</v>
      </c>
    </row>
    <row r="269" spans="6:9">
      <c r="F269" t="e">
        <f>CS$150</f>
        <v>#NUM!</v>
      </c>
      <c r="G269" s="60" t="e">
        <f>CS$149</f>
        <v>#NUM!</v>
      </c>
      <c r="H269" s="60" t="e">
        <f>CS$162</f>
        <v>#DIV/0!</v>
      </c>
      <c r="I269" s="2" t="e">
        <f t="shared" si="122"/>
        <v>#NUM!</v>
      </c>
    </row>
    <row r="270" spans="6:9">
      <c r="F270" t="e">
        <f>CT$150</f>
        <v>#NUM!</v>
      </c>
      <c r="G270" s="60" t="e">
        <f>CT$149</f>
        <v>#NUM!</v>
      </c>
      <c r="H270" s="60" t="e">
        <f>CT$162</f>
        <v>#DIV/0!</v>
      </c>
      <c r="I270" s="2" t="e">
        <f t="shared" si="122"/>
        <v>#NUM!</v>
      </c>
    </row>
    <row r="271" spans="6:9">
      <c r="F271" t="e">
        <f>CU$150</f>
        <v>#NUM!</v>
      </c>
      <c r="G271" s="60" t="e">
        <f>CU$149</f>
        <v>#NUM!</v>
      </c>
      <c r="H271" s="60" t="e">
        <f>CU$162</f>
        <v>#DIV/0!</v>
      </c>
      <c r="I271" s="2" t="e">
        <f t="shared" si="122"/>
        <v>#NUM!</v>
      </c>
    </row>
    <row r="272" spans="6:9">
      <c r="F272" t="e">
        <f>CV$150</f>
        <v>#NUM!</v>
      </c>
      <c r="G272" s="60" t="e">
        <f>CV$149</f>
        <v>#NUM!</v>
      </c>
      <c r="H272" s="60" t="e">
        <f>CV$162</f>
        <v>#DIV/0!</v>
      </c>
      <c r="I272" s="2" t="e">
        <f t="shared" si="122"/>
        <v>#NUM!</v>
      </c>
    </row>
    <row r="273" spans="6:9">
      <c r="F273" t="e">
        <f>CW$150</f>
        <v>#NUM!</v>
      </c>
      <c r="G273" s="60" t="e">
        <f>CW$149</f>
        <v>#NUM!</v>
      </c>
      <c r="H273" s="60" t="e">
        <f>CW$162</f>
        <v>#DIV/0!</v>
      </c>
      <c r="I273" s="2" t="e">
        <f t="shared" si="122"/>
        <v>#NUM!</v>
      </c>
    </row>
    <row r="274" spans="6:9">
      <c r="F274" t="e">
        <f>CX$150</f>
        <v>#NUM!</v>
      </c>
      <c r="G274" s="60" t="e">
        <f>CX$149</f>
        <v>#NUM!</v>
      </c>
      <c r="H274" s="60" t="e">
        <f>CX$162</f>
        <v>#DIV/0!</v>
      </c>
      <c r="I274" s="2" t="e">
        <f t="shared" si="122"/>
        <v>#NUM!</v>
      </c>
    </row>
    <row r="275" spans="6:9">
      <c r="F275" t="e">
        <f>CY$150</f>
        <v>#NUM!</v>
      </c>
      <c r="G275" s="60" t="e">
        <f>CY$149</f>
        <v>#NUM!</v>
      </c>
      <c r="H275" s="60" t="e">
        <f>CY$162</f>
        <v>#DIV/0!</v>
      </c>
      <c r="I275" s="2" t="e">
        <f t="shared" si="122"/>
        <v>#NUM!</v>
      </c>
    </row>
    <row r="276" spans="6:9">
      <c r="F276" t="e">
        <f>CZ$150</f>
        <v>#NUM!</v>
      </c>
      <c r="G276" s="60" t="e">
        <f>CZ$149</f>
        <v>#NUM!</v>
      </c>
      <c r="H276" s="60" t="e">
        <f>CZ$162</f>
        <v>#DIV/0!</v>
      </c>
      <c r="I276" s="2" t="e">
        <f t="shared" si="122"/>
        <v>#NUM!</v>
      </c>
    </row>
    <row r="277" spans="6:9">
      <c r="F277" t="e">
        <f>DA$150</f>
        <v>#NUM!</v>
      </c>
      <c r="G277" s="60" t="e">
        <f>DA$149</f>
        <v>#NUM!</v>
      </c>
      <c r="H277" s="60" t="e">
        <f>DA$162</f>
        <v>#DIV/0!</v>
      </c>
      <c r="I277" s="2" t="e">
        <f t="shared" si="122"/>
        <v>#NUM!</v>
      </c>
    </row>
  </sheetData>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learTrendSheetResults">
                <anchor moveWithCells="1" sizeWithCells="1">
                  <from>
                    <xdr:col>4</xdr:col>
                    <xdr:colOff>1390650</xdr:colOff>
                    <xdr:row>0</xdr:row>
                    <xdr:rowOff>90488</xdr:rowOff>
                  </from>
                  <to>
                    <xdr:col>6</xdr:col>
                    <xdr:colOff>790575</xdr:colOff>
                    <xdr:row>2</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DesignNotes</vt:lpstr>
      <vt:lpstr>Instructions</vt:lpstr>
      <vt:lpstr>Parameters</vt:lpstr>
      <vt:lpstr>Main</vt:lpstr>
      <vt:lpstr>ForExport</vt:lpstr>
      <vt:lpstr>MEXP</vt:lpstr>
      <vt:lpstr>Cumulant</vt:lpstr>
      <vt:lpstr>Trend</vt:lpstr>
      <vt:lpstr>ampl1</vt:lpstr>
      <vt:lpstr>ampl2</vt:lpstr>
      <vt:lpstr>ampl3</vt:lpstr>
      <vt:lpstr>BaseAdjust</vt:lpstr>
      <vt:lpstr>CumOffset</vt:lpstr>
      <vt:lpstr>EtaCP</vt:lpstr>
      <vt:lpstr>EtacPFinal</vt:lpstr>
      <vt:lpstr>EtaP</vt:lpstr>
      <vt:lpstr>fcoh</vt:lpstr>
      <vt:lpstr>gamma1</vt:lpstr>
      <vt:lpstr>gamma2</vt:lpstr>
      <vt:lpstr>gamma3</vt:lpstr>
      <vt:lpstr>GammaBar</vt:lpstr>
      <vt:lpstr>ISolventDet1</vt:lpstr>
      <vt:lpstr>ISolventDet2</vt:lpstr>
      <vt:lpstr>ISolventDet3</vt:lpstr>
      <vt:lpstr>ISolventDet4</vt:lpstr>
      <vt:lpstr>ISolventDet5</vt:lpstr>
      <vt:lpstr>ISolventDet6</vt:lpstr>
      <vt:lpstr>ISolventDet7</vt:lpstr>
      <vt:lpstr>ISolventDet8</vt:lpstr>
      <vt:lpstr>kBoltz</vt:lpstr>
      <vt:lpstr>LamCM</vt:lpstr>
      <vt:lpstr>LamnmFinal</vt:lpstr>
      <vt:lpstr>Cumulant!LastChanUsed</vt:lpstr>
      <vt:lpstr>LastChanUsed</vt:lpstr>
      <vt:lpstr>mufour</vt:lpstr>
      <vt:lpstr>muthree</vt:lpstr>
      <vt:lpstr>mutwo</vt:lpstr>
      <vt:lpstr>NormDet1</vt:lpstr>
      <vt:lpstr>NormDet2</vt:lpstr>
      <vt:lpstr>NormDet3</vt:lpstr>
      <vt:lpstr>NormDet4</vt:lpstr>
      <vt:lpstr>NormDet5</vt:lpstr>
      <vt:lpstr>NormDet6</vt:lpstr>
      <vt:lpstr>NormDet7</vt:lpstr>
      <vt:lpstr>NormDet8</vt:lpstr>
      <vt:lpstr>NumFilesOpened</vt:lpstr>
      <vt:lpstr>Refin</vt:lpstr>
      <vt:lpstr>RefinFinal</vt:lpstr>
      <vt:lpstr>TdegCFinal</vt:lpstr>
      <vt:lpstr>TdegK</vt:lpstr>
      <vt:lpstr>WhichFunction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Russo</dc:creator>
  <cp:lastModifiedBy>Paul Russo</cp:lastModifiedBy>
  <dcterms:created xsi:type="dcterms:W3CDTF">2011-01-04T03:20:02Z</dcterms:created>
  <dcterms:modified xsi:type="dcterms:W3CDTF">2024-05-20T01:10:22Z</dcterms:modified>
</cp:coreProperties>
</file>