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PR\Task\Work\ComputerPrograms\SMALS_Multirun\LatexTrial\"/>
    </mc:Choice>
  </mc:AlternateContent>
  <xr:revisionPtr revIDLastSave="0" documentId="13_ncr:1_{82D92201-F94E-48F6-B6E2-0E450D2F067B}" xr6:coauthVersionLast="36" xr6:coauthVersionMax="47" xr10:uidLastSave="{00000000-0000-0000-0000-000000000000}"/>
  <bookViews>
    <workbookView xWindow="0" yWindow="0" windowWidth="17067" windowHeight="5960" tabRatio="883" xr2:uid="{00000000-000D-0000-FFFF-FFFF00000000}"/>
  </bookViews>
  <sheets>
    <sheet name="DesignNotes" sheetId="97" r:id="rId1"/>
    <sheet name="Instructions" sheetId="17" r:id="rId2"/>
    <sheet name="Main" sheetId="9" r:id="rId3"/>
    <sheet name="GammaVsQ2" sheetId="38" r:id="rId4"/>
    <sheet name="ForExport" sheetId="102" r:id="rId5"/>
    <sheet name="MEXP" sheetId="106" r:id="rId6"/>
    <sheet name="Parameters" sheetId="39" r:id="rId7"/>
  </sheets>
  <definedNames>
    <definedName name="ampl1">MEXP!$E$5</definedName>
    <definedName name="ampl2">MEXP!$E$6</definedName>
    <definedName name="ampl3">MEXP!$E$7</definedName>
    <definedName name="BaseAdjust">MEXP!$E$4</definedName>
    <definedName name="EtaCP">Parameters!$B$6</definedName>
    <definedName name="EtaP">Parameters!$C$6</definedName>
    <definedName name="FirstChanUsed">MEXP!$K$5</definedName>
    <definedName name="gamma1">MEXP!$G$5</definedName>
    <definedName name="gamma2">MEXP!$G$6</definedName>
    <definedName name="gamma3">MEXP!$G$7</definedName>
    <definedName name="kBoltz">Parameters!$B$3</definedName>
    <definedName name="LamCM">Parameters!$C$4</definedName>
    <definedName name="LastChanUsed">MEXP!$K$6</definedName>
    <definedName name="NumFilesOpened">Main!$B$13</definedName>
    <definedName name="Refin">Parameters!$B$5</definedName>
    <definedName name="solver_adj" localSheetId="5" hidden="1">MEXP!$E$4,MEXP!$E$5,MEXP!$G$5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0</definedName>
    <definedName name="solver_nwt" localSheetId="5" hidden="1">1</definedName>
    <definedName name="solver_opt" localSheetId="5" hidden="1">MEXP!$H$11</definedName>
    <definedName name="solver_pre" localSheetId="5" hidden="1">0.000001</definedName>
    <definedName name="solver_rbv" localSheetId="5" hidden="1">1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  <definedName name="TdegK">Parameters!$B$8</definedName>
    <definedName name="WhichFunction">Main!$B$16</definedName>
  </definedNames>
  <calcPr calcId="191029"/>
</workbook>
</file>

<file path=xl/calcChain.xml><?xml version="1.0" encoding="utf-8"?>
<calcChain xmlns="http://schemas.openxmlformats.org/spreadsheetml/2006/main">
  <c r="AG9" i="106" l="1"/>
  <c r="AJ9" i="106"/>
  <c r="C6" i="39" l="1"/>
  <c r="B8" i="39"/>
  <c r="AD11" i="106"/>
  <c r="AG11" i="106" s="1"/>
  <c r="AJ11" i="106" s="1"/>
  <c r="AD10" i="106"/>
  <c r="AD8" i="106"/>
  <c r="AD7" i="106"/>
  <c r="AD6" i="106"/>
  <c r="AD5" i="106"/>
  <c r="AD4" i="106"/>
  <c r="AC4" i="106"/>
  <c r="AC5" i="106"/>
  <c r="AC6" i="106"/>
  <c r="AC7" i="106"/>
  <c r="AC8" i="106"/>
  <c r="AC9" i="106"/>
  <c r="AI9" i="106" s="1"/>
  <c r="AL9" i="106" s="1"/>
  <c r="AC10" i="106"/>
  <c r="AG10" i="106" s="1"/>
  <c r="AJ10" i="106" s="1"/>
  <c r="AC11" i="106"/>
  <c r="AI11" i="106" s="1"/>
  <c r="AL11" i="106" s="1"/>
  <c r="AF11" i="106"/>
  <c r="AE11" i="106"/>
  <c r="AH11" i="106" s="1"/>
  <c r="AK11" i="106" s="1"/>
  <c r="AF10" i="106"/>
  <c r="AE10" i="106"/>
  <c r="AE9" i="106"/>
  <c r="AF8" i="106"/>
  <c r="AE8" i="106"/>
  <c r="AF7" i="106"/>
  <c r="AE7" i="106"/>
  <c r="AF6" i="106"/>
  <c r="AE6" i="106"/>
  <c r="AH6" i="106" s="1"/>
  <c r="AK6" i="106" s="1"/>
  <c r="AF5" i="106"/>
  <c r="AE5" i="106"/>
  <c r="AF4" i="106"/>
  <c r="AE4" i="106"/>
  <c r="AH10" i="106" l="1"/>
  <c r="AK10" i="106" s="1"/>
  <c r="AI10" i="106"/>
  <c r="AL10" i="106" s="1"/>
  <c r="AH9" i="106"/>
  <c r="AK9" i="106" s="1"/>
  <c r="AG8" i="106"/>
  <c r="AJ8" i="106" s="1"/>
  <c r="AI8" i="106"/>
  <c r="AL8" i="106" s="1"/>
  <c r="AH8" i="106"/>
  <c r="AK8" i="106" s="1"/>
  <c r="AI7" i="106"/>
  <c r="AL7" i="106" s="1"/>
  <c r="AH7" i="106"/>
  <c r="AK7" i="106" s="1"/>
  <c r="AG7" i="106"/>
  <c r="AJ7" i="106" s="1"/>
  <c r="AI6" i="106"/>
  <c r="AL6" i="106" s="1"/>
  <c r="AG6" i="106"/>
  <c r="AJ6" i="106" s="1"/>
  <c r="AH5" i="106"/>
  <c r="AK5" i="106" s="1"/>
  <c r="AI5" i="106"/>
  <c r="AL5" i="106" s="1"/>
  <c r="AG5" i="106"/>
  <c r="AJ5" i="106" s="1"/>
  <c r="AI4" i="106"/>
  <c r="AL4" i="106" s="1"/>
  <c r="AG4" i="106"/>
  <c r="AJ4" i="106" s="1"/>
  <c r="AH4" i="106"/>
  <c r="AK4" i="106" s="1"/>
  <c r="E12" i="106"/>
  <c r="E13" i="106"/>
  <c r="E14" i="106"/>
  <c r="E15" i="106"/>
  <c r="E16" i="106"/>
  <c r="E17" i="106"/>
  <c r="E18" i="106"/>
  <c r="E19" i="106"/>
  <c r="E20" i="106"/>
  <c r="E21" i="106"/>
  <c r="E22" i="106"/>
  <c r="E23" i="106"/>
  <c r="E24" i="106"/>
  <c r="E25" i="106"/>
  <c r="E26" i="106"/>
  <c r="E27" i="106"/>
  <c r="E28" i="106"/>
  <c r="E29" i="106"/>
  <c r="E30" i="106"/>
  <c r="E31" i="106"/>
  <c r="E32" i="106"/>
  <c r="E33" i="106"/>
  <c r="E34" i="106"/>
  <c r="E35" i="106"/>
  <c r="E36" i="106"/>
  <c r="E37" i="106"/>
  <c r="E38" i="106"/>
  <c r="E39" i="106"/>
  <c r="E40" i="106"/>
  <c r="E41" i="106"/>
  <c r="E42" i="106"/>
  <c r="E43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E60" i="106"/>
  <c r="E61" i="106"/>
  <c r="E62" i="106"/>
  <c r="E63" i="106"/>
  <c r="E64" i="106"/>
  <c r="E65" i="106"/>
  <c r="E66" i="106"/>
  <c r="E67" i="106"/>
  <c r="E68" i="106"/>
  <c r="E69" i="106"/>
  <c r="E70" i="106"/>
  <c r="E71" i="106"/>
  <c r="E72" i="106"/>
  <c r="E73" i="106"/>
  <c r="E74" i="106"/>
  <c r="E75" i="106"/>
  <c r="E76" i="106"/>
  <c r="E77" i="106"/>
  <c r="E78" i="106"/>
  <c r="E79" i="106"/>
  <c r="E80" i="106"/>
  <c r="E81" i="106"/>
  <c r="E82" i="106"/>
  <c r="E83" i="106"/>
  <c r="E84" i="106"/>
  <c r="E85" i="106"/>
  <c r="E86" i="106"/>
  <c r="E87" i="106"/>
  <c r="E88" i="106"/>
  <c r="E89" i="106"/>
  <c r="E90" i="106"/>
  <c r="E91" i="106"/>
  <c r="E92" i="106"/>
  <c r="E93" i="106"/>
  <c r="E94" i="106"/>
  <c r="E95" i="106"/>
  <c r="E96" i="106"/>
  <c r="E97" i="106"/>
  <c r="E98" i="106"/>
  <c r="E99" i="106"/>
  <c r="E100" i="106"/>
  <c r="E101" i="106"/>
  <c r="E102" i="106"/>
  <c r="E103" i="106"/>
  <c r="E104" i="106"/>
  <c r="E105" i="106"/>
  <c r="E106" i="106"/>
  <c r="E107" i="106"/>
  <c r="E108" i="106"/>
  <c r="E109" i="106"/>
  <c r="E110" i="106"/>
  <c r="E111" i="106"/>
  <c r="E112" i="106"/>
  <c r="E113" i="106"/>
  <c r="E114" i="106"/>
  <c r="E115" i="106"/>
  <c r="E116" i="106"/>
  <c r="E117" i="106"/>
  <c r="E118" i="106"/>
  <c r="E119" i="106"/>
  <c r="E120" i="106"/>
  <c r="E121" i="106"/>
  <c r="E122" i="106"/>
  <c r="E123" i="106"/>
  <c r="E124" i="106"/>
  <c r="E125" i="106"/>
  <c r="E126" i="106"/>
  <c r="E127" i="106"/>
  <c r="E128" i="106"/>
  <c r="E129" i="106"/>
  <c r="E130" i="106"/>
  <c r="E131" i="106"/>
  <c r="E132" i="106"/>
  <c r="E133" i="106"/>
  <c r="E134" i="106"/>
  <c r="E135" i="106"/>
  <c r="E136" i="106"/>
  <c r="E137" i="106"/>
  <c r="E138" i="106"/>
  <c r="E139" i="106"/>
  <c r="E140" i="106"/>
  <c r="E141" i="106"/>
  <c r="E142" i="106"/>
  <c r="E143" i="106"/>
  <c r="E144" i="106"/>
  <c r="E145" i="106"/>
  <c r="E146" i="106"/>
  <c r="E147" i="106"/>
  <c r="E148" i="106"/>
  <c r="E149" i="106"/>
  <c r="E150" i="106"/>
  <c r="E151" i="106"/>
  <c r="E152" i="106"/>
  <c r="E153" i="106"/>
  <c r="E154" i="106"/>
  <c r="E155" i="106"/>
  <c r="E156" i="106"/>
  <c r="E157" i="106"/>
  <c r="E158" i="106"/>
  <c r="E159" i="106"/>
  <c r="E160" i="106"/>
  <c r="E161" i="106"/>
  <c r="E162" i="106"/>
  <c r="E163" i="106"/>
  <c r="E164" i="106"/>
  <c r="E165" i="106"/>
  <c r="E166" i="106"/>
  <c r="E167" i="106"/>
  <c r="E168" i="106"/>
  <c r="E169" i="106"/>
  <c r="E170" i="106"/>
  <c r="E171" i="106"/>
  <c r="E172" i="106"/>
  <c r="E173" i="106"/>
  <c r="E174" i="106"/>
  <c r="E175" i="106"/>
  <c r="E176" i="106"/>
  <c r="E177" i="106"/>
  <c r="E178" i="106"/>
  <c r="E179" i="106"/>
  <c r="E180" i="106"/>
  <c r="E181" i="106"/>
  <c r="E182" i="106"/>
  <c r="E183" i="106"/>
  <c r="E184" i="106"/>
  <c r="E185" i="106"/>
  <c r="E186" i="106"/>
  <c r="E187" i="106"/>
  <c r="E188" i="106"/>
  <c r="E189" i="106"/>
  <c r="E190" i="106"/>
  <c r="E191" i="106"/>
  <c r="E192" i="106"/>
  <c r="E193" i="106"/>
  <c r="E194" i="106"/>
  <c r="E195" i="106"/>
  <c r="E196" i="106"/>
  <c r="E197" i="106"/>
  <c r="E198" i="106"/>
  <c r="E199" i="106"/>
  <c r="E200" i="106"/>
  <c r="E201" i="106"/>
  <c r="E202" i="106"/>
  <c r="E203" i="106"/>
  <c r="E204" i="106"/>
  <c r="E205" i="106"/>
  <c r="E206" i="106"/>
  <c r="E207" i="106"/>
  <c r="E208" i="106"/>
  <c r="E209" i="106"/>
  <c r="E210" i="106"/>
  <c r="E211" i="106"/>
  <c r="E212" i="106"/>
  <c r="E213" i="106"/>
  <c r="E214" i="106"/>
  <c r="E215" i="106"/>
  <c r="E216" i="106"/>
  <c r="E217" i="106"/>
  <c r="E218" i="106"/>
  <c r="E219" i="106"/>
  <c r="E220" i="106"/>
  <c r="E221" i="106"/>
  <c r="E222" i="106"/>
  <c r="E223" i="106"/>
  <c r="E224" i="106"/>
  <c r="E225" i="106"/>
  <c r="E226" i="106"/>
  <c r="E227" i="106"/>
  <c r="E228" i="106"/>
  <c r="E229" i="106"/>
  <c r="E230" i="106"/>
  <c r="E231" i="106"/>
  <c r="E232" i="106"/>
  <c r="E233" i="106"/>
  <c r="E234" i="106"/>
  <c r="E235" i="106"/>
  <c r="E236" i="106"/>
  <c r="E237" i="106"/>
  <c r="E238" i="106"/>
  <c r="E239" i="106"/>
  <c r="E240" i="106"/>
  <c r="E241" i="106"/>
  <c r="E242" i="106"/>
  <c r="E243" i="106"/>
  <c r="E244" i="106"/>
  <c r="E245" i="106"/>
  <c r="E246" i="106"/>
  <c r="E247" i="106"/>
  <c r="E248" i="106"/>
  <c r="E249" i="106"/>
  <c r="E250" i="106"/>
  <c r="E251" i="106"/>
  <c r="E252" i="106"/>
  <c r="E253" i="106"/>
  <c r="E254" i="106"/>
  <c r="E255" i="106"/>
  <c r="E256" i="106"/>
  <c r="E257" i="106"/>
  <c r="E258" i="106"/>
  <c r="E259" i="106"/>
  <c r="E260" i="106"/>
  <c r="E261" i="106"/>
  <c r="E262" i="106"/>
  <c r="E263" i="106"/>
  <c r="E264" i="106"/>
  <c r="E265" i="106"/>
  <c r="E266" i="106"/>
  <c r="E267" i="106"/>
  <c r="E268" i="106"/>
  <c r="E269" i="106"/>
  <c r="E270" i="106"/>
  <c r="E271" i="106"/>
  <c r="E272" i="106"/>
  <c r="E273" i="106"/>
  <c r="E274" i="106"/>
  <c r="E275" i="106"/>
  <c r="E276" i="106"/>
  <c r="E277" i="106"/>
  <c r="E278" i="106"/>
  <c r="E279" i="106"/>
  <c r="E280" i="106"/>
  <c r="E281" i="106"/>
  <c r="E282" i="106"/>
  <c r="E283" i="106"/>
  <c r="E284" i="106"/>
  <c r="E285" i="106"/>
  <c r="E286" i="106"/>
  <c r="E287" i="106"/>
  <c r="E288" i="106"/>
  <c r="E289" i="106"/>
  <c r="E290" i="106"/>
  <c r="E291" i="106"/>
  <c r="E292" i="106"/>
  <c r="E293" i="106"/>
  <c r="E294" i="106"/>
  <c r="E295" i="106"/>
  <c r="E296" i="106"/>
  <c r="E297" i="106"/>
  <c r="E298" i="106"/>
  <c r="E299" i="106"/>
  <c r="E300" i="106"/>
  <c r="E301" i="106"/>
  <c r="E302" i="106"/>
  <c r="E303" i="106"/>
  <c r="E304" i="106"/>
  <c r="E305" i="106"/>
  <c r="E306" i="106"/>
  <c r="E307" i="106"/>
  <c r="E308" i="106"/>
  <c r="E309" i="106"/>
  <c r="E310" i="106"/>
  <c r="E311" i="106"/>
  <c r="E312" i="106"/>
  <c r="E313" i="106"/>
  <c r="E314" i="106"/>
  <c r="E315" i="106"/>
  <c r="E316" i="106"/>
  <c r="E317" i="106"/>
  <c r="E318" i="106"/>
  <c r="E319" i="106"/>
  <c r="E320" i="106"/>
  <c r="E321" i="106"/>
  <c r="E322" i="106"/>
  <c r="E323" i="106"/>
  <c r="E324" i="106"/>
  <c r="E325" i="106"/>
  <c r="E326" i="106"/>
  <c r="E327" i="106"/>
  <c r="E328" i="106"/>
  <c r="E329" i="106"/>
  <c r="E330" i="106"/>
  <c r="E331" i="106"/>
  <c r="E332" i="106"/>
  <c r="E333" i="106"/>
  <c r="E334" i="106"/>
  <c r="E335" i="106"/>
  <c r="E336" i="106"/>
  <c r="E337" i="106"/>
  <c r="E338" i="106"/>
  <c r="E339" i="106"/>
  <c r="E340" i="106"/>
  <c r="E341" i="106"/>
  <c r="E342" i="106"/>
  <c r="E343" i="106"/>
  <c r="E344" i="106"/>
  <c r="E345" i="106"/>
  <c r="E346" i="106"/>
  <c r="E347" i="106"/>
  <c r="E348" i="106"/>
  <c r="E349" i="106"/>
  <c r="E350" i="106"/>
  <c r="E351" i="106"/>
  <c r="E352" i="106"/>
  <c r="E353" i="106"/>
  <c r="E354" i="106"/>
  <c r="E355" i="106"/>
  <c r="E356" i="106"/>
  <c r="E357" i="106"/>
  <c r="E358" i="106"/>
  <c r="E359" i="106"/>
  <c r="E360" i="106"/>
  <c r="E361" i="106"/>
  <c r="E362" i="106"/>
  <c r="E363" i="106"/>
  <c r="E364" i="106"/>
  <c r="E365" i="106"/>
  <c r="E366" i="106"/>
  <c r="E367" i="106"/>
  <c r="E368" i="106"/>
  <c r="E369" i="106"/>
  <c r="E370" i="106"/>
  <c r="E371" i="106"/>
  <c r="E372" i="106"/>
  <c r="E373" i="106"/>
  <c r="E374" i="106"/>
  <c r="E375" i="106"/>
  <c r="E376" i="106"/>
  <c r="E377" i="106"/>
  <c r="E378" i="106"/>
  <c r="E379" i="106"/>
  <c r="E380" i="106"/>
  <c r="E381" i="106"/>
  <c r="E382" i="106"/>
  <c r="E383" i="106"/>
  <c r="E384" i="106"/>
  <c r="E385" i="106"/>
  <c r="E386" i="106"/>
  <c r="E387" i="106"/>
  <c r="E388" i="106"/>
  <c r="E389" i="106"/>
  <c r="E390" i="106"/>
  <c r="E391" i="106"/>
  <c r="E392" i="106"/>
  <c r="E393" i="106"/>
  <c r="E394" i="106"/>
  <c r="E395" i="106"/>
  <c r="E396" i="106"/>
  <c r="E397" i="106"/>
  <c r="E398" i="106"/>
  <c r="E399" i="106"/>
  <c r="E400" i="106"/>
  <c r="E401" i="106"/>
  <c r="E402" i="106"/>
  <c r="E403" i="106"/>
  <c r="E404" i="106"/>
  <c r="E405" i="106"/>
  <c r="E406" i="106"/>
  <c r="E407" i="106"/>
  <c r="E408" i="106"/>
  <c r="E409" i="106"/>
  <c r="E410" i="106"/>
  <c r="E411" i="106"/>
  <c r="E412" i="106"/>
  <c r="E413" i="106"/>
  <c r="E414" i="106"/>
  <c r="E415" i="106"/>
  <c r="E416" i="106"/>
  <c r="E417" i="106"/>
  <c r="E418" i="106"/>
  <c r="E419" i="106"/>
  <c r="E420" i="106"/>
  <c r="E421" i="106"/>
  <c r="E422" i="106"/>
  <c r="E423" i="106"/>
  <c r="E424" i="106"/>
  <c r="E425" i="106"/>
  <c r="E426" i="106"/>
  <c r="E427" i="106"/>
  <c r="E428" i="106"/>
  <c r="E429" i="106"/>
  <c r="E430" i="106"/>
  <c r="E431" i="106"/>
  <c r="E432" i="106"/>
  <c r="E433" i="106"/>
  <c r="E434" i="106"/>
  <c r="E435" i="106"/>
  <c r="E436" i="106"/>
  <c r="E437" i="106"/>
  <c r="E438" i="106"/>
  <c r="E439" i="106"/>
  <c r="E440" i="106"/>
  <c r="E441" i="106"/>
  <c r="E442" i="106"/>
  <c r="E443" i="106"/>
  <c r="E444" i="106"/>
  <c r="E445" i="106"/>
  <c r="E446" i="106"/>
  <c r="E447" i="106"/>
  <c r="E448" i="106"/>
  <c r="E449" i="106"/>
  <c r="E450" i="106"/>
  <c r="E451" i="106"/>
  <c r="E452" i="106"/>
  <c r="E453" i="106"/>
  <c r="E454" i="106"/>
  <c r="E455" i="106"/>
  <c r="E456" i="106"/>
  <c r="E457" i="106"/>
  <c r="E458" i="106"/>
  <c r="E459" i="106"/>
  <c r="E460" i="106"/>
  <c r="E461" i="106"/>
  <c r="E462" i="106"/>
  <c r="E463" i="106"/>
  <c r="E464" i="106"/>
  <c r="E465" i="106"/>
  <c r="E466" i="106"/>
  <c r="E467" i="106"/>
  <c r="E468" i="106"/>
  <c r="E469" i="106"/>
  <c r="E470" i="106"/>
  <c r="E471" i="106"/>
  <c r="E472" i="106"/>
  <c r="E473" i="106"/>
  <c r="E474" i="106"/>
  <c r="E475" i="106"/>
  <c r="E476" i="106"/>
  <c r="E477" i="106"/>
  <c r="E478" i="106"/>
  <c r="E479" i="106"/>
  <c r="E480" i="106"/>
  <c r="E481" i="106"/>
  <c r="E482" i="106"/>
  <c r="E483" i="106"/>
  <c r="E484" i="106"/>
  <c r="E485" i="106"/>
  <c r="E486" i="106"/>
  <c r="E487" i="106"/>
  <c r="E488" i="106"/>
  <c r="E489" i="106"/>
  <c r="E490" i="106"/>
  <c r="E491" i="106"/>
  <c r="E492" i="106"/>
  <c r="E493" i="106"/>
  <c r="E494" i="106"/>
  <c r="E495" i="106"/>
  <c r="E496" i="106"/>
  <c r="E497" i="106"/>
  <c r="E498" i="106"/>
  <c r="E499" i="106"/>
  <c r="E500" i="106"/>
  <c r="E501" i="106"/>
  <c r="E502" i="106"/>
  <c r="E503" i="106"/>
  <c r="E504" i="106"/>
  <c r="E505" i="106"/>
  <c r="E506" i="106"/>
  <c r="E507" i="106"/>
  <c r="E508" i="106"/>
  <c r="E509" i="106"/>
  <c r="E510" i="106"/>
  <c r="E511" i="106"/>
  <c r="E512" i="106"/>
  <c r="E513" i="106"/>
  <c r="E514" i="106"/>
  <c r="E515" i="106"/>
  <c r="E516" i="106"/>
  <c r="E517" i="106"/>
  <c r="E518" i="106"/>
  <c r="E519" i="106"/>
  <c r="E520" i="106"/>
  <c r="E521" i="106"/>
  <c r="E522" i="106"/>
  <c r="E523" i="106"/>
  <c r="E524" i="106"/>
  <c r="E525" i="106"/>
  <c r="E526" i="106"/>
  <c r="E527" i="106"/>
  <c r="E528" i="106"/>
  <c r="E529" i="106"/>
  <c r="E530" i="106"/>
  <c r="E531" i="106"/>
  <c r="E532" i="106"/>
  <c r="E533" i="106"/>
  <c r="E534" i="106"/>
  <c r="E535" i="106"/>
  <c r="E536" i="106"/>
  <c r="E537" i="106"/>
  <c r="E538" i="106"/>
  <c r="E539" i="106"/>
  <c r="E540" i="106"/>
  <c r="E541" i="106"/>
  <c r="E542" i="106"/>
  <c r="E543" i="106"/>
  <c r="E544" i="106"/>
  <c r="E545" i="106"/>
  <c r="E546" i="106"/>
  <c r="E547" i="106"/>
  <c r="E548" i="106"/>
  <c r="E549" i="106"/>
  <c r="E550" i="106"/>
  <c r="E551" i="106"/>
  <c r="E552" i="106"/>
  <c r="E553" i="106"/>
  <c r="E554" i="106"/>
  <c r="E555" i="106"/>
  <c r="E556" i="106"/>
  <c r="E557" i="106"/>
  <c r="E558" i="106"/>
  <c r="E559" i="106"/>
  <c r="E560" i="106"/>
  <c r="E561" i="106"/>
  <c r="E562" i="106"/>
  <c r="E563" i="106"/>
  <c r="E564" i="106"/>
  <c r="E565" i="106"/>
  <c r="E566" i="106"/>
  <c r="E567" i="106"/>
  <c r="E568" i="106"/>
  <c r="E569" i="106"/>
  <c r="E570" i="106"/>
  <c r="E571" i="106"/>
  <c r="E572" i="106"/>
  <c r="E573" i="106"/>
  <c r="E574" i="106"/>
  <c r="E575" i="106"/>
  <c r="E576" i="106"/>
  <c r="E577" i="106"/>
  <c r="E578" i="106"/>
  <c r="E579" i="106"/>
  <c r="E580" i="106"/>
  <c r="E581" i="106"/>
  <c r="E582" i="106"/>
  <c r="E583" i="106"/>
  <c r="E584" i="106"/>
  <c r="E585" i="106"/>
  <c r="E586" i="106"/>
  <c r="E587" i="106"/>
  <c r="E588" i="106"/>
  <c r="E589" i="106"/>
  <c r="E590" i="106"/>
  <c r="E591" i="106"/>
  <c r="E592" i="106"/>
  <c r="E593" i="106"/>
  <c r="E594" i="106"/>
  <c r="E595" i="106"/>
  <c r="E596" i="106"/>
  <c r="E597" i="106"/>
  <c r="E598" i="106"/>
  <c r="E599" i="106"/>
  <c r="E600" i="106"/>
  <c r="E601" i="106"/>
  <c r="E602" i="106"/>
  <c r="E603" i="106"/>
  <c r="E604" i="106"/>
  <c r="E605" i="106"/>
  <c r="E606" i="106"/>
  <c r="E607" i="106"/>
  <c r="E608" i="106"/>
  <c r="E609" i="106"/>
  <c r="E610" i="106"/>
  <c r="E11" i="106"/>
  <c r="C5" i="106"/>
  <c r="K6" i="106" l="1"/>
  <c r="K5" i="106"/>
  <c r="B12" i="106"/>
  <c r="F12" i="106" s="1"/>
  <c r="G12" i="106" s="1"/>
  <c r="B13" i="106"/>
  <c r="F13" i="106" s="1"/>
  <c r="G13" i="106" s="1"/>
  <c r="B14" i="106"/>
  <c r="F14" i="106" s="1"/>
  <c r="G14" i="106" s="1"/>
  <c r="B15" i="106"/>
  <c r="F15" i="106"/>
  <c r="G15" i="106" s="1"/>
  <c r="B16" i="106"/>
  <c r="F16" i="106" s="1"/>
  <c r="G16" i="106" s="1"/>
  <c r="B17" i="106"/>
  <c r="F17" i="106" s="1"/>
  <c r="G17" i="106" s="1"/>
  <c r="B18" i="106"/>
  <c r="F18" i="106" s="1"/>
  <c r="G18" i="106" s="1"/>
  <c r="B19" i="106"/>
  <c r="F19" i="106" s="1"/>
  <c r="G19" i="106" s="1"/>
  <c r="B20" i="106"/>
  <c r="F20" i="106" s="1"/>
  <c r="G20" i="106" s="1"/>
  <c r="B21" i="106"/>
  <c r="F21" i="106" s="1"/>
  <c r="G21" i="106" s="1"/>
  <c r="B22" i="106"/>
  <c r="F22" i="106" s="1"/>
  <c r="G22" i="106" s="1"/>
  <c r="B23" i="106"/>
  <c r="F23" i="106" s="1"/>
  <c r="G23" i="106" s="1"/>
  <c r="B24" i="106"/>
  <c r="F24" i="106" s="1"/>
  <c r="G24" i="106" s="1"/>
  <c r="B25" i="106"/>
  <c r="F25" i="106" s="1"/>
  <c r="G25" i="106" s="1"/>
  <c r="B26" i="106"/>
  <c r="F26" i="106" s="1"/>
  <c r="G26" i="106" s="1"/>
  <c r="B27" i="106"/>
  <c r="F27" i="106" s="1"/>
  <c r="G27" i="106" s="1"/>
  <c r="B28" i="106"/>
  <c r="F28" i="106" s="1"/>
  <c r="G28" i="106" s="1"/>
  <c r="B29" i="106"/>
  <c r="F29" i="106"/>
  <c r="G29" i="106" s="1"/>
  <c r="B30" i="106"/>
  <c r="F30" i="106" s="1"/>
  <c r="G30" i="106" s="1"/>
  <c r="B31" i="106"/>
  <c r="F31" i="106"/>
  <c r="G31" i="106" s="1"/>
  <c r="B32" i="106"/>
  <c r="F32" i="106" s="1"/>
  <c r="G32" i="106" s="1"/>
  <c r="B33" i="106"/>
  <c r="F33" i="106" s="1"/>
  <c r="G33" i="106" s="1"/>
  <c r="B34" i="106"/>
  <c r="F34" i="106" s="1"/>
  <c r="G34" i="106" s="1"/>
  <c r="B35" i="106"/>
  <c r="F35" i="106" s="1"/>
  <c r="G35" i="106" s="1"/>
  <c r="B36" i="106"/>
  <c r="F36" i="106" s="1"/>
  <c r="G36" i="106" s="1"/>
  <c r="B37" i="106"/>
  <c r="F37" i="106"/>
  <c r="G37" i="106" s="1"/>
  <c r="B38" i="106"/>
  <c r="F38" i="106" s="1"/>
  <c r="G38" i="106" s="1"/>
  <c r="B39" i="106"/>
  <c r="F39" i="106" s="1"/>
  <c r="G39" i="106" s="1"/>
  <c r="B40" i="106"/>
  <c r="F40" i="106" s="1"/>
  <c r="G40" i="106" s="1"/>
  <c r="B41" i="106"/>
  <c r="F41" i="106" s="1"/>
  <c r="G41" i="106" s="1"/>
  <c r="B42" i="106"/>
  <c r="F42" i="106" s="1"/>
  <c r="G42" i="106" s="1"/>
  <c r="B43" i="106"/>
  <c r="F43" i="106" s="1"/>
  <c r="G43" i="106" s="1"/>
  <c r="B44" i="106"/>
  <c r="F44" i="106" s="1"/>
  <c r="G44" i="106" s="1"/>
  <c r="B45" i="106"/>
  <c r="F45" i="106"/>
  <c r="G45" i="106" s="1"/>
  <c r="B46" i="106"/>
  <c r="F46" i="106" s="1"/>
  <c r="G46" i="106" s="1"/>
  <c r="B47" i="106"/>
  <c r="F47" i="106" s="1"/>
  <c r="G47" i="106" s="1"/>
  <c r="B48" i="106"/>
  <c r="F48" i="106" s="1"/>
  <c r="G48" i="106" s="1"/>
  <c r="B49" i="106"/>
  <c r="F49" i="106" s="1"/>
  <c r="G49" i="106" s="1"/>
  <c r="B50" i="106"/>
  <c r="F50" i="106" s="1"/>
  <c r="G50" i="106" s="1"/>
  <c r="B51" i="106"/>
  <c r="F51" i="106" s="1"/>
  <c r="G51" i="106" s="1"/>
  <c r="B52" i="106"/>
  <c r="F52" i="106" s="1"/>
  <c r="G52" i="106" s="1"/>
  <c r="B53" i="106"/>
  <c r="F53" i="106"/>
  <c r="G53" i="106" s="1"/>
  <c r="B54" i="106"/>
  <c r="F54" i="106" s="1"/>
  <c r="G54" i="106" s="1"/>
  <c r="B55" i="106"/>
  <c r="F55" i="106" s="1"/>
  <c r="G55" i="106" s="1"/>
  <c r="B56" i="106"/>
  <c r="F56" i="106" s="1"/>
  <c r="G56" i="106" s="1"/>
  <c r="B57" i="106"/>
  <c r="F57" i="106"/>
  <c r="G57" i="106" s="1"/>
  <c r="B58" i="106"/>
  <c r="F58" i="106" s="1"/>
  <c r="G58" i="106" s="1"/>
  <c r="B59" i="106"/>
  <c r="F59" i="106" s="1"/>
  <c r="G59" i="106" s="1"/>
  <c r="B60" i="106"/>
  <c r="F60" i="106" s="1"/>
  <c r="G60" i="106" s="1"/>
  <c r="B61" i="106"/>
  <c r="F61" i="106" s="1"/>
  <c r="G61" i="106" s="1"/>
  <c r="B62" i="106"/>
  <c r="F62" i="106" s="1"/>
  <c r="G62" i="106" s="1"/>
  <c r="B63" i="106"/>
  <c r="F63" i="106" s="1"/>
  <c r="G63" i="106" s="1"/>
  <c r="B64" i="106"/>
  <c r="F64" i="106" s="1"/>
  <c r="G64" i="106" s="1"/>
  <c r="B65" i="106"/>
  <c r="F65" i="106"/>
  <c r="G65" i="106" s="1"/>
  <c r="B66" i="106"/>
  <c r="F66" i="106" s="1"/>
  <c r="G66" i="106" s="1"/>
  <c r="B67" i="106"/>
  <c r="F67" i="106" s="1"/>
  <c r="G67" i="106" s="1"/>
  <c r="B68" i="106"/>
  <c r="F68" i="106" s="1"/>
  <c r="G68" i="106" s="1"/>
  <c r="B69" i="106"/>
  <c r="F69" i="106" s="1"/>
  <c r="G69" i="106" s="1"/>
  <c r="B70" i="106"/>
  <c r="F70" i="106" s="1"/>
  <c r="G70" i="106" s="1"/>
  <c r="B71" i="106"/>
  <c r="F71" i="106" s="1"/>
  <c r="G71" i="106" s="1"/>
  <c r="B72" i="106"/>
  <c r="F72" i="106" s="1"/>
  <c r="G72" i="106" s="1"/>
  <c r="B73" i="106"/>
  <c r="F73" i="106"/>
  <c r="G73" i="106" s="1"/>
  <c r="B74" i="106"/>
  <c r="F74" i="106" s="1"/>
  <c r="G74" i="106" s="1"/>
  <c r="B75" i="106"/>
  <c r="F75" i="106" s="1"/>
  <c r="G75" i="106" s="1"/>
  <c r="B76" i="106"/>
  <c r="F76" i="106" s="1"/>
  <c r="G76" i="106" s="1"/>
  <c r="B77" i="106"/>
  <c r="F77" i="106" s="1"/>
  <c r="G77" i="106" s="1"/>
  <c r="B78" i="106"/>
  <c r="F78" i="106" s="1"/>
  <c r="G78" i="106" s="1"/>
  <c r="B79" i="106"/>
  <c r="F79" i="106" s="1"/>
  <c r="G79" i="106" s="1"/>
  <c r="B80" i="106"/>
  <c r="F80" i="106" s="1"/>
  <c r="G80" i="106" s="1"/>
  <c r="B81" i="106"/>
  <c r="F81" i="106"/>
  <c r="G81" i="106" s="1"/>
  <c r="B82" i="106"/>
  <c r="F82" i="106" s="1"/>
  <c r="G82" i="106" s="1"/>
  <c r="B83" i="106"/>
  <c r="F83" i="106" s="1"/>
  <c r="G83" i="106" s="1"/>
  <c r="B84" i="106"/>
  <c r="F84" i="106" s="1"/>
  <c r="G84" i="106" s="1"/>
  <c r="B85" i="106"/>
  <c r="F85" i="106" s="1"/>
  <c r="G85" i="106" s="1"/>
  <c r="B86" i="106"/>
  <c r="F86" i="106" s="1"/>
  <c r="G86" i="106" s="1"/>
  <c r="B87" i="106"/>
  <c r="F87" i="106" s="1"/>
  <c r="G87" i="106" s="1"/>
  <c r="B88" i="106"/>
  <c r="F88" i="106" s="1"/>
  <c r="G88" i="106" s="1"/>
  <c r="B89" i="106"/>
  <c r="F89" i="106"/>
  <c r="G89" i="106" s="1"/>
  <c r="B90" i="106"/>
  <c r="F90" i="106" s="1"/>
  <c r="G90" i="106" s="1"/>
  <c r="B91" i="106"/>
  <c r="F91" i="106" s="1"/>
  <c r="G91" i="106" s="1"/>
  <c r="B92" i="106"/>
  <c r="F92" i="106" s="1"/>
  <c r="G92" i="106" s="1"/>
  <c r="B93" i="106"/>
  <c r="F93" i="106" s="1"/>
  <c r="G93" i="106" s="1"/>
  <c r="B94" i="106"/>
  <c r="F94" i="106" s="1"/>
  <c r="G94" i="106" s="1"/>
  <c r="B95" i="106"/>
  <c r="F95" i="106" s="1"/>
  <c r="G95" i="106" s="1"/>
  <c r="B96" i="106"/>
  <c r="F96" i="106" s="1"/>
  <c r="G96" i="106" s="1"/>
  <c r="B97" i="106"/>
  <c r="F97" i="106"/>
  <c r="G97" i="106" s="1"/>
  <c r="B98" i="106"/>
  <c r="F98" i="106" s="1"/>
  <c r="G98" i="106" s="1"/>
  <c r="B99" i="106"/>
  <c r="F99" i="106" s="1"/>
  <c r="G99" i="106" s="1"/>
  <c r="B100" i="106"/>
  <c r="F100" i="106" s="1"/>
  <c r="G100" i="106" s="1"/>
  <c r="B101" i="106"/>
  <c r="F101" i="106" s="1"/>
  <c r="G101" i="106" s="1"/>
  <c r="B102" i="106"/>
  <c r="F102" i="106" s="1"/>
  <c r="G102" i="106" s="1"/>
  <c r="B103" i="106"/>
  <c r="F103" i="106" s="1"/>
  <c r="G103" i="106" s="1"/>
  <c r="B104" i="106"/>
  <c r="F104" i="106" s="1"/>
  <c r="G104" i="106" s="1"/>
  <c r="B105" i="106"/>
  <c r="F105" i="106"/>
  <c r="G105" i="106" s="1"/>
  <c r="B106" i="106"/>
  <c r="F106" i="106" s="1"/>
  <c r="G106" i="106" s="1"/>
  <c r="B107" i="106"/>
  <c r="F107" i="106" s="1"/>
  <c r="G107" i="106" s="1"/>
  <c r="B108" i="106"/>
  <c r="F108" i="106" s="1"/>
  <c r="G108" i="106" s="1"/>
  <c r="B109" i="106"/>
  <c r="F109" i="106" s="1"/>
  <c r="G109" i="106" s="1"/>
  <c r="B110" i="106"/>
  <c r="F110" i="106" s="1"/>
  <c r="G110" i="106" s="1"/>
  <c r="B111" i="106"/>
  <c r="F111" i="106" s="1"/>
  <c r="G111" i="106" s="1"/>
  <c r="B112" i="106"/>
  <c r="F112" i="106" s="1"/>
  <c r="G112" i="106" s="1"/>
  <c r="B113" i="106"/>
  <c r="F113" i="106"/>
  <c r="G113" i="106" s="1"/>
  <c r="B114" i="106"/>
  <c r="F114" i="106" s="1"/>
  <c r="G114" i="106" s="1"/>
  <c r="B115" i="106"/>
  <c r="F115" i="106" s="1"/>
  <c r="G115" i="106" s="1"/>
  <c r="B116" i="106"/>
  <c r="F116" i="106" s="1"/>
  <c r="G116" i="106" s="1"/>
  <c r="B117" i="106"/>
  <c r="F117" i="106" s="1"/>
  <c r="G117" i="106" s="1"/>
  <c r="B118" i="106"/>
  <c r="F118" i="106" s="1"/>
  <c r="G118" i="106" s="1"/>
  <c r="B119" i="106"/>
  <c r="F119" i="106" s="1"/>
  <c r="G119" i="106" s="1"/>
  <c r="B120" i="106"/>
  <c r="F120" i="106" s="1"/>
  <c r="G120" i="106" s="1"/>
  <c r="B121" i="106"/>
  <c r="F121" i="106"/>
  <c r="G121" i="106" s="1"/>
  <c r="B122" i="106"/>
  <c r="F122" i="106" s="1"/>
  <c r="G122" i="106" s="1"/>
  <c r="B123" i="106"/>
  <c r="F123" i="106" s="1"/>
  <c r="G123" i="106" s="1"/>
  <c r="B124" i="106"/>
  <c r="F124" i="106" s="1"/>
  <c r="G124" i="106" s="1"/>
  <c r="B125" i="106"/>
  <c r="F125" i="106" s="1"/>
  <c r="G125" i="106" s="1"/>
  <c r="B126" i="106"/>
  <c r="F126" i="106" s="1"/>
  <c r="G126" i="106" s="1"/>
  <c r="B127" i="106"/>
  <c r="F127" i="106" s="1"/>
  <c r="G127" i="106" s="1"/>
  <c r="B128" i="106"/>
  <c r="F128" i="106" s="1"/>
  <c r="G128" i="106" s="1"/>
  <c r="B129" i="106"/>
  <c r="F129" i="106"/>
  <c r="G129" i="106" s="1"/>
  <c r="B130" i="106"/>
  <c r="F130" i="106" s="1"/>
  <c r="G130" i="106" s="1"/>
  <c r="B131" i="106"/>
  <c r="F131" i="106" s="1"/>
  <c r="G131" i="106" s="1"/>
  <c r="B132" i="106"/>
  <c r="F132" i="106" s="1"/>
  <c r="G132" i="106" s="1"/>
  <c r="B133" i="106"/>
  <c r="F133" i="106" s="1"/>
  <c r="G133" i="106" s="1"/>
  <c r="B134" i="106"/>
  <c r="F134" i="106" s="1"/>
  <c r="G134" i="106" s="1"/>
  <c r="B135" i="106"/>
  <c r="F135" i="106" s="1"/>
  <c r="G135" i="106" s="1"/>
  <c r="B136" i="106"/>
  <c r="F136" i="106" s="1"/>
  <c r="G136" i="106" s="1"/>
  <c r="B137" i="106"/>
  <c r="F137" i="106"/>
  <c r="G137" i="106" s="1"/>
  <c r="B138" i="106"/>
  <c r="F138" i="106" s="1"/>
  <c r="G138" i="106" s="1"/>
  <c r="B139" i="106"/>
  <c r="F139" i="106" s="1"/>
  <c r="G139" i="106" s="1"/>
  <c r="B140" i="106"/>
  <c r="F140" i="106" s="1"/>
  <c r="G140" i="106" s="1"/>
  <c r="B141" i="106"/>
  <c r="F141" i="106" s="1"/>
  <c r="G141" i="106" s="1"/>
  <c r="B142" i="106"/>
  <c r="F142" i="106" s="1"/>
  <c r="G142" i="106" s="1"/>
  <c r="B143" i="106"/>
  <c r="F143" i="106" s="1"/>
  <c r="G143" i="106" s="1"/>
  <c r="B144" i="106"/>
  <c r="F144" i="106" s="1"/>
  <c r="G144" i="106" s="1"/>
  <c r="B145" i="106"/>
  <c r="F145" i="106"/>
  <c r="G145" i="106" s="1"/>
  <c r="B146" i="106"/>
  <c r="F146" i="106" s="1"/>
  <c r="G146" i="106" s="1"/>
  <c r="B147" i="106"/>
  <c r="F147" i="106" s="1"/>
  <c r="G147" i="106" s="1"/>
  <c r="B148" i="106"/>
  <c r="F148" i="106" s="1"/>
  <c r="G148" i="106" s="1"/>
  <c r="B149" i="106"/>
  <c r="F149" i="106" s="1"/>
  <c r="G149" i="106" s="1"/>
  <c r="B150" i="106"/>
  <c r="F150" i="106" s="1"/>
  <c r="G150" i="106" s="1"/>
  <c r="B151" i="106"/>
  <c r="F151" i="106" s="1"/>
  <c r="G151" i="106" s="1"/>
  <c r="B152" i="106"/>
  <c r="F152" i="106" s="1"/>
  <c r="G152" i="106" s="1"/>
  <c r="B153" i="106"/>
  <c r="F153" i="106"/>
  <c r="G153" i="106" s="1"/>
  <c r="B154" i="106"/>
  <c r="F154" i="106" s="1"/>
  <c r="G154" i="106" s="1"/>
  <c r="B155" i="106"/>
  <c r="F155" i="106" s="1"/>
  <c r="G155" i="106" s="1"/>
  <c r="B156" i="106"/>
  <c r="F156" i="106" s="1"/>
  <c r="G156" i="106" s="1"/>
  <c r="B157" i="106"/>
  <c r="F157" i="106" s="1"/>
  <c r="G157" i="106" s="1"/>
  <c r="B158" i="106"/>
  <c r="F158" i="106" s="1"/>
  <c r="G158" i="106" s="1"/>
  <c r="B159" i="106"/>
  <c r="F159" i="106" s="1"/>
  <c r="G159" i="106" s="1"/>
  <c r="B160" i="106"/>
  <c r="F160" i="106" s="1"/>
  <c r="G160" i="106" s="1"/>
  <c r="B161" i="106"/>
  <c r="F161" i="106"/>
  <c r="G161" i="106" s="1"/>
  <c r="B162" i="106"/>
  <c r="F162" i="106" s="1"/>
  <c r="G162" i="106" s="1"/>
  <c r="B163" i="106"/>
  <c r="F163" i="106" s="1"/>
  <c r="G163" i="106" s="1"/>
  <c r="B164" i="106"/>
  <c r="F164" i="106" s="1"/>
  <c r="G164" i="106" s="1"/>
  <c r="B165" i="106"/>
  <c r="F165" i="106" s="1"/>
  <c r="G165" i="106" s="1"/>
  <c r="B166" i="106"/>
  <c r="F166" i="106" s="1"/>
  <c r="G166" i="106" s="1"/>
  <c r="B167" i="106"/>
  <c r="F167" i="106" s="1"/>
  <c r="G167" i="106" s="1"/>
  <c r="B168" i="106"/>
  <c r="F168" i="106" s="1"/>
  <c r="G168" i="106" s="1"/>
  <c r="B169" i="106"/>
  <c r="F169" i="106"/>
  <c r="G169" i="106" s="1"/>
  <c r="B170" i="106"/>
  <c r="F170" i="106" s="1"/>
  <c r="G170" i="106" s="1"/>
  <c r="B171" i="106"/>
  <c r="F171" i="106" s="1"/>
  <c r="G171" i="106" s="1"/>
  <c r="B172" i="106"/>
  <c r="F172" i="106" s="1"/>
  <c r="G172" i="106" s="1"/>
  <c r="B173" i="106"/>
  <c r="F173" i="106" s="1"/>
  <c r="G173" i="106" s="1"/>
  <c r="B174" i="106"/>
  <c r="F174" i="106" s="1"/>
  <c r="G174" i="106" s="1"/>
  <c r="B175" i="106"/>
  <c r="F175" i="106" s="1"/>
  <c r="G175" i="106" s="1"/>
  <c r="B176" i="106"/>
  <c r="F176" i="106" s="1"/>
  <c r="G176" i="106" s="1"/>
  <c r="B177" i="106"/>
  <c r="F177" i="106"/>
  <c r="G177" i="106" s="1"/>
  <c r="B178" i="106"/>
  <c r="F178" i="106" s="1"/>
  <c r="G178" i="106" s="1"/>
  <c r="B179" i="106"/>
  <c r="F179" i="106" s="1"/>
  <c r="G179" i="106" s="1"/>
  <c r="B180" i="106"/>
  <c r="F180" i="106" s="1"/>
  <c r="G180" i="106" s="1"/>
  <c r="B181" i="106"/>
  <c r="F181" i="106" s="1"/>
  <c r="G181" i="106" s="1"/>
  <c r="B182" i="106"/>
  <c r="F182" i="106" s="1"/>
  <c r="G182" i="106" s="1"/>
  <c r="B183" i="106"/>
  <c r="F183" i="106"/>
  <c r="G183" i="106" s="1"/>
  <c r="B184" i="106"/>
  <c r="F184" i="106" s="1"/>
  <c r="G184" i="106" s="1"/>
  <c r="B185" i="106"/>
  <c r="F185" i="106" s="1"/>
  <c r="G185" i="106" s="1"/>
  <c r="B186" i="106"/>
  <c r="F186" i="106" s="1"/>
  <c r="G186" i="106" s="1"/>
  <c r="B187" i="106"/>
  <c r="F187" i="106" s="1"/>
  <c r="G187" i="106" s="1"/>
  <c r="B188" i="106"/>
  <c r="F188" i="106" s="1"/>
  <c r="G188" i="106" s="1"/>
  <c r="B189" i="106"/>
  <c r="F189" i="106" s="1"/>
  <c r="G189" i="106" s="1"/>
  <c r="B190" i="106"/>
  <c r="F190" i="106" s="1"/>
  <c r="G190" i="106" s="1"/>
  <c r="B191" i="106"/>
  <c r="F191" i="106" s="1"/>
  <c r="G191" i="106" s="1"/>
  <c r="B192" i="106"/>
  <c r="F192" i="106" s="1"/>
  <c r="G192" i="106" s="1"/>
  <c r="B193" i="106"/>
  <c r="F193" i="106" s="1"/>
  <c r="G193" i="106" s="1"/>
  <c r="B194" i="106"/>
  <c r="F194" i="106" s="1"/>
  <c r="G194" i="106" s="1"/>
  <c r="B195" i="106"/>
  <c r="F195" i="106" s="1"/>
  <c r="G195" i="106" s="1"/>
  <c r="B196" i="106"/>
  <c r="F196" i="106" s="1"/>
  <c r="G196" i="106" s="1"/>
  <c r="B197" i="106"/>
  <c r="F197" i="106" s="1"/>
  <c r="G197" i="106" s="1"/>
  <c r="B198" i="106"/>
  <c r="F198" i="106" s="1"/>
  <c r="G198" i="106" s="1"/>
  <c r="B199" i="106"/>
  <c r="F199" i="106" s="1"/>
  <c r="G199" i="106" s="1"/>
  <c r="B200" i="106"/>
  <c r="F200" i="106" s="1"/>
  <c r="G200" i="106" s="1"/>
  <c r="B201" i="106"/>
  <c r="F201" i="106" s="1"/>
  <c r="G201" i="106" s="1"/>
  <c r="B202" i="106"/>
  <c r="F202" i="106" s="1"/>
  <c r="G202" i="106" s="1"/>
  <c r="B203" i="106"/>
  <c r="F203" i="106" s="1"/>
  <c r="G203" i="106" s="1"/>
  <c r="B204" i="106"/>
  <c r="F204" i="106" s="1"/>
  <c r="G204" i="106" s="1"/>
  <c r="B205" i="106"/>
  <c r="F205" i="106" s="1"/>
  <c r="G205" i="106" s="1"/>
  <c r="B206" i="106"/>
  <c r="F206" i="106" s="1"/>
  <c r="G206" i="106" s="1"/>
  <c r="B207" i="106"/>
  <c r="F207" i="106" s="1"/>
  <c r="G207" i="106" s="1"/>
  <c r="B208" i="106"/>
  <c r="F208" i="106" s="1"/>
  <c r="G208" i="106" s="1"/>
  <c r="B209" i="106"/>
  <c r="F209" i="106" s="1"/>
  <c r="G209" i="106" s="1"/>
  <c r="B210" i="106"/>
  <c r="F210" i="106" s="1"/>
  <c r="G210" i="106" s="1"/>
  <c r="B211" i="106"/>
  <c r="F211" i="106" s="1"/>
  <c r="G211" i="106" s="1"/>
  <c r="B212" i="106"/>
  <c r="F212" i="106" s="1"/>
  <c r="G212" i="106" s="1"/>
  <c r="B213" i="106"/>
  <c r="F213" i="106" s="1"/>
  <c r="G213" i="106" s="1"/>
  <c r="B214" i="106"/>
  <c r="F214" i="106" s="1"/>
  <c r="G214" i="106" s="1"/>
  <c r="B215" i="106"/>
  <c r="F215" i="106" s="1"/>
  <c r="G215" i="106" s="1"/>
  <c r="B216" i="106"/>
  <c r="F216" i="106" s="1"/>
  <c r="G216" i="106" s="1"/>
  <c r="B217" i="106"/>
  <c r="F217" i="106" s="1"/>
  <c r="G217" i="106" s="1"/>
  <c r="B218" i="106"/>
  <c r="F218" i="106" s="1"/>
  <c r="G218" i="106" s="1"/>
  <c r="B219" i="106"/>
  <c r="F219" i="106"/>
  <c r="G219" i="106" s="1"/>
  <c r="B220" i="106"/>
  <c r="F220" i="106"/>
  <c r="G220" i="106" s="1"/>
  <c r="B221" i="106"/>
  <c r="F221" i="106"/>
  <c r="G221" i="106" s="1"/>
  <c r="B222" i="106"/>
  <c r="F222" i="106"/>
  <c r="G222" i="106" s="1"/>
  <c r="B223" i="106"/>
  <c r="F223" i="106"/>
  <c r="G223" i="106" s="1"/>
  <c r="B224" i="106"/>
  <c r="F224" i="106"/>
  <c r="G224" i="106" s="1"/>
  <c r="B225" i="106"/>
  <c r="F225" i="106"/>
  <c r="G225" i="106" s="1"/>
  <c r="B226" i="106"/>
  <c r="F226" i="106"/>
  <c r="G226" i="106" s="1"/>
  <c r="B227" i="106"/>
  <c r="F227" i="106"/>
  <c r="G227" i="106" s="1"/>
  <c r="B228" i="106"/>
  <c r="F228" i="106"/>
  <c r="G228" i="106" s="1"/>
  <c r="B229" i="106"/>
  <c r="F229" i="106"/>
  <c r="G229" i="106" s="1"/>
  <c r="B230" i="106"/>
  <c r="F230" i="106"/>
  <c r="G230" i="106" s="1"/>
  <c r="B231" i="106"/>
  <c r="F231" i="106"/>
  <c r="G231" i="106" s="1"/>
  <c r="B232" i="106"/>
  <c r="F232" i="106"/>
  <c r="G232" i="106" s="1"/>
  <c r="B233" i="106"/>
  <c r="F233" i="106"/>
  <c r="G233" i="106" s="1"/>
  <c r="B234" i="106"/>
  <c r="F234" i="106"/>
  <c r="G234" i="106" s="1"/>
  <c r="B235" i="106"/>
  <c r="F235" i="106"/>
  <c r="G235" i="106" s="1"/>
  <c r="B236" i="106"/>
  <c r="F236" i="106"/>
  <c r="G236" i="106" s="1"/>
  <c r="B237" i="106"/>
  <c r="F237" i="106"/>
  <c r="G237" i="106" s="1"/>
  <c r="B238" i="106"/>
  <c r="F238" i="106"/>
  <c r="G238" i="106" s="1"/>
  <c r="B239" i="106"/>
  <c r="F239" i="106"/>
  <c r="G239" i="106" s="1"/>
  <c r="B240" i="106"/>
  <c r="F240" i="106"/>
  <c r="G240" i="106" s="1"/>
  <c r="B241" i="106"/>
  <c r="F241" i="106"/>
  <c r="G241" i="106" s="1"/>
  <c r="B242" i="106"/>
  <c r="F242" i="106"/>
  <c r="G242" i="106" s="1"/>
  <c r="B243" i="106"/>
  <c r="F243" i="106"/>
  <c r="G243" i="106" s="1"/>
  <c r="B244" i="106"/>
  <c r="F244" i="106"/>
  <c r="G244" i="106" s="1"/>
  <c r="B245" i="106"/>
  <c r="F245" i="106"/>
  <c r="G245" i="106" s="1"/>
  <c r="B246" i="106"/>
  <c r="F246" i="106"/>
  <c r="G246" i="106" s="1"/>
  <c r="B247" i="106"/>
  <c r="F247" i="106"/>
  <c r="G247" i="106" s="1"/>
  <c r="B248" i="106"/>
  <c r="F248" i="106"/>
  <c r="G248" i="106" s="1"/>
  <c r="B249" i="106"/>
  <c r="F249" i="106"/>
  <c r="G249" i="106" s="1"/>
  <c r="B250" i="106"/>
  <c r="F250" i="106"/>
  <c r="G250" i="106" s="1"/>
  <c r="B251" i="106"/>
  <c r="F251" i="106"/>
  <c r="G251" i="106" s="1"/>
  <c r="B252" i="106"/>
  <c r="F252" i="106"/>
  <c r="G252" i="106" s="1"/>
  <c r="B253" i="106"/>
  <c r="F253" i="106"/>
  <c r="G253" i="106" s="1"/>
  <c r="B254" i="106"/>
  <c r="F254" i="106"/>
  <c r="G254" i="106" s="1"/>
  <c r="B255" i="106"/>
  <c r="F255" i="106"/>
  <c r="G255" i="106" s="1"/>
  <c r="B256" i="106"/>
  <c r="F256" i="106"/>
  <c r="G256" i="106" s="1"/>
  <c r="B257" i="106"/>
  <c r="F257" i="106"/>
  <c r="G257" i="106" s="1"/>
  <c r="B258" i="106"/>
  <c r="F258" i="106"/>
  <c r="G258" i="106" s="1"/>
  <c r="B259" i="106"/>
  <c r="F259" i="106"/>
  <c r="G259" i="106" s="1"/>
  <c r="B260" i="106"/>
  <c r="F260" i="106"/>
  <c r="G260" i="106" s="1"/>
  <c r="B261" i="106"/>
  <c r="F261" i="106"/>
  <c r="G261" i="106" s="1"/>
  <c r="B262" i="106"/>
  <c r="F262" i="106"/>
  <c r="G262" i="106" s="1"/>
  <c r="B263" i="106"/>
  <c r="F263" i="106"/>
  <c r="G263" i="106" s="1"/>
  <c r="B264" i="106"/>
  <c r="F264" i="106"/>
  <c r="G264" i="106" s="1"/>
  <c r="B265" i="106"/>
  <c r="F265" i="106"/>
  <c r="G265" i="106" s="1"/>
  <c r="B266" i="106"/>
  <c r="F266" i="106"/>
  <c r="G266" i="106" s="1"/>
  <c r="B267" i="106"/>
  <c r="F267" i="106"/>
  <c r="G267" i="106" s="1"/>
  <c r="B268" i="106"/>
  <c r="F268" i="106"/>
  <c r="G268" i="106" s="1"/>
  <c r="B269" i="106"/>
  <c r="F269" i="106"/>
  <c r="G269" i="106" s="1"/>
  <c r="B270" i="106"/>
  <c r="F270" i="106"/>
  <c r="G270" i="106" s="1"/>
  <c r="B271" i="106"/>
  <c r="F271" i="106"/>
  <c r="G271" i="106" s="1"/>
  <c r="B272" i="106"/>
  <c r="F272" i="106"/>
  <c r="G272" i="106" s="1"/>
  <c r="B273" i="106"/>
  <c r="F273" i="106"/>
  <c r="G273" i="106" s="1"/>
  <c r="B274" i="106"/>
  <c r="F274" i="106"/>
  <c r="G274" i="106" s="1"/>
  <c r="B275" i="106"/>
  <c r="F275" i="106"/>
  <c r="G275" i="106" s="1"/>
  <c r="B276" i="106"/>
  <c r="F276" i="106"/>
  <c r="G276" i="106" s="1"/>
  <c r="B277" i="106"/>
  <c r="F277" i="106"/>
  <c r="G277" i="106" s="1"/>
  <c r="B278" i="106"/>
  <c r="F278" i="106"/>
  <c r="G278" i="106" s="1"/>
  <c r="B279" i="106"/>
  <c r="F279" i="106"/>
  <c r="G279" i="106" s="1"/>
  <c r="B280" i="106"/>
  <c r="F280" i="106"/>
  <c r="G280" i="106" s="1"/>
  <c r="B281" i="106"/>
  <c r="F281" i="106"/>
  <c r="G281" i="106" s="1"/>
  <c r="B282" i="106"/>
  <c r="F282" i="106"/>
  <c r="G282" i="106" s="1"/>
  <c r="B283" i="106"/>
  <c r="F283" i="106"/>
  <c r="G283" i="106" s="1"/>
  <c r="B284" i="106"/>
  <c r="F284" i="106"/>
  <c r="G284" i="106" s="1"/>
  <c r="B285" i="106"/>
  <c r="F285" i="106"/>
  <c r="G285" i="106" s="1"/>
  <c r="B286" i="106"/>
  <c r="F286" i="106"/>
  <c r="G286" i="106" s="1"/>
  <c r="B287" i="106"/>
  <c r="F287" i="106"/>
  <c r="G287" i="106" s="1"/>
  <c r="B288" i="106"/>
  <c r="F288" i="106"/>
  <c r="G288" i="106" s="1"/>
  <c r="B289" i="106"/>
  <c r="F289" i="106"/>
  <c r="G289" i="106" s="1"/>
  <c r="B290" i="106"/>
  <c r="F290" i="106"/>
  <c r="G290" i="106" s="1"/>
  <c r="B291" i="106"/>
  <c r="F291" i="106"/>
  <c r="G291" i="106" s="1"/>
  <c r="B292" i="106"/>
  <c r="F292" i="106"/>
  <c r="G292" i="106" s="1"/>
  <c r="B293" i="106"/>
  <c r="F293" i="106"/>
  <c r="G293" i="106" s="1"/>
  <c r="B294" i="106"/>
  <c r="F294" i="106"/>
  <c r="G294" i="106" s="1"/>
  <c r="B295" i="106"/>
  <c r="F295" i="106"/>
  <c r="G295" i="106" s="1"/>
  <c r="B296" i="106"/>
  <c r="F296" i="106"/>
  <c r="G296" i="106" s="1"/>
  <c r="B297" i="106"/>
  <c r="F297" i="106"/>
  <c r="G297" i="106" s="1"/>
  <c r="B298" i="106"/>
  <c r="F298" i="106"/>
  <c r="G298" i="106" s="1"/>
  <c r="B299" i="106"/>
  <c r="F299" i="106"/>
  <c r="G299" i="106" s="1"/>
  <c r="B300" i="106"/>
  <c r="F300" i="106"/>
  <c r="G300" i="106" s="1"/>
  <c r="B301" i="106"/>
  <c r="F301" i="106"/>
  <c r="G301" i="106" s="1"/>
  <c r="B302" i="106"/>
  <c r="F302" i="106"/>
  <c r="G302" i="106" s="1"/>
  <c r="B303" i="106"/>
  <c r="F303" i="106"/>
  <c r="G303" i="106" s="1"/>
  <c r="B304" i="106"/>
  <c r="F304" i="106"/>
  <c r="G304" i="106" s="1"/>
  <c r="B305" i="106"/>
  <c r="F305" i="106"/>
  <c r="G305" i="106" s="1"/>
  <c r="B306" i="106"/>
  <c r="F306" i="106"/>
  <c r="G306" i="106" s="1"/>
  <c r="B307" i="106"/>
  <c r="F307" i="106"/>
  <c r="G307" i="106" s="1"/>
  <c r="B308" i="106"/>
  <c r="F308" i="106"/>
  <c r="G308" i="106" s="1"/>
  <c r="B309" i="106"/>
  <c r="F309" i="106"/>
  <c r="G309" i="106" s="1"/>
  <c r="B310" i="106"/>
  <c r="F310" i="106"/>
  <c r="G310" i="106" s="1"/>
  <c r="B311" i="106"/>
  <c r="F311" i="106"/>
  <c r="G311" i="106" s="1"/>
  <c r="B312" i="106"/>
  <c r="F312" i="106"/>
  <c r="G312" i="106" s="1"/>
  <c r="B313" i="106"/>
  <c r="F313" i="106"/>
  <c r="G313" i="106" s="1"/>
  <c r="B314" i="106"/>
  <c r="F314" i="106"/>
  <c r="G314" i="106" s="1"/>
  <c r="B315" i="106"/>
  <c r="F315" i="106"/>
  <c r="G315" i="106" s="1"/>
  <c r="B316" i="106"/>
  <c r="F316" i="106"/>
  <c r="G316" i="106" s="1"/>
  <c r="B317" i="106"/>
  <c r="F317" i="106"/>
  <c r="G317" i="106" s="1"/>
  <c r="B318" i="106"/>
  <c r="F318" i="106"/>
  <c r="G318" i="106" s="1"/>
  <c r="B319" i="106"/>
  <c r="F319" i="106"/>
  <c r="G319" i="106" s="1"/>
  <c r="B320" i="106"/>
  <c r="F320" i="106"/>
  <c r="G320" i="106" s="1"/>
  <c r="B321" i="106"/>
  <c r="F321" i="106"/>
  <c r="G321" i="106" s="1"/>
  <c r="B322" i="106"/>
  <c r="F322" i="106"/>
  <c r="G322" i="106" s="1"/>
  <c r="B323" i="106"/>
  <c r="F323" i="106"/>
  <c r="G323" i="106" s="1"/>
  <c r="B324" i="106"/>
  <c r="F324" i="106"/>
  <c r="G324" i="106" s="1"/>
  <c r="B325" i="106"/>
  <c r="F325" i="106"/>
  <c r="G325" i="106" s="1"/>
  <c r="B326" i="106"/>
  <c r="F326" i="106"/>
  <c r="G326" i="106" s="1"/>
  <c r="B327" i="106"/>
  <c r="F327" i="106"/>
  <c r="G327" i="106" s="1"/>
  <c r="B328" i="106"/>
  <c r="F328" i="106"/>
  <c r="G328" i="106" s="1"/>
  <c r="B329" i="106"/>
  <c r="F329" i="106"/>
  <c r="G329" i="106" s="1"/>
  <c r="B330" i="106"/>
  <c r="F330" i="106"/>
  <c r="G330" i="106" s="1"/>
  <c r="B331" i="106"/>
  <c r="F331" i="106"/>
  <c r="G331" i="106" s="1"/>
  <c r="B332" i="106"/>
  <c r="F332" i="106"/>
  <c r="G332" i="106" s="1"/>
  <c r="B333" i="106"/>
  <c r="F333" i="106"/>
  <c r="G333" i="106" s="1"/>
  <c r="B334" i="106"/>
  <c r="F334" i="106"/>
  <c r="G334" i="106" s="1"/>
  <c r="B335" i="106"/>
  <c r="F335" i="106"/>
  <c r="G335" i="106" s="1"/>
  <c r="B336" i="106"/>
  <c r="F336" i="106"/>
  <c r="G336" i="106" s="1"/>
  <c r="B337" i="106"/>
  <c r="F337" i="106"/>
  <c r="G337" i="106" s="1"/>
  <c r="B338" i="106"/>
  <c r="F338" i="106"/>
  <c r="G338" i="106" s="1"/>
  <c r="B339" i="106"/>
  <c r="F339" i="106"/>
  <c r="G339" i="106" s="1"/>
  <c r="B340" i="106"/>
  <c r="F340" i="106"/>
  <c r="G340" i="106" s="1"/>
  <c r="B341" i="106"/>
  <c r="F341" i="106"/>
  <c r="G341" i="106" s="1"/>
  <c r="B342" i="106"/>
  <c r="F342" i="106"/>
  <c r="G342" i="106" s="1"/>
  <c r="B343" i="106"/>
  <c r="F343" i="106"/>
  <c r="G343" i="106" s="1"/>
  <c r="B344" i="106"/>
  <c r="F344" i="106"/>
  <c r="G344" i="106" s="1"/>
  <c r="B345" i="106"/>
  <c r="F345" i="106"/>
  <c r="G345" i="106" s="1"/>
  <c r="B346" i="106"/>
  <c r="F346" i="106"/>
  <c r="G346" i="106" s="1"/>
  <c r="B347" i="106"/>
  <c r="F347" i="106"/>
  <c r="G347" i="106" s="1"/>
  <c r="B348" i="106"/>
  <c r="F348" i="106"/>
  <c r="G348" i="106" s="1"/>
  <c r="B349" i="106"/>
  <c r="F349" i="106"/>
  <c r="G349" i="106" s="1"/>
  <c r="B350" i="106"/>
  <c r="F350" i="106"/>
  <c r="G350" i="106" s="1"/>
  <c r="B351" i="106"/>
  <c r="F351" i="106"/>
  <c r="G351" i="106" s="1"/>
  <c r="B352" i="106"/>
  <c r="F352" i="106"/>
  <c r="G352" i="106" s="1"/>
  <c r="B353" i="106"/>
  <c r="F353" i="106"/>
  <c r="G353" i="106" s="1"/>
  <c r="B354" i="106"/>
  <c r="F354" i="106"/>
  <c r="G354" i="106" s="1"/>
  <c r="B355" i="106"/>
  <c r="F355" i="106"/>
  <c r="G355" i="106" s="1"/>
  <c r="B356" i="106"/>
  <c r="F356" i="106"/>
  <c r="G356" i="106" s="1"/>
  <c r="B357" i="106"/>
  <c r="F357" i="106"/>
  <c r="G357" i="106" s="1"/>
  <c r="B358" i="106"/>
  <c r="F358" i="106"/>
  <c r="G358" i="106" s="1"/>
  <c r="B359" i="106"/>
  <c r="F359" i="106"/>
  <c r="G359" i="106" s="1"/>
  <c r="B360" i="106"/>
  <c r="F360" i="106"/>
  <c r="G360" i="106" s="1"/>
  <c r="B361" i="106"/>
  <c r="F361" i="106"/>
  <c r="G361" i="106" s="1"/>
  <c r="B362" i="106"/>
  <c r="F362" i="106"/>
  <c r="G362" i="106" s="1"/>
  <c r="B363" i="106"/>
  <c r="F363" i="106"/>
  <c r="G363" i="106" s="1"/>
  <c r="B364" i="106"/>
  <c r="F364" i="106"/>
  <c r="G364" i="106" s="1"/>
  <c r="B365" i="106"/>
  <c r="F365" i="106"/>
  <c r="G365" i="106" s="1"/>
  <c r="B366" i="106"/>
  <c r="F366" i="106"/>
  <c r="G366" i="106" s="1"/>
  <c r="B367" i="106"/>
  <c r="F367" i="106"/>
  <c r="G367" i="106" s="1"/>
  <c r="B368" i="106"/>
  <c r="F368" i="106"/>
  <c r="G368" i="106" s="1"/>
  <c r="B369" i="106"/>
  <c r="F369" i="106"/>
  <c r="G369" i="106" s="1"/>
  <c r="B370" i="106"/>
  <c r="F370" i="106"/>
  <c r="G370" i="106" s="1"/>
  <c r="B371" i="106"/>
  <c r="F371" i="106"/>
  <c r="G371" i="106" s="1"/>
  <c r="B372" i="106"/>
  <c r="F372" i="106"/>
  <c r="G372" i="106" s="1"/>
  <c r="B373" i="106"/>
  <c r="F373" i="106"/>
  <c r="G373" i="106" s="1"/>
  <c r="B374" i="106"/>
  <c r="F374" i="106"/>
  <c r="G374" i="106" s="1"/>
  <c r="B375" i="106"/>
  <c r="F375" i="106"/>
  <c r="G375" i="106" s="1"/>
  <c r="B376" i="106"/>
  <c r="F376" i="106"/>
  <c r="G376" i="106" s="1"/>
  <c r="B377" i="106"/>
  <c r="F377" i="106"/>
  <c r="G377" i="106" s="1"/>
  <c r="B378" i="106"/>
  <c r="F378" i="106"/>
  <c r="G378" i="106" s="1"/>
  <c r="B379" i="106"/>
  <c r="F379" i="106"/>
  <c r="G379" i="106" s="1"/>
  <c r="B380" i="106"/>
  <c r="F380" i="106"/>
  <c r="G380" i="106" s="1"/>
  <c r="B381" i="106"/>
  <c r="F381" i="106"/>
  <c r="G381" i="106" s="1"/>
  <c r="B382" i="106"/>
  <c r="F382" i="106"/>
  <c r="G382" i="106" s="1"/>
  <c r="B383" i="106"/>
  <c r="F383" i="106"/>
  <c r="G383" i="106" s="1"/>
  <c r="B384" i="106"/>
  <c r="F384" i="106"/>
  <c r="G384" i="106" s="1"/>
  <c r="B385" i="106"/>
  <c r="F385" i="106"/>
  <c r="G385" i="106" s="1"/>
  <c r="B386" i="106"/>
  <c r="F386" i="106"/>
  <c r="G386" i="106" s="1"/>
  <c r="B387" i="106"/>
  <c r="F387" i="106"/>
  <c r="G387" i="106" s="1"/>
  <c r="B388" i="106"/>
  <c r="F388" i="106"/>
  <c r="G388" i="106" s="1"/>
  <c r="B389" i="106"/>
  <c r="F389" i="106"/>
  <c r="G389" i="106" s="1"/>
  <c r="B390" i="106"/>
  <c r="F390" i="106"/>
  <c r="G390" i="106" s="1"/>
  <c r="B391" i="106"/>
  <c r="F391" i="106"/>
  <c r="G391" i="106" s="1"/>
  <c r="B392" i="106"/>
  <c r="F392" i="106"/>
  <c r="G392" i="106" s="1"/>
  <c r="B393" i="106"/>
  <c r="F393" i="106"/>
  <c r="G393" i="106" s="1"/>
  <c r="B394" i="106"/>
  <c r="F394" i="106"/>
  <c r="G394" i="106" s="1"/>
  <c r="B395" i="106"/>
  <c r="F395" i="106"/>
  <c r="G395" i="106" s="1"/>
  <c r="B396" i="106"/>
  <c r="F396" i="106"/>
  <c r="G396" i="106" s="1"/>
  <c r="B397" i="106"/>
  <c r="F397" i="106"/>
  <c r="G397" i="106" s="1"/>
  <c r="B398" i="106"/>
  <c r="F398" i="106"/>
  <c r="G398" i="106" s="1"/>
  <c r="B399" i="106"/>
  <c r="F399" i="106"/>
  <c r="G399" i="106" s="1"/>
  <c r="B400" i="106"/>
  <c r="F400" i="106"/>
  <c r="G400" i="106" s="1"/>
  <c r="B401" i="106"/>
  <c r="F401" i="106"/>
  <c r="G401" i="106" s="1"/>
  <c r="B402" i="106"/>
  <c r="F402" i="106"/>
  <c r="G402" i="106" s="1"/>
  <c r="B403" i="106"/>
  <c r="F403" i="106"/>
  <c r="G403" i="106" s="1"/>
  <c r="B404" i="106"/>
  <c r="F404" i="106"/>
  <c r="G404" i="106" s="1"/>
  <c r="B405" i="106"/>
  <c r="F405" i="106"/>
  <c r="G405" i="106" s="1"/>
  <c r="B406" i="106"/>
  <c r="F406" i="106"/>
  <c r="G406" i="106" s="1"/>
  <c r="B407" i="106"/>
  <c r="F407" i="106"/>
  <c r="G407" i="106" s="1"/>
  <c r="B408" i="106"/>
  <c r="F408" i="106"/>
  <c r="G408" i="106" s="1"/>
  <c r="B409" i="106"/>
  <c r="F409" i="106"/>
  <c r="G409" i="106" s="1"/>
  <c r="B410" i="106"/>
  <c r="F410" i="106"/>
  <c r="G410" i="106" s="1"/>
  <c r="B411" i="106"/>
  <c r="F411" i="106"/>
  <c r="G411" i="106" s="1"/>
  <c r="B412" i="106"/>
  <c r="F412" i="106"/>
  <c r="G412" i="106" s="1"/>
  <c r="B413" i="106"/>
  <c r="F413" i="106"/>
  <c r="G413" i="106" s="1"/>
  <c r="B414" i="106"/>
  <c r="F414" i="106"/>
  <c r="G414" i="106" s="1"/>
  <c r="B415" i="106"/>
  <c r="F415" i="106"/>
  <c r="G415" i="106" s="1"/>
  <c r="B416" i="106"/>
  <c r="F416" i="106"/>
  <c r="G416" i="106" s="1"/>
  <c r="B417" i="106"/>
  <c r="F417" i="106"/>
  <c r="G417" i="106" s="1"/>
  <c r="B418" i="106"/>
  <c r="F418" i="106"/>
  <c r="G418" i="106" s="1"/>
  <c r="B419" i="106"/>
  <c r="F419" i="106"/>
  <c r="G419" i="106" s="1"/>
  <c r="B420" i="106"/>
  <c r="F420" i="106"/>
  <c r="G420" i="106" s="1"/>
  <c r="B421" i="106"/>
  <c r="F421" i="106"/>
  <c r="G421" i="106" s="1"/>
  <c r="B422" i="106"/>
  <c r="F422" i="106"/>
  <c r="G422" i="106" s="1"/>
  <c r="B423" i="106"/>
  <c r="F423" i="106"/>
  <c r="G423" i="106" s="1"/>
  <c r="B424" i="106"/>
  <c r="F424" i="106"/>
  <c r="G424" i="106" s="1"/>
  <c r="B425" i="106"/>
  <c r="F425" i="106"/>
  <c r="G425" i="106" s="1"/>
  <c r="B426" i="106"/>
  <c r="F426" i="106"/>
  <c r="G426" i="106" s="1"/>
  <c r="B427" i="106"/>
  <c r="F427" i="106"/>
  <c r="G427" i="106" s="1"/>
  <c r="B428" i="106"/>
  <c r="F428" i="106"/>
  <c r="G428" i="106" s="1"/>
  <c r="B429" i="106"/>
  <c r="F429" i="106"/>
  <c r="G429" i="106" s="1"/>
  <c r="B430" i="106"/>
  <c r="F430" i="106"/>
  <c r="G430" i="106" s="1"/>
  <c r="B431" i="106"/>
  <c r="F431" i="106"/>
  <c r="G431" i="106" s="1"/>
  <c r="B432" i="106"/>
  <c r="F432" i="106"/>
  <c r="G432" i="106" s="1"/>
  <c r="B433" i="106"/>
  <c r="F433" i="106"/>
  <c r="G433" i="106" s="1"/>
  <c r="B434" i="106"/>
  <c r="F434" i="106"/>
  <c r="G434" i="106" s="1"/>
  <c r="B435" i="106"/>
  <c r="F435" i="106"/>
  <c r="G435" i="106" s="1"/>
  <c r="B436" i="106"/>
  <c r="F436" i="106"/>
  <c r="G436" i="106" s="1"/>
  <c r="B437" i="106"/>
  <c r="F437" i="106"/>
  <c r="G437" i="106" s="1"/>
  <c r="B438" i="106"/>
  <c r="F438" i="106"/>
  <c r="G438" i="106" s="1"/>
  <c r="B439" i="106"/>
  <c r="F439" i="106"/>
  <c r="G439" i="106" s="1"/>
  <c r="B440" i="106"/>
  <c r="F440" i="106"/>
  <c r="G440" i="106" s="1"/>
  <c r="B441" i="106"/>
  <c r="F441" i="106"/>
  <c r="G441" i="106" s="1"/>
  <c r="B442" i="106"/>
  <c r="F442" i="106"/>
  <c r="G442" i="106" s="1"/>
  <c r="B443" i="106"/>
  <c r="F443" i="106"/>
  <c r="G443" i="106" s="1"/>
  <c r="B444" i="106"/>
  <c r="F444" i="106"/>
  <c r="G444" i="106" s="1"/>
  <c r="B445" i="106"/>
  <c r="F445" i="106"/>
  <c r="G445" i="106" s="1"/>
  <c r="B446" i="106"/>
  <c r="F446" i="106"/>
  <c r="G446" i="106" s="1"/>
  <c r="B447" i="106"/>
  <c r="F447" i="106"/>
  <c r="G447" i="106" s="1"/>
  <c r="B448" i="106"/>
  <c r="F448" i="106"/>
  <c r="G448" i="106" s="1"/>
  <c r="B449" i="106"/>
  <c r="F449" i="106"/>
  <c r="G449" i="106" s="1"/>
  <c r="B450" i="106"/>
  <c r="F450" i="106"/>
  <c r="G450" i="106" s="1"/>
  <c r="B451" i="106"/>
  <c r="F451" i="106"/>
  <c r="G451" i="106" s="1"/>
  <c r="B452" i="106"/>
  <c r="F452" i="106"/>
  <c r="G452" i="106" s="1"/>
  <c r="B453" i="106"/>
  <c r="F453" i="106"/>
  <c r="G453" i="106" s="1"/>
  <c r="B454" i="106"/>
  <c r="F454" i="106"/>
  <c r="G454" i="106" s="1"/>
  <c r="B455" i="106"/>
  <c r="F455" i="106"/>
  <c r="G455" i="106" s="1"/>
  <c r="B456" i="106"/>
  <c r="F456" i="106"/>
  <c r="G456" i="106" s="1"/>
  <c r="B457" i="106"/>
  <c r="F457" i="106"/>
  <c r="G457" i="106" s="1"/>
  <c r="B458" i="106"/>
  <c r="F458" i="106"/>
  <c r="G458" i="106" s="1"/>
  <c r="B459" i="106"/>
  <c r="F459" i="106"/>
  <c r="G459" i="106" s="1"/>
  <c r="B460" i="106"/>
  <c r="F460" i="106"/>
  <c r="G460" i="106" s="1"/>
  <c r="B461" i="106"/>
  <c r="F461" i="106"/>
  <c r="G461" i="106" s="1"/>
  <c r="B462" i="106"/>
  <c r="F462" i="106"/>
  <c r="G462" i="106" s="1"/>
  <c r="B463" i="106"/>
  <c r="F463" i="106"/>
  <c r="G463" i="106" s="1"/>
  <c r="B464" i="106"/>
  <c r="F464" i="106"/>
  <c r="G464" i="106" s="1"/>
  <c r="B465" i="106"/>
  <c r="F465" i="106"/>
  <c r="G465" i="106" s="1"/>
  <c r="B466" i="106"/>
  <c r="F466" i="106"/>
  <c r="G466" i="106" s="1"/>
  <c r="B467" i="106"/>
  <c r="F467" i="106"/>
  <c r="G467" i="106" s="1"/>
  <c r="B468" i="106"/>
  <c r="F468" i="106"/>
  <c r="G468" i="106" s="1"/>
  <c r="B469" i="106"/>
  <c r="F469" i="106"/>
  <c r="G469" i="106" s="1"/>
  <c r="B470" i="106"/>
  <c r="F470" i="106"/>
  <c r="G470" i="106" s="1"/>
  <c r="B471" i="106"/>
  <c r="F471" i="106"/>
  <c r="G471" i="106" s="1"/>
  <c r="B472" i="106"/>
  <c r="F472" i="106"/>
  <c r="G472" i="106" s="1"/>
  <c r="B473" i="106"/>
  <c r="F473" i="106"/>
  <c r="G473" i="106" s="1"/>
  <c r="B474" i="106"/>
  <c r="F474" i="106"/>
  <c r="G474" i="106" s="1"/>
  <c r="B475" i="106"/>
  <c r="F475" i="106"/>
  <c r="G475" i="106" s="1"/>
  <c r="B476" i="106"/>
  <c r="F476" i="106"/>
  <c r="G476" i="106" s="1"/>
  <c r="B477" i="106"/>
  <c r="F477" i="106"/>
  <c r="G477" i="106" s="1"/>
  <c r="B478" i="106"/>
  <c r="F478" i="106"/>
  <c r="G478" i="106" s="1"/>
  <c r="B479" i="106"/>
  <c r="F479" i="106"/>
  <c r="G479" i="106" s="1"/>
  <c r="B480" i="106"/>
  <c r="F480" i="106"/>
  <c r="G480" i="106" s="1"/>
  <c r="B481" i="106"/>
  <c r="F481" i="106"/>
  <c r="G481" i="106" s="1"/>
  <c r="B482" i="106"/>
  <c r="F482" i="106"/>
  <c r="G482" i="106" s="1"/>
  <c r="B483" i="106"/>
  <c r="F483" i="106"/>
  <c r="G483" i="106" s="1"/>
  <c r="B484" i="106"/>
  <c r="F484" i="106"/>
  <c r="G484" i="106" s="1"/>
  <c r="B485" i="106"/>
  <c r="F485" i="106"/>
  <c r="G485" i="106" s="1"/>
  <c r="B486" i="106"/>
  <c r="F486" i="106"/>
  <c r="G486" i="106" s="1"/>
  <c r="B487" i="106"/>
  <c r="F487" i="106"/>
  <c r="G487" i="106" s="1"/>
  <c r="B488" i="106"/>
  <c r="F488" i="106"/>
  <c r="G488" i="106" s="1"/>
  <c r="B489" i="106"/>
  <c r="F489" i="106"/>
  <c r="G489" i="106" s="1"/>
  <c r="B490" i="106"/>
  <c r="F490" i="106"/>
  <c r="G490" i="106" s="1"/>
  <c r="B491" i="106"/>
  <c r="F491" i="106"/>
  <c r="G491" i="106" s="1"/>
  <c r="B492" i="106"/>
  <c r="F492" i="106"/>
  <c r="G492" i="106" s="1"/>
  <c r="B493" i="106"/>
  <c r="F493" i="106"/>
  <c r="G493" i="106" s="1"/>
  <c r="B494" i="106"/>
  <c r="F494" i="106"/>
  <c r="G494" i="106" s="1"/>
  <c r="B495" i="106"/>
  <c r="F495" i="106"/>
  <c r="G495" i="106" s="1"/>
  <c r="B496" i="106"/>
  <c r="F496" i="106"/>
  <c r="G496" i="106" s="1"/>
  <c r="B497" i="106"/>
  <c r="F497" i="106"/>
  <c r="G497" i="106" s="1"/>
  <c r="B498" i="106"/>
  <c r="F498" i="106"/>
  <c r="G498" i="106" s="1"/>
  <c r="B499" i="106"/>
  <c r="F499" i="106"/>
  <c r="G499" i="106" s="1"/>
  <c r="B500" i="106"/>
  <c r="F500" i="106"/>
  <c r="G500" i="106" s="1"/>
  <c r="B501" i="106"/>
  <c r="F501" i="106"/>
  <c r="G501" i="106" s="1"/>
  <c r="B502" i="106"/>
  <c r="F502" i="106"/>
  <c r="G502" i="106" s="1"/>
  <c r="B503" i="106"/>
  <c r="F503" i="106"/>
  <c r="G503" i="106" s="1"/>
  <c r="B504" i="106"/>
  <c r="F504" i="106"/>
  <c r="G504" i="106" s="1"/>
  <c r="B505" i="106"/>
  <c r="F505" i="106"/>
  <c r="G505" i="106" s="1"/>
  <c r="B506" i="106"/>
  <c r="F506" i="106"/>
  <c r="G506" i="106" s="1"/>
  <c r="B507" i="106"/>
  <c r="F507" i="106"/>
  <c r="G507" i="106" s="1"/>
  <c r="B508" i="106"/>
  <c r="F508" i="106"/>
  <c r="G508" i="106" s="1"/>
  <c r="B509" i="106"/>
  <c r="F509" i="106"/>
  <c r="G509" i="106" s="1"/>
  <c r="B510" i="106"/>
  <c r="F510" i="106"/>
  <c r="G510" i="106" s="1"/>
  <c r="B511" i="106"/>
  <c r="F511" i="106"/>
  <c r="G511" i="106" s="1"/>
  <c r="B512" i="106"/>
  <c r="F512" i="106"/>
  <c r="G512" i="106" s="1"/>
  <c r="B513" i="106"/>
  <c r="F513" i="106"/>
  <c r="G513" i="106" s="1"/>
  <c r="B514" i="106"/>
  <c r="F514" i="106"/>
  <c r="G514" i="106" s="1"/>
  <c r="B515" i="106"/>
  <c r="F515" i="106"/>
  <c r="G515" i="106" s="1"/>
  <c r="B516" i="106"/>
  <c r="F516" i="106"/>
  <c r="G516" i="106" s="1"/>
  <c r="B517" i="106"/>
  <c r="F517" i="106"/>
  <c r="G517" i="106" s="1"/>
  <c r="B518" i="106"/>
  <c r="F518" i="106"/>
  <c r="G518" i="106" s="1"/>
  <c r="B519" i="106"/>
  <c r="F519" i="106"/>
  <c r="G519" i="106" s="1"/>
  <c r="B520" i="106"/>
  <c r="F520" i="106"/>
  <c r="G520" i="106" s="1"/>
  <c r="B521" i="106"/>
  <c r="F521" i="106"/>
  <c r="G521" i="106" s="1"/>
  <c r="B522" i="106"/>
  <c r="F522" i="106"/>
  <c r="G522" i="106" s="1"/>
  <c r="B523" i="106"/>
  <c r="F523" i="106"/>
  <c r="G523" i="106" s="1"/>
  <c r="B524" i="106"/>
  <c r="F524" i="106"/>
  <c r="G524" i="106" s="1"/>
  <c r="B525" i="106"/>
  <c r="F525" i="106"/>
  <c r="G525" i="106" s="1"/>
  <c r="B526" i="106"/>
  <c r="F526" i="106"/>
  <c r="G526" i="106" s="1"/>
  <c r="B527" i="106"/>
  <c r="F527" i="106"/>
  <c r="G527" i="106" s="1"/>
  <c r="B528" i="106"/>
  <c r="F528" i="106"/>
  <c r="G528" i="106" s="1"/>
  <c r="B529" i="106"/>
  <c r="F529" i="106"/>
  <c r="G529" i="106" s="1"/>
  <c r="B530" i="106"/>
  <c r="F530" i="106"/>
  <c r="G530" i="106" s="1"/>
  <c r="B531" i="106"/>
  <c r="F531" i="106"/>
  <c r="G531" i="106" s="1"/>
  <c r="B532" i="106"/>
  <c r="F532" i="106"/>
  <c r="G532" i="106" s="1"/>
  <c r="B533" i="106"/>
  <c r="F533" i="106"/>
  <c r="G533" i="106" s="1"/>
  <c r="B534" i="106"/>
  <c r="F534" i="106"/>
  <c r="G534" i="106" s="1"/>
  <c r="B535" i="106"/>
  <c r="F535" i="106"/>
  <c r="G535" i="106" s="1"/>
  <c r="B536" i="106"/>
  <c r="F536" i="106"/>
  <c r="G536" i="106" s="1"/>
  <c r="B537" i="106"/>
  <c r="F537" i="106"/>
  <c r="G537" i="106" s="1"/>
  <c r="B538" i="106"/>
  <c r="F538" i="106"/>
  <c r="G538" i="106" s="1"/>
  <c r="B539" i="106"/>
  <c r="F539" i="106"/>
  <c r="G539" i="106" s="1"/>
  <c r="B540" i="106"/>
  <c r="F540" i="106"/>
  <c r="G540" i="106" s="1"/>
  <c r="B541" i="106"/>
  <c r="F541" i="106"/>
  <c r="G541" i="106" s="1"/>
  <c r="B542" i="106"/>
  <c r="F542" i="106"/>
  <c r="G542" i="106" s="1"/>
  <c r="B543" i="106"/>
  <c r="F543" i="106"/>
  <c r="G543" i="106" s="1"/>
  <c r="B544" i="106"/>
  <c r="F544" i="106"/>
  <c r="G544" i="106" s="1"/>
  <c r="B545" i="106"/>
  <c r="F545" i="106"/>
  <c r="G545" i="106" s="1"/>
  <c r="B546" i="106"/>
  <c r="F546" i="106"/>
  <c r="G546" i="106" s="1"/>
  <c r="B547" i="106"/>
  <c r="F547" i="106"/>
  <c r="G547" i="106" s="1"/>
  <c r="B548" i="106"/>
  <c r="F548" i="106"/>
  <c r="G548" i="106" s="1"/>
  <c r="B549" i="106"/>
  <c r="F549" i="106"/>
  <c r="G549" i="106" s="1"/>
  <c r="B550" i="106"/>
  <c r="F550" i="106"/>
  <c r="G550" i="106" s="1"/>
  <c r="B551" i="106"/>
  <c r="F551" i="106"/>
  <c r="G551" i="106" s="1"/>
  <c r="B552" i="106"/>
  <c r="F552" i="106"/>
  <c r="G552" i="106" s="1"/>
  <c r="B553" i="106"/>
  <c r="F553" i="106"/>
  <c r="G553" i="106" s="1"/>
  <c r="B554" i="106"/>
  <c r="F554" i="106"/>
  <c r="G554" i="106" s="1"/>
  <c r="B555" i="106"/>
  <c r="F555" i="106"/>
  <c r="G555" i="106" s="1"/>
  <c r="B556" i="106"/>
  <c r="F556" i="106"/>
  <c r="G556" i="106" s="1"/>
  <c r="B557" i="106"/>
  <c r="F557" i="106"/>
  <c r="G557" i="106" s="1"/>
  <c r="B558" i="106"/>
  <c r="F558" i="106"/>
  <c r="G558" i="106" s="1"/>
  <c r="B559" i="106"/>
  <c r="F559" i="106"/>
  <c r="G559" i="106" s="1"/>
  <c r="B560" i="106"/>
  <c r="F560" i="106"/>
  <c r="G560" i="106" s="1"/>
  <c r="B561" i="106"/>
  <c r="F561" i="106"/>
  <c r="G561" i="106" s="1"/>
  <c r="B562" i="106"/>
  <c r="F562" i="106"/>
  <c r="G562" i="106" s="1"/>
  <c r="B563" i="106"/>
  <c r="F563" i="106"/>
  <c r="G563" i="106" s="1"/>
  <c r="B564" i="106"/>
  <c r="F564" i="106"/>
  <c r="G564" i="106" s="1"/>
  <c r="B565" i="106"/>
  <c r="F565" i="106"/>
  <c r="G565" i="106" s="1"/>
  <c r="B566" i="106"/>
  <c r="F566" i="106"/>
  <c r="G566" i="106" s="1"/>
  <c r="B567" i="106"/>
  <c r="F567" i="106"/>
  <c r="G567" i="106" s="1"/>
  <c r="B568" i="106"/>
  <c r="F568" i="106"/>
  <c r="G568" i="106" s="1"/>
  <c r="B569" i="106"/>
  <c r="F569" i="106"/>
  <c r="G569" i="106" s="1"/>
  <c r="B570" i="106"/>
  <c r="F570" i="106"/>
  <c r="G570" i="106" s="1"/>
  <c r="B571" i="106"/>
  <c r="F571" i="106"/>
  <c r="G571" i="106" s="1"/>
  <c r="B572" i="106"/>
  <c r="F572" i="106"/>
  <c r="G572" i="106" s="1"/>
  <c r="B573" i="106"/>
  <c r="F573" i="106"/>
  <c r="G573" i="106" s="1"/>
  <c r="B574" i="106"/>
  <c r="F574" i="106"/>
  <c r="G574" i="106" s="1"/>
  <c r="B575" i="106"/>
  <c r="F575" i="106"/>
  <c r="G575" i="106" s="1"/>
  <c r="B576" i="106"/>
  <c r="F576" i="106"/>
  <c r="G576" i="106" s="1"/>
  <c r="B577" i="106"/>
  <c r="F577" i="106"/>
  <c r="G577" i="106" s="1"/>
  <c r="B578" i="106"/>
  <c r="F578" i="106"/>
  <c r="G578" i="106" s="1"/>
  <c r="B579" i="106"/>
  <c r="F579" i="106"/>
  <c r="G579" i="106" s="1"/>
  <c r="B580" i="106"/>
  <c r="F580" i="106"/>
  <c r="G580" i="106" s="1"/>
  <c r="B581" i="106"/>
  <c r="F581" i="106"/>
  <c r="G581" i="106" s="1"/>
  <c r="B582" i="106"/>
  <c r="F582" i="106"/>
  <c r="G582" i="106" s="1"/>
  <c r="B583" i="106"/>
  <c r="F583" i="106"/>
  <c r="G583" i="106" s="1"/>
  <c r="B584" i="106"/>
  <c r="F584" i="106"/>
  <c r="G584" i="106" s="1"/>
  <c r="B585" i="106"/>
  <c r="F585" i="106"/>
  <c r="G585" i="106" s="1"/>
  <c r="B586" i="106"/>
  <c r="F586" i="106"/>
  <c r="G586" i="106" s="1"/>
  <c r="B587" i="106"/>
  <c r="F587" i="106"/>
  <c r="G587" i="106" s="1"/>
  <c r="B588" i="106"/>
  <c r="F588" i="106"/>
  <c r="G588" i="106" s="1"/>
  <c r="B589" i="106"/>
  <c r="F589" i="106"/>
  <c r="G589" i="106" s="1"/>
  <c r="B590" i="106"/>
  <c r="F590" i="106"/>
  <c r="G590" i="106" s="1"/>
  <c r="B591" i="106"/>
  <c r="F591" i="106"/>
  <c r="G591" i="106" s="1"/>
  <c r="B592" i="106"/>
  <c r="F592" i="106"/>
  <c r="G592" i="106" s="1"/>
  <c r="B593" i="106"/>
  <c r="F593" i="106"/>
  <c r="G593" i="106" s="1"/>
  <c r="B594" i="106"/>
  <c r="F594" i="106"/>
  <c r="G594" i="106" s="1"/>
  <c r="B595" i="106"/>
  <c r="F595" i="106"/>
  <c r="G595" i="106" s="1"/>
  <c r="B596" i="106"/>
  <c r="F596" i="106"/>
  <c r="G596" i="106" s="1"/>
  <c r="B597" i="106"/>
  <c r="F597" i="106"/>
  <c r="G597" i="106" s="1"/>
  <c r="B598" i="106"/>
  <c r="F598" i="106"/>
  <c r="G598" i="106" s="1"/>
  <c r="B599" i="106"/>
  <c r="F599" i="106"/>
  <c r="G599" i="106" s="1"/>
  <c r="B600" i="106"/>
  <c r="F600" i="106"/>
  <c r="G600" i="106" s="1"/>
  <c r="B601" i="106"/>
  <c r="F601" i="106"/>
  <c r="G601" i="106" s="1"/>
  <c r="B602" i="106"/>
  <c r="F602" i="106"/>
  <c r="G602" i="106" s="1"/>
  <c r="B603" i="106"/>
  <c r="F603" i="106"/>
  <c r="G603" i="106" s="1"/>
  <c r="B604" i="106"/>
  <c r="F604" i="106"/>
  <c r="G604" i="106" s="1"/>
  <c r="B605" i="106"/>
  <c r="F605" i="106"/>
  <c r="G605" i="106" s="1"/>
  <c r="B606" i="106"/>
  <c r="F606" i="106"/>
  <c r="G606" i="106" s="1"/>
  <c r="B607" i="106"/>
  <c r="F607" i="106"/>
  <c r="G607" i="106" s="1"/>
  <c r="B608" i="106"/>
  <c r="F608" i="106"/>
  <c r="G608" i="106" s="1"/>
  <c r="B609" i="106"/>
  <c r="F609" i="106"/>
  <c r="G609" i="106" s="1"/>
  <c r="B610" i="106"/>
  <c r="F610" i="106"/>
  <c r="G610" i="106" s="1"/>
  <c r="B11" i="106"/>
  <c r="F11" i="106" s="1"/>
  <c r="G11" i="106" s="1"/>
  <c r="H11" i="106"/>
  <c r="E16" i="38" l="1"/>
  <c r="E17" i="38"/>
  <c r="E18" i="38"/>
  <c r="E19" i="38"/>
  <c r="E20" i="38"/>
  <c r="E21" i="38"/>
  <c r="E22" i="38"/>
  <c r="E15" i="38"/>
  <c r="B26" i="38" l="1"/>
  <c r="B27" i="38"/>
  <c r="B28" i="38"/>
  <c r="B29" i="38"/>
  <c r="B30" i="38"/>
  <c r="B31" i="38"/>
  <c r="B32" i="38"/>
  <c r="B25" i="38"/>
  <c r="A26" i="38"/>
  <c r="A27" i="38"/>
  <c r="A28" i="38"/>
  <c r="A29" i="38"/>
  <c r="A30" i="38"/>
  <c r="A31" i="38"/>
  <c r="A32" i="38"/>
  <c r="A25" i="38"/>
  <c r="A16" i="38" l="1"/>
  <c r="A17" i="38"/>
  <c r="A18" i="38"/>
  <c r="A19" i="38"/>
  <c r="A20" i="38"/>
  <c r="A21" i="38"/>
  <c r="A22" i="38"/>
  <c r="B16" i="38"/>
  <c r="B17" i="38"/>
  <c r="B18" i="38"/>
  <c r="B19" i="38"/>
  <c r="B20" i="38"/>
  <c r="B21" i="38"/>
  <c r="B22" i="38"/>
  <c r="N80" i="38" l="1"/>
  <c r="N79" i="38"/>
  <c r="M80" i="38"/>
  <c r="M79" i="38"/>
  <c r="N70" i="38"/>
  <c r="N69" i="38"/>
  <c r="M70" i="38"/>
  <c r="M69" i="38"/>
  <c r="N60" i="38"/>
  <c r="N59" i="38"/>
  <c r="M60" i="38"/>
  <c r="M59" i="38"/>
  <c r="N50" i="38"/>
  <c r="N49" i="38"/>
  <c r="M50" i="38"/>
  <c r="M49" i="38"/>
  <c r="N40" i="38"/>
  <c r="N39" i="38"/>
  <c r="M40" i="38"/>
  <c r="M39" i="38"/>
  <c r="C81" i="38"/>
  <c r="C71" i="38"/>
  <c r="C61" i="38"/>
  <c r="C51" i="38"/>
  <c r="C41" i="38"/>
  <c r="B15" i="38"/>
  <c r="A15" i="38"/>
  <c r="C4" i="39"/>
  <c r="C3" i="38" s="1"/>
  <c r="C4" i="38" l="1"/>
  <c r="D16" i="38" s="1"/>
  <c r="C6" i="38"/>
  <c r="D18" i="38" s="1"/>
  <c r="C8" i="38"/>
  <c r="D20" i="38" s="1"/>
  <c r="C5" i="38"/>
  <c r="D17" i="38" s="1"/>
  <c r="C7" i="38"/>
  <c r="D19" i="38" s="1"/>
  <c r="C9" i="38"/>
  <c r="D21" i="38" s="1"/>
  <c r="C10" i="38"/>
  <c r="D22" i="38" s="1"/>
  <c r="C15" i="38"/>
  <c r="F31" i="38" l="1"/>
  <c r="C31" i="38"/>
  <c r="F27" i="38"/>
  <c r="C27" i="38"/>
  <c r="C28" i="38"/>
  <c r="F28" i="38"/>
  <c r="C32" i="38"/>
  <c r="F32" i="38"/>
  <c r="F29" i="38"/>
  <c r="C29" i="38"/>
  <c r="C30" i="38"/>
  <c r="F30" i="38"/>
  <c r="C26" i="38"/>
  <c r="F26" i="38"/>
  <c r="C22" i="38"/>
  <c r="C21" i="38"/>
  <c r="C20" i="38"/>
  <c r="C19" i="38"/>
  <c r="C16" i="38"/>
  <c r="C17" i="38"/>
  <c r="C18" i="38"/>
  <c r="D15" i="38"/>
  <c r="C25" i="38"/>
  <c r="F25" i="38"/>
</calcChain>
</file>

<file path=xl/sharedStrings.xml><?xml version="1.0" encoding="utf-8"?>
<sst xmlns="http://schemas.openxmlformats.org/spreadsheetml/2006/main" count="269" uniqueCount="103">
  <si>
    <t>CUMU1</t>
  </si>
  <si>
    <t>CUMU2</t>
  </si>
  <si>
    <t>CUMU3</t>
  </si>
  <si>
    <t>CUMU4</t>
  </si>
  <si>
    <t>Set1</t>
  </si>
  <si>
    <t>Set2</t>
  </si>
  <si>
    <t>Set3</t>
  </si>
  <si>
    <t>Set4</t>
  </si>
  <si>
    <t>Set5</t>
  </si>
  <si>
    <t>PDI</t>
  </si>
  <si>
    <t>Lam/A</t>
  </si>
  <si>
    <t>Refin</t>
  </si>
  <si>
    <t>FileName</t>
  </si>
  <si>
    <t>AngDeg</t>
  </si>
  <si>
    <t>Q2/cm-2</t>
  </si>
  <si>
    <t>PDI3</t>
  </si>
  <si>
    <t>Q2/10^10cm-2</t>
  </si>
  <si>
    <t>A2</t>
  </si>
  <si>
    <t>G2</t>
  </si>
  <si>
    <t>Angdeg</t>
  </si>
  <si>
    <t>Dapp3/</t>
  </si>
  <si>
    <t>Ficks</t>
  </si>
  <si>
    <t>Dapp1</t>
  </si>
  <si>
    <t>/kHz</t>
  </si>
  <si>
    <t>Gam</t>
  </si>
  <si>
    <t xml:space="preserve">Gam </t>
  </si>
  <si>
    <t xml:space="preserve">  Not installed yet</t>
  </si>
  <si>
    <t>Gam1</t>
  </si>
  <si>
    <t>3Cumu</t>
  </si>
  <si>
    <t xml:space="preserve">Set 6 </t>
  </si>
  <si>
    <t xml:space="preserve">Set 7 </t>
  </si>
  <si>
    <t>Set 8</t>
  </si>
  <si>
    <t>Overall strategy is run the program twice:</t>
  </si>
  <si>
    <t>first time identifies bad runs &amp; makes overall average with statistics</t>
  </si>
  <si>
    <t>second time select all runs (ctrl-A on input) then delete bad runs; generate selected average and statistics</t>
  </si>
  <si>
    <t>I keep killing the design notes tab, but here's the gist of it</t>
  </si>
  <si>
    <t xml:space="preserve">Current problems: </t>
  </si>
  <si>
    <t>Cleanup of Final4 plots</t>
  </si>
  <si>
    <t xml:space="preserve">Importing and averaging the ALV's cumulants results </t>
  </si>
  <si>
    <t>Moving ahead to fits (Frisken, nonlinear least squares, etc)</t>
  </si>
  <si>
    <t>Gamma vs q2, Rhapp vs q2 plots</t>
  </si>
  <si>
    <t>Rearrange averaged &amp; noise plots for Origin plotting</t>
  </si>
  <si>
    <t>I think the 1/16/2022 version contained some of the fixes necessitated by whatever disaster</t>
  </si>
  <si>
    <t xml:space="preserve">attends the downgrade from Office365 to 2019. It looked like the </t>
  </si>
  <si>
    <t>.find property cannot use xlformulas2 library. I fixed some of these on 1/16/2022 but</t>
  </si>
  <si>
    <t xml:space="preserve">maybe not all of them. I thought it was running, but today it does not. Maybe this is one of </t>
  </si>
  <si>
    <t>those cases where I stopped after figuring it out, but did not follow through with everything.</t>
  </si>
  <si>
    <t xml:space="preserve">In defense, Mary's stroke came on 1/19/2022 so I did not quickly get back to this issue. </t>
  </si>
  <si>
    <t>What I remember was I had to retype the whole line (or do something wholly) from the start</t>
  </si>
  <si>
    <t xml:space="preserve">Just changing xlformulas2 to xlformulas did not cut it. </t>
  </si>
  <si>
    <t xml:space="preserve">Ah…now it comes back to me. I think I had to make a new Excel file and record that macro in </t>
  </si>
  <si>
    <t xml:space="preserve">Excel 2019. </t>
  </si>
  <si>
    <t xml:space="preserve">This time, searching the .find statements and replacing xlformulas2 with xlformulas did fix a crash. </t>
  </si>
  <si>
    <t>Next: clear sheets routine should remove the graphs of average correlation functions</t>
  </si>
  <si>
    <t>Also, the axes should be altered for a sensible ymax and crosses at values</t>
  </si>
  <si>
    <t>Users should be offered a chance to set xmax &amp; ymax for all runs after first correlogram is displayed</t>
  </si>
  <si>
    <t>Clear sheets now removes graphs of the averaged plots</t>
  </si>
  <si>
    <t>To begin the cumulants analysis, added ForExport worksheet and macro to populate it; can use in Origin</t>
  </si>
  <si>
    <t xml:space="preserve">        and maybe this becomes the start of the cumulants package. </t>
  </si>
  <si>
    <t xml:space="preserve">See a .txt file for some links to weighted polynomial least squares. </t>
  </si>
  <si>
    <t xml:space="preserve">Maybe the best way is the nonlinear, as it is easy to minimize the weighted sum of squares. </t>
  </si>
  <si>
    <t>Still no xmax &amp; ymax after first run displayed…marking that red (see 2 rows up) for undone (not sure it really matters)</t>
  </si>
  <si>
    <t>Angle/deg</t>
  </si>
  <si>
    <t>Base Adjust</t>
  </si>
  <si>
    <t>A1</t>
  </si>
  <si>
    <t>A3</t>
  </si>
  <si>
    <t>Gamma1</t>
  </si>
  <si>
    <t>Gamma2</t>
  </si>
  <si>
    <t>Gamma3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</si>
  <si>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/cm</t>
    </r>
    <r>
      <rPr>
        <vertAlign val="superscript"/>
        <sz val="11"/>
        <color theme="1"/>
        <rFont val="Calibri"/>
        <family val="2"/>
        <scheme val="minor"/>
      </rPr>
      <t>-2</t>
    </r>
  </si>
  <si>
    <t>lag time/s</t>
  </si>
  <si>
    <t>lag time/ms</t>
  </si>
  <si>
    <t>SSE</t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</si>
  <si>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</t>
    </r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</si>
  <si>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-1, calc</t>
    </r>
  </si>
  <si>
    <t>First Channel Used</t>
  </si>
  <si>
    <t>Index</t>
  </si>
  <si>
    <t>SE</t>
  </si>
  <si>
    <t>Error</t>
  </si>
  <si>
    <t>Last  Channel Used</t>
  </si>
  <si>
    <t>row #</t>
  </si>
  <si>
    <t>q2/cm-2</t>
  </si>
  <si>
    <t>kHz</t>
  </si>
  <si>
    <t>cm-2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</si>
  <si>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/10</t>
    </r>
    <r>
      <rPr>
        <vertAlign val="superscript"/>
        <sz val="11"/>
        <color theme="1"/>
        <rFont val="Calibri"/>
        <family val="2"/>
        <scheme val="minor"/>
      </rPr>
      <t>10</t>
    </r>
  </si>
  <si>
    <t>TdegC</t>
  </si>
  <si>
    <t>TdegK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</si>
  <si>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</si>
  <si>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Dapp1/10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</si>
  <si>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Dapp2/10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</si>
  <si>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Dapp3/10</t>
    </r>
    <r>
      <rPr>
        <vertAlign val="superscript"/>
        <sz val="11"/>
        <color theme="1"/>
        <rFont val="Calibri"/>
        <family val="2"/>
        <scheme val="minor"/>
      </rPr>
      <t>-7</t>
    </r>
  </si>
  <si>
    <t>Rhapp1</t>
  </si>
  <si>
    <t>Rhapp2</t>
  </si>
  <si>
    <t>Rhapp3</t>
  </si>
  <si>
    <t>nm</t>
  </si>
  <si>
    <r>
      <t>kBoltz/erg.K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</si>
  <si>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Eta/cP (P=g.cm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</si>
  <si>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Multiple exponential fitting has been achieved (MEXP via intermediate ForExport sheet)</t>
  </si>
  <si>
    <t>The ForExport sheet can be exported to Origin or similar programs</t>
  </si>
  <si>
    <t>Seems to work remarkably well; this is the first time I have operated Solver from VBA;</t>
  </si>
  <si>
    <t xml:space="preserve">I don't know why we have to look at the approval of the Solver results dialog, but it's probably not a bad idea anyway. </t>
  </si>
  <si>
    <t>Data could be copied out of the ForExport sheet for a traditional linear fitting cumulants approach</t>
  </si>
  <si>
    <t>The next thing is to experiment whether the MEXP sheet can be copied and turned into a Frisken-like nonlinear cumulants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</si>
</sst>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E+00"/>
    <numFmt numFmtId="167" formatCode="0.0000E+00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165" fontId="0" fillId="0" borderId="0" xfId="0" applyNumberFormat="1"/>
    <xf numFmtId="164" fontId="0" fillId="4" borderId="0" xfId="0" applyNumberFormat="1" applyFill="1"/>
    <xf numFmtId="166" fontId="0" fillId="4" borderId="0" xfId="0" applyNumberFormat="1" applyFill="1"/>
    <xf numFmtId="0" fontId="0" fillId="5" borderId="0" xfId="0" applyFill="1"/>
    <xf numFmtId="0" fontId="1" fillId="5" borderId="0" xfId="0" applyFont="1" applyFill="1"/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0" fontId="10" fillId="0" borderId="0" xfId="0" applyFont="1"/>
    <xf numFmtId="165" fontId="10" fillId="0" borderId="0" xfId="0" applyNumberFormat="1" applyFont="1"/>
    <xf numFmtId="165" fontId="8" fillId="0" borderId="0" xfId="0" applyNumberFormat="1" applyFont="1"/>
    <xf numFmtId="11" fontId="0" fillId="0" borderId="0" xfId="0" applyNumberFormat="1"/>
    <xf numFmtId="0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9" fontId="0" fillId="0" borderId="0" xfId="0" applyNumberFormat="1" applyAlignment="1">
      <alignment horizontal="left"/>
    </xf>
    <xf numFmtId="15" fontId="0" fillId="0" borderId="0" xfId="0" applyNumberFormat="1"/>
    <xf numFmtId="0" fontId="0" fillId="0" borderId="0" xfId="0" quotePrefix="1"/>
    <xf numFmtId="0" fontId="13" fillId="0" borderId="0" xfId="0" applyFont="1"/>
    <xf numFmtId="0" fontId="0" fillId="0" borderId="1" xfId="0" applyBorder="1"/>
    <xf numFmtId="0" fontId="0" fillId="6" borderId="1" xfId="0" applyFill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167" fontId="0" fillId="0" borderId="1" xfId="0" applyNumberFormat="1" applyBorder="1"/>
    <xf numFmtId="0" fontId="0" fillId="0" borderId="0" xfId="0" applyFill="1"/>
    <xf numFmtId="0" fontId="0" fillId="3" borderId="1" xfId="0" applyFill="1" applyBorder="1"/>
    <xf numFmtId="0" fontId="15" fillId="8" borderId="1" xfId="0" applyFont="1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15" fillId="12" borderId="1" xfId="0" applyFont="1" applyFill="1" applyBorder="1"/>
    <xf numFmtId="0" fontId="0" fillId="5" borderId="1" xfId="0" applyFill="1" applyBorder="1"/>
    <xf numFmtId="0" fontId="15" fillId="13" borderId="1" xfId="0" applyFont="1" applyFill="1" applyBorder="1"/>
    <xf numFmtId="0" fontId="16" fillId="8" borderId="0" xfId="0" applyFont="1" applyFill="1"/>
    <xf numFmtId="11" fontId="16" fillId="8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Dapp3Cumu</c:v>
          </c:tx>
          <c:spPr>
            <a:ln w="28575">
              <a:noFill/>
            </a:ln>
          </c:spPr>
          <c:marker>
            <c:spPr>
              <a:noFill/>
              <a:ln w="19050">
                <a:solidFill>
                  <a:schemeClr val="accent1"/>
                </a:solidFill>
              </a:ln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7.7962579443395505E-2"/>
                  <c:y val="0.21300770997375329"/>
                </c:manualLayout>
              </c:layout>
              <c:numFmt formatCode="General" sourceLinked="0"/>
            </c:trendlineLbl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GammaVsQ2!$D$15:$D$22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8ED-4164-B654-1E6BA63B9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33504"/>
        <c:axId val="44935424"/>
      </c:scatterChart>
      <c:valAx>
        <c:axId val="44933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4935424"/>
        <c:crosses val="autoZero"/>
        <c:crossBetween val="midCat"/>
      </c:valAx>
      <c:valAx>
        <c:axId val="449354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/>
                  <a:t>D</a:t>
                </a:r>
                <a:r>
                  <a:rPr lang="en-US" sz="1400" b="1" i="0" u="none" strike="noStrike" baseline="-25000"/>
                  <a:t>app</a:t>
                </a:r>
                <a:r>
                  <a:rPr lang="en-US" sz="1400" b="1" i="0" u="none" strike="noStrike" baseline="0"/>
                  <a:t>/10</a:t>
                </a:r>
                <a:r>
                  <a:rPr lang="en-US" sz="1400" b="1" i="0" u="none" strike="noStrike" baseline="30000"/>
                  <a:t>-7</a:t>
                </a:r>
                <a:r>
                  <a:rPr lang="en-US" sz="1400" b="1" i="0" u="none" strike="noStrike" baseline="0"/>
                  <a:t>cm</a:t>
                </a:r>
                <a:r>
                  <a:rPr lang="en-US" sz="1400" b="1" i="0" u="none" strike="noStrike" baseline="30000"/>
                  <a:t>2</a:t>
                </a:r>
                <a:r>
                  <a:rPr lang="en-US" sz="1400" b="1" i="0" u="none" strike="noStrike" baseline="0"/>
                  <a:t>s</a:t>
                </a:r>
                <a:r>
                  <a:rPr lang="en-US" sz="1400" b="1" i="0" u="none" strike="noStrike" baseline="30000"/>
                  <a:t>-1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26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493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 w="19050"/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5.3616418015998944E-2"/>
                  <c:y val="0.29966392830470501"/>
                </c:manualLayout>
              </c:layout>
              <c:numFmt formatCode="General" sourceLinked="0"/>
            </c:trendlineLbl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GammaVsQ2!$E$15:$E$22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40-42D0-8763-5277936D9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16576"/>
        <c:axId val="145418496"/>
      </c:scatterChart>
      <c:valAx>
        <c:axId val="14541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5418496"/>
        <c:crosses val="autoZero"/>
        <c:crossBetween val="midCat"/>
      </c:valAx>
      <c:valAx>
        <c:axId val="1454184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>
                    <a:latin typeface="Symbol" pitchFamily="18" charset="2"/>
                  </a:rPr>
                  <a:t>m</a:t>
                </a:r>
                <a:r>
                  <a:rPr lang="en-US" sz="1400" b="1" i="0" u="none" strike="noStrike" baseline="-25000"/>
                  <a:t>2</a:t>
                </a:r>
                <a:r>
                  <a:rPr lang="en-US" sz="1400" b="1" i="0" u="none" strike="noStrike" baseline="0"/>
                  <a:t>/</a:t>
                </a:r>
                <a:r>
                  <a:rPr lang="en-US" sz="1400" b="1" i="0" u="none" strike="noStrike" baseline="0">
                    <a:latin typeface="Symbol" pitchFamily="18" charset="2"/>
                  </a:rPr>
                  <a:t>G</a:t>
                </a:r>
                <a:r>
                  <a:rPr lang="en-US" sz="1400" b="1" i="0" u="none" strike="noStrike" baseline="30000"/>
                  <a:t>2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541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 w="19050">
                <a:solidFill>
                  <a:schemeClr val="accent1"/>
                </a:solidFill>
              </a:ln>
            </c:spPr>
          </c:marke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GammaVsQ2!$M$3:$M$10</c:f>
              <c:numCache>
                <c:formatCode>0.00E+00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A26-4173-AFFB-6A22D3E8DB90}"/>
            </c:ext>
          </c:extLst>
        </c:ser>
        <c:ser>
          <c:idx val="1"/>
          <c:order val="1"/>
          <c:tx>
            <c:v>Gamma1EXP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 w="19050">
                <a:solidFill>
                  <a:schemeClr val="accent6"/>
                </a:solidFill>
              </a:ln>
            </c:spPr>
          </c:marker>
          <c:xVal>
            <c:numRef>
              <c:f>GammaVsQ2!$C$25:$C$29</c:f>
              <c:numCache>
                <c:formatCode>0.0000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GammaVsQ2!$E$25:$E$29</c:f>
              <c:numCache>
                <c:formatCode>0.00E+00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A26-4173-AFFB-6A22D3E8D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2304"/>
        <c:axId val="44644608"/>
      </c:scatterChart>
      <c:valAx>
        <c:axId val="44642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4644608"/>
        <c:crosses val="autoZero"/>
        <c:crossBetween val="midCat"/>
      </c:valAx>
      <c:valAx>
        <c:axId val="446446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>
                    <a:latin typeface="Symbol" pitchFamily="18" charset="2"/>
                  </a:rPr>
                  <a:t>G</a:t>
                </a:r>
                <a:r>
                  <a:rPr lang="en-US" sz="1400" b="1" i="0" u="none" strike="noStrike" baseline="0"/>
                  <a:t>/kHz</a:t>
                </a:r>
                <a:r>
                  <a:rPr lang="en-US" sz="1400" b="1" i="0" u="none" strike="noStrike" baseline="30000"/>
                  <a:t>1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4"/>
            </c:manualLayout>
          </c:layout>
          <c:overlay val="0"/>
        </c:title>
        <c:numFmt formatCode="0.00E+00" sourceLinked="1"/>
        <c:majorTickMark val="out"/>
        <c:minorTickMark val="none"/>
        <c:tickLblPos val="nextTo"/>
        <c:crossAx val="4464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marker>
            <c:symbol val="none"/>
          </c:marker>
          <c:xVal>
            <c:numRef>
              <c:f>GammaVsQ2!$R$41:$R$84</c:f>
              <c:numCache>
                <c:formatCode>General</c:formatCode>
                <c:ptCount val="44"/>
              </c:numCache>
            </c:numRef>
          </c:xVal>
          <c:yVal>
            <c:numRef>
              <c:f>GammaVsQ2!$S$41:$S$84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91-4149-A228-7CFF74D32D2F}"/>
            </c:ext>
          </c:extLst>
        </c:ser>
        <c:ser>
          <c:idx val="1"/>
          <c:order val="1"/>
          <c:tx>
            <c:v>2</c:v>
          </c:tx>
          <c:marker>
            <c:symbol val="none"/>
          </c:marker>
          <c:xVal>
            <c:numRef>
              <c:f>GammaVsQ2!$T$41:$T$84</c:f>
              <c:numCache>
                <c:formatCode>General</c:formatCode>
                <c:ptCount val="44"/>
              </c:numCache>
            </c:numRef>
          </c:xVal>
          <c:yVal>
            <c:numRef>
              <c:f>GammaVsQ2!$U$41:$U$84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91-4149-A228-7CFF74D32D2F}"/>
            </c:ext>
          </c:extLst>
        </c:ser>
        <c:ser>
          <c:idx val="2"/>
          <c:order val="2"/>
          <c:tx>
            <c:v>3</c:v>
          </c:tx>
          <c:marker>
            <c:symbol val="none"/>
          </c:marker>
          <c:xVal>
            <c:numRef>
              <c:f>GammaVsQ2!$V$41:$V$84</c:f>
              <c:numCache>
                <c:formatCode>General</c:formatCode>
                <c:ptCount val="44"/>
              </c:numCache>
            </c:numRef>
          </c:xVal>
          <c:yVal>
            <c:numRef>
              <c:f>GammaVsQ2!$W$41:$W$84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91-4149-A228-7CFF74D32D2F}"/>
            </c:ext>
          </c:extLst>
        </c:ser>
        <c:ser>
          <c:idx val="3"/>
          <c:order val="3"/>
          <c:tx>
            <c:v>4</c:v>
          </c:tx>
          <c:marker>
            <c:symbol val="none"/>
          </c:marker>
          <c:xVal>
            <c:numRef>
              <c:f>GammaVsQ2!$X$41:$X$84</c:f>
              <c:numCache>
                <c:formatCode>General</c:formatCode>
                <c:ptCount val="44"/>
              </c:numCache>
            </c:numRef>
          </c:xVal>
          <c:yVal>
            <c:numRef>
              <c:f>GammaVsQ2!$Y$41:$Y$84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91-4149-A228-7CFF74D32D2F}"/>
            </c:ext>
          </c:extLst>
        </c:ser>
        <c:ser>
          <c:idx val="4"/>
          <c:order val="4"/>
          <c:tx>
            <c:v>5</c:v>
          </c:tx>
          <c:marker>
            <c:symbol val="none"/>
          </c:marker>
          <c:xVal>
            <c:numRef>
              <c:f>GammaVsQ2!$Z$41:$Z$84</c:f>
              <c:numCache>
                <c:formatCode>General</c:formatCode>
                <c:ptCount val="44"/>
              </c:numCache>
            </c:numRef>
          </c:xVal>
          <c:yVal>
            <c:numRef>
              <c:f>GammaVsQ2!$AA$41:$AA$84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91-4149-A228-7CFF74D32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92992"/>
        <c:axId val="44694912"/>
      </c:scatterChart>
      <c:valAx>
        <c:axId val="4469299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94912"/>
        <c:crosses val="autoZero"/>
        <c:crossBetween val="midCat"/>
      </c:valAx>
      <c:valAx>
        <c:axId val="4469491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marker>
            <c:symbol val="none"/>
          </c:marker>
          <c:xVal>
            <c:numRef>
              <c:f>GammaVsQ2!$R$41:$R$84</c:f>
              <c:numCache>
                <c:formatCode>General</c:formatCode>
                <c:ptCount val="44"/>
              </c:numCache>
            </c:numRef>
          </c:xVal>
          <c:yVal>
            <c:numRef>
              <c:f>GammaVsQ2!$S$41:$S$84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4F-458E-8484-1EC9ACA69B3C}"/>
            </c:ext>
          </c:extLst>
        </c:ser>
        <c:ser>
          <c:idx val="1"/>
          <c:order val="1"/>
          <c:tx>
            <c:v>1exp</c:v>
          </c:tx>
          <c:marker>
            <c:symbol val="none"/>
          </c:marker>
          <c:xVal>
            <c:numRef>
              <c:f>GammaVsQ2!$M$39:$M$40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GammaVsQ2!$O$39:$O$40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4F-458E-8484-1EC9ACA69B3C}"/>
            </c:ext>
          </c:extLst>
        </c:ser>
        <c:ser>
          <c:idx val="2"/>
          <c:order val="2"/>
          <c:tx>
            <c:v>3Cumu</c:v>
          </c:tx>
          <c:marker>
            <c:symbol val="none"/>
          </c:marker>
          <c:xVal>
            <c:numRef>
              <c:f>GammaVsQ2!$N$39:$N$40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GammaVsQ2!$O$39:$O$40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4F-458E-8484-1EC9ACA69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14048"/>
        <c:axId val="45315968"/>
      </c:scatterChart>
      <c:valAx>
        <c:axId val="4531404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5968"/>
        <c:crosses val="autoZero"/>
        <c:crossBetween val="midCat"/>
      </c:valAx>
      <c:valAx>
        <c:axId val="45315968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2</c:v>
          </c:tx>
          <c:marker>
            <c:symbol val="none"/>
          </c:marker>
          <c:xVal>
            <c:numRef>
              <c:f>GammaVsQ2!$T$41:$T$84</c:f>
              <c:numCache>
                <c:formatCode>General</c:formatCode>
                <c:ptCount val="44"/>
              </c:numCache>
            </c:numRef>
          </c:xVal>
          <c:yVal>
            <c:numRef>
              <c:f>GammaVsQ2!$U$41:$U$84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3-471C-80DD-4D9034045096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GammaVsQ2!$M$49:$M$50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GammaVsQ2!$O$49:$O$50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A3-471C-80DD-4D9034045096}"/>
            </c:ext>
          </c:extLst>
        </c:ser>
        <c:ser>
          <c:idx val="2"/>
          <c:order val="2"/>
          <c:tx>
            <c:v>3cumu</c:v>
          </c:tx>
          <c:marker>
            <c:symbol val="none"/>
          </c:marker>
          <c:xVal>
            <c:numRef>
              <c:f>GammaVsQ2!$N$49:$N$50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GammaVsQ2!$O$49:$O$50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A3-471C-80DD-4D9034045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29792"/>
        <c:axId val="45368832"/>
      </c:scatterChart>
      <c:valAx>
        <c:axId val="4532979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68832"/>
        <c:crosses val="autoZero"/>
        <c:crossBetween val="midCat"/>
      </c:valAx>
      <c:valAx>
        <c:axId val="4536883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2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3</c:v>
          </c:tx>
          <c:marker>
            <c:symbol val="none"/>
          </c:marker>
          <c:xVal>
            <c:numRef>
              <c:f>GammaVsQ2!$V$41:$V$84</c:f>
              <c:numCache>
                <c:formatCode>General</c:formatCode>
                <c:ptCount val="44"/>
              </c:numCache>
            </c:numRef>
          </c:xVal>
          <c:yVal>
            <c:numRef>
              <c:f>GammaVsQ2!$W$41:$W$84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7-45DF-B150-345BDDDE03B2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GammaVsQ2!$M$59:$M$60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GammaVsQ2!$O$59:$O$60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7-45DF-B150-345BDDDE03B2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GammaVsQ2!$N$59:$N$60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GammaVsQ2!$O$59:$O$60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7-45DF-B150-345BDDDE0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91232"/>
        <c:axId val="45397504"/>
      </c:scatterChart>
      <c:valAx>
        <c:axId val="45391232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97504"/>
        <c:crosses val="autoZero"/>
        <c:crossBetween val="midCat"/>
      </c:valAx>
      <c:valAx>
        <c:axId val="45397504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9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tx>
            <c:v>4</c:v>
          </c:tx>
          <c:marker>
            <c:symbol val="none"/>
          </c:marker>
          <c:xVal>
            <c:numRef>
              <c:f>GammaVsQ2!$X$41:$X$84</c:f>
              <c:numCache>
                <c:formatCode>General</c:formatCode>
                <c:ptCount val="44"/>
              </c:numCache>
            </c:numRef>
          </c:xVal>
          <c:yVal>
            <c:numRef>
              <c:f>GammaVsQ2!$Y$41:$Y$84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3D-441F-86B5-F2142257B0BE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rgbClr val="C0504D"/>
              </a:solidFill>
            </a:ln>
          </c:spPr>
          <c:marker>
            <c:symbol val="none"/>
          </c:marker>
          <c:xVal>
            <c:numRef>
              <c:f>GammaVsQ2!$M$69:$M$70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GammaVsQ2!$O$69:$O$70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3D-441F-86B5-F2142257B0BE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GammaVsQ2!$N$69:$N$70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GammaVsQ2!$O$69:$O$70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3D-441F-86B5-F2142257B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4000"/>
        <c:axId val="45430272"/>
      </c:scatterChart>
      <c:valAx>
        <c:axId val="4542400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30272"/>
        <c:crosses val="autoZero"/>
        <c:crossBetween val="midCat"/>
      </c:valAx>
      <c:valAx>
        <c:axId val="4543027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2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v>5</c:v>
          </c:tx>
          <c:marker>
            <c:symbol val="none"/>
          </c:marker>
          <c:xVal>
            <c:numRef>
              <c:f>GammaVsQ2!$Z$41:$Z$84</c:f>
              <c:numCache>
                <c:formatCode>General</c:formatCode>
                <c:ptCount val="44"/>
              </c:numCache>
            </c:numRef>
          </c:xVal>
          <c:yVal>
            <c:numRef>
              <c:f>GammaVsQ2!$AA$41:$AA$84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E-463A-BB92-051A2217BD0F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GammaVsQ2!$M$79:$M$80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GammaVsQ2!$O$79:$O$80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E-463A-BB92-051A2217BD0F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GammaVsQ2!$N$79:$N$80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GammaVsQ2!$O$79:$O$80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E-463A-BB92-051A2217B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0864"/>
        <c:axId val="45471232"/>
      </c:scatterChart>
      <c:valAx>
        <c:axId val="45460864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71232"/>
        <c:crosses val="autoZero"/>
        <c:crossBetween val="midCat"/>
      </c:valAx>
      <c:valAx>
        <c:axId val="4547123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6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MEXP!$D$11:$D$225</c:f>
              <c:numCache>
                <c:formatCode>General</c:formatCode>
                <c:ptCount val="2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A-47FF-A7EE-7814BF642464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MEXP!$E$11:$E$225</c:f>
              <c:numCache>
                <c:formatCode>General</c:formatCode>
                <c:ptCount val="21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  <c:pt idx="57">
                  <c:v>0.25</c:v>
                </c:pt>
                <c:pt idx="58">
                  <c:v>0.25</c:v>
                </c:pt>
                <c:pt idx="59">
                  <c:v>0.25</c:v>
                </c:pt>
                <c:pt idx="60">
                  <c:v>0.25</c:v>
                </c:pt>
                <c:pt idx="61">
                  <c:v>0.25</c:v>
                </c:pt>
                <c:pt idx="62">
                  <c:v>0.25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0.25</c:v>
                </c:pt>
                <c:pt idx="72">
                  <c:v>0.25</c:v>
                </c:pt>
                <c:pt idx="73">
                  <c:v>0.25</c:v>
                </c:pt>
                <c:pt idx="74">
                  <c:v>0.25</c:v>
                </c:pt>
                <c:pt idx="75">
                  <c:v>0.25</c:v>
                </c:pt>
                <c:pt idx="76">
                  <c:v>0.25</c:v>
                </c:pt>
                <c:pt idx="77">
                  <c:v>0.25</c:v>
                </c:pt>
                <c:pt idx="78">
                  <c:v>0.25</c:v>
                </c:pt>
                <c:pt idx="79">
                  <c:v>0.25</c:v>
                </c:pt>
                <c:pt idx="80">
                  <c:v>0.25</c:v>
                </c:pt>
                <c:pt idx="81">
                  <c:v>0.25</c:v>
                </c:pt>
                <c:pt idx="82">
                  <c:v>0.25</c:v>
                </c:pt>
                <c:pt idx="83">
                  <c:v>0.25</c:v>
                </c:pt>
                <c:pt idx="84">
                  <c:v>0.25</c:v>
                </c:pt>
                <c:pt idx="85">
                  <c:v>0.25</c:v>
                </c:pt>
                <c:pt idx="86">
                  <c:v>0.25</c:v>
                </c:pt>
                <c:pt idx="87">
                  <c:v>0.25</c:v>
                </c:pt>
                <c:pt idx="88">
                  <c:v>0.25</c:v>
                </c:pt>
                <c:pt idx="89">
                  <c:v>0.25</c:v>
                </c:pt>
                <c:pt idx="90">
                  <c:v>0.25</c:v>
                </c:pt>
                <c:pt idx="91">
                  <c:v>0.25</c:v>
                </c:pt>
                <c:pt idx="92">
                  <c:v>0.25</c:v>
                </c:pt>
                <c:pt idx="93">
                  <c:v>0.25</c:v>
                </c:pt>
                <c:pt idx="94">
                  <c:v>0.25</c:v>
                </c:pt>
                <c:pt idx="95">
                  <c:v>0.25</c:v>
                </c:pt>
                <c:pt idx="96">
                  <c:v>0.25</c:v>
                </c:pt>
                <c:pt idx="97">
                  <c:v>0.25</c:v>
                </c:pt>
                <c:pt idx="98">
                  <c:v>0.25</c:v>
                </c:pt>
                <c:pt idx="99">
                  <c:v>0.25</c:v>
                </c:pt>
                <c:pt idx="100">
                  <c:v>0.25</c:v>
                </c:pt>
                <c:pt idx="101">
                  <c:v>0.25</c:v>
                </c:pt>
                <c:pt idx="102">
                  <c:v>0.25</c:v>
                </c:pt>
                <c:pt idx="103">
                  <c:v>0.25</c:v>
                </c:pt>
                <c:pt idx="104">
                  <c:v>0.25</c:v>
                </c:pt>
                <c:pt idx="105">
                  <c:v>0.25</c:v>
                </c:pt>
                <c:pt idx="106">
                  <c:v>0.25</c:v>
                </c:pt>
                <c:pt idx="107">
                  <c:v>0.25</c:v>
                </c:pt>
                <c:pt idx="108">
                  <c:v>0.25</c:v>
                </c:pt>
                <c:pt idx="109">
                  <c:v>0.25</c:v>
                </c:pt>
                <c:pt idx="110">
                  <c:v>0.25</c:v>
                </c:pt>
                <c:pt idx="111">
                  <c:v>0.25</c:v>
                </c:pt>
                <c:pt idx="112">
                  <c:v>0.25</c:v>
                </c:pt>
                <c:pt idx="113">
                  <c:v>0.25</c:v>
                </c:pt>
                <c:pt idx="114">
                  <c:v>0.25</c:v>
                </c:pt>
                <c:pt idx="115">
                  <c:v>0.25</c:v>
                </c:pt>
                <c:pt idx="116">
                  <c:v>0.25</c:v>
                </c:pt>
                <c:pt idx="117">
                  <c:v>0.25</c:v>
                </c:pt>
                <c:pt idx="118">
                  <c:v>0.25</c:v>
                </c:pt>
                <c:pt idx="119">
                  <c:v>0.25</c:v>
                </c:pt>
                <c:pt idx="120">
                  <c:v>0.25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0.25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0.25</c:v>
                </c:pt>
                <c:pt idx="131">
                  <c:v>0.25</c:v>
                </c:pt>
                <c:pt idx="132">
                  <c:v>0.25</c:v>
                </c:pt>
                <c:pt idx="133">
                  <c:v>0.25</c:v>
                </c:pt>
                <c:pt idx="134">
                  <c:v>0.25</c:v>
                </c:pt>
                <c:pt idx="135">
                  <c:v>0.25</c:v>
                </c:pt>
                <c:pt idx="136">
                  <c:v>0.25</c:v>
                </c:pt>
                <c:pt idx="137">
                  <c:v>0.25</c:v>
                </c:pt>
                <c:pt idx="138">
                  <c:v>0.25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  <c:pt idx="158">
                  <c:v>0.25</c:v>
                </c:pt>
                <c:pt idx="159">
                  <c:v>0.25</c:v>
                </c:pt>
                <c:pt idx="160">
                  <c:v>0.25</c:v>
                </c:pt>
                <c:pt idx="161">
                  <c:v>0.25</c:v>
                </c:pt>
                <c:pt idx="162">
                  <c:v>0.25</c:v>
                </c:pt>
                <c:pt idx="163">
                  <c:v>0.25</c:v>
                </c:pt>
                <c:pt idx="164">
                  <c:v>0.25</c:v>
                </c:pt>
                <c:pt idx="165">
                  <c:v>0.25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0.25</c:v>
                </c:pt>
                <c:pt idx="172">
                  <c:v>0.25</c:v>
                </c:pt>
                <c:pt idx="173">
                  <c:v>0.25</c:v>
                </c:pt>
                <c:pt idx="174">
                  <c:v>0.25</c:v>
                </c:pt>
                <c:pt idx="175">
                  <c:v>0.25</c:v>
                </c:pt>
                <c:pt idx="176">
                  <c:v>0.25</c:v>
                </c:pt>
                <c:pt idx="177">
                  <c:v>0.25</c:v>
                </c:pt>
                <c:pt idx="178">
                  <c:v>0.25</c:v>
                </c:pt>
                <c:pt idx="179">
                  <c:v>0.25</c:v>
                </c:pt>
                <c:pt idx="180">
                  <c:v>0.25</c:v>
                </c:pt>
                <c:pt idx="181">
                  <c:v>0.25</c:v>
                </c:pt>
                <c:pt idx="182">
                  <c:v>0.25</c:v>
                </c:pt>
                <c:pt idx="183">
                  <c:v>0.25</c:v>
                </c:pt>
                <c:pt idx="184">
                  <c:v>0.25</c:v>
                </c:pt>
                <c:pt idx="185">
                  <c:v>0.25</c:v>
                </c:pt>
                <c:pt idx="186">
                  <c:v>0.25</c:v>
                </c:pt>
                <c:pt idx="187">
                  <c:v>0.25</c:v>
                </c:pt>
                <c:pt idx="188">
                  <c:v>0.25</c:v>
                </c:pt>
                <c:pt idx="189">
                  <c:v>0.25</c:v>
                </c:pt>
                <c:pt idx="190">
                  <c:v>0.25</c:v>
                </c:pt>
                <c:pt idx="191">
                  <c:v>0.25</c:v>
                </c:pt>
                <c:pt idx="192">
                  <c:v>0.25</c:v>
                </c:pt>
                <c:pt idx="193">
                  <c:v>0.25</c:v>
                </c:pt>
                <c:pt idx="194">
                  <c:v>0.25</c:v>
                </c:pt>
                <c:pt idx="195">
                  <c:v>0.25</c:v>
                </c:pt>
                <c:pt idx="196">
                  <c:v>0.25</c:v>
                </c:pt>
                <c:pt idx="197">
                  <c:v>0.25</c:v>
                </c:pt>
                <c:pt idx="198">
                  <c:v>0.25</c:v>
                </c:pt>
                <c:pt idx="199">
                  <c:v>0.25</c:v>
                </c:pt>
                <c:pt idx="200">
                  <c:v>0.25</c:v>
                </c:pt>
                <c:pt idx="201">
                  <c:v>0.25</c:v>
                </c:pt>
                <c:pt idx="202">
                  <c:v>0.25</c:v>
                </c:pt>
                <c:pt idx="203">
                  <c:v>0.25</c:v>
                </c:pt>
                <c:pt idx="204">
                  <c:v>0.25</c:v>
                </c:pt>
                <c:pt idx="205">
                  <c:v>0.25</c:v>
                </c:pt>
                <c:pt idx="206">
                  <c:v>0.25</c:v>
                </c:pt>
                <c:pt idx="207">
                  <c:v>0.25</c:v>
                </c:pt>
                <c:pt idx="208">
                  <c:v>0.25</c:v>
                </c:pt>
                <c:pt idx="209">
                  <c:v>0.25</c:v>
                </c:pt>
                <c:pt idx="210">
                  <c:v>0.25</c:v>
                </c:pt>
                <c:pt idx="211">
                  <c:v>0.25</c:v>
                </c:pt>
                <c:pt idx="212">
                  <c:v>0.25</c:v>
                </c:pt>
                <c:pt idx="213">
                  <c:v>0.25</c:v>
                </c:pt>
                <c:pt idx="21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3A-47FF-A7EE-7814BF642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MEXP!$B$11:$B$610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MEXP!$F$11:$F$610</c:f>
              <c:numCache>
                <c:formatCode>General</c:formatCode>
                <c:ptCount val="600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-0.25</c:v>
                </c:pt>
                <c:pt idx="9">
                  <c:v>-0.25</c:v>
                </c:pt>
                <c:pt idx="10">
                  <c:v>-0.25</c:v>
                </c:pt>
                <c:pt idx="11">
                  <c:v>-0.25</c:v>
                </c:pt>
                <c:pt idx="12">
                  <c:v>-0.25</c:v>
                </c:pt>
                <c:pt idx="13">
                  <c:v>-0.25</c:v>
                </c:pt>
                <c:pt idx="14">
                  <c:v>-0.25</c:v>
                </c:pt>
                <c:pt idx="15">
                  <c:v>-0.25</c:v>
                </c:pt>
                <c:pt idx="16">
                  <c:v>-0.25</c:v>
                </c:pt>
                <c:pt idx="17">
                  <c:v>-0.25</c:v>
                </c:pt>
                <c:pt idx="18">
                  <c:v>-0.25</c:v>
                </c:pt>
                <c:pt idx="19">
                  <c:v>-0.25</c:v>
                </c:pt>
                <c:pt idx="20">
                  <c:v>-0.25</c:v>
                </c:pt>
                <c:pt idx="21">
                  <c:v>-0.25</c:v>
                </c:pt>
                <c:pt idx="22">
                  <c:v>-0.25</c:v>
                </c:pt>
                <c:pt idx="23">
                  <c:v>-0.25</c:v>
                </c:pt>
                <c:pt idx="24">
                  <c:v>-0.25</c:v>
                </c:pt>
                <c:pt idx="25">
                  <c:v>-0.25</c:v>
                </c:pt>
                <c:pt idx="26">
                  <c:v>-0.25</c:v>
                </c:pt>
                <c:pt idx="27">
                  <c:v>-0.25</c:v>
                </c:pt>
                <c:pt idx="28">
                  <c:v>-0.25</c:v>
                </c:pt>
                <c:pt idx="29">
                  <c:v>-0.25</c:v>
                </c:pt>
                <c:pt idx="30">
                  <c:v>-0.25</c:v>
                </c:pt>
                <c:pt idx="31">
                  <c:v>-0.25</c:v>
                </c:pt>
                <c:pt idx="32">
                  <c:v>-0.25</c:v>
                </c:pt>
                <c:pt idx="33">
                  <c:v>-0.25</c:v>
                </c:pt>
                <c:pt idx="34">
                  <c:v>-0.25</c:v>
                </c:pt>
                <c:pt idx="35">
                  <c:v>-0.25</c:v>
                </c:pt>
                <c:pt idx="36">
                  <c:v>-0.25</c:v>
                </c:pt>
                <c:pt idx="37">
                  <c:v>-0.25</c:v>
                </c:pt>
                <c:pt idx="38">
                  <c:v>-0.25</c:v>
                </c:pt>
                <c:pt idx="39">
                  <c:v>-0.25</c:v>
                </c:pt>
                <c:pt idx="40">
                  <c:v>-0.25</c:v>
                </c:pt>
                <c:pt idx="41">
                  <c:v>-0.25</c:v>
                </c:pt>
                <c:pt idx="42">
                  <c:v>-0.25</c:v>
                </c:pt>
                <c:pt idx="43">
                  <c:v>-0.25</c:v>
                </c:pt>
                <c:pt idx="44">
                  <c:v>-0.25</c:v>
                </c:pt>
                <c:pt idx="45">
                  <c:v>-0.25</c:v>
                </c:pt>
                <c:pt idx="46">
                  <c:v>-0.25</c:v>
                </c:pt>
                <c:pt idx="47">
                  <c:v>-0.25</c:v>
                </c:pt>
                <c:pt idx="48">
                  <c:v>-0.25</c:v>
                </c:pt>
                <c:pt idx="49">
                  <c:v>-0.25</c:v>
                </c:pt>
                <c:pt idx="50">
                  <c:v>-0.25</c:v>
                </c:pt>
                <c:pt idx="51">
                  <c:v>-0.25</c:v>
                </c:pt>
                <c:pt idx="52">
                  <c:v>-0.25</c:v>
                </c:pt>
                <c:pt idx="53">
                  <c:v>-0.25</c:v>
                </c:pt>
                <c:pt idx="54">
                  <c:v>-0.25</c:v>
                </c:pt>
                <c:pt idx="55">
                  <c:v>-0.25</c:v>
                </c:pt>
                <c:pt idx="56">
                  <c:v>-0.25</c:v>
                </c:pt>
                <c:pt idx="57">
                  <c:v>-0.25</c:v>
                </c:pt>
                <c:pt idx="58">
                  <c:v>-0.25</c:v>
                </c:pt>
                <c:pt idx="59">
                  <c:v>-0.25</c:v>
                </c:pt>
                <c:pt idx="60">
                  <c:v>-0.25</c:v>
                </c:pt>
                <c:pt idx="61">
                  <c:v>-0.25</c:v>
                </c:pt>
                <c:pt idx="62">
                  <c:v>-0.25</c:v>
                </c:pt>
                <c:pt idx="63">
                  <c:v>-0.25</c:v>
                </c:pt>
                <c:pt idx="64">
                  <c:v>-0.25</c:v>
                </c:pt>
                <c:pt idx="65">
                  <c:v>-0.25</c:v>
                </c:pt>
                <c:pt idx="66">
                  <c:v>-0.25</c:v>
                </c:pt>
                <c:pt idx="67">
                  <c:v>-0.25</c:v>
                </c:pt>
                <c:pt idx="68">
                  <c:v>-0.25</c:v>
                </c:pt>
                <c:pt idx="69">
                  <c:v>-0.25</c:v>
                </c:pt>
                <c:pt idx="70">
                  <c:v>-0.25</c:v>
                </c:pt>
                <c:pt idx="71">
                  <c:v>-0.25</c:v>
                </c:pt>
                <c:pt idx="72">
                  <c:v>-0.25</c:v>
                </c:pt>
                <c:pt idx="73">
                  <c:v>-0.25</c:v>
                </c:pt>
                <c:pt idx="74">
                  <c:v>-0.25</c:v>
                </c:pt>
                <c:pt idx="75">
                  <c:v>-0.25</c:v>
                </c:pt>
                <c:pt idx="76">
                  <c:v>-0.25</c:v>
                </c:pt>
                <c:pt idx="77">
                  <c:v>-0.25</c:v>
                </c:pt>
                <c:pt idx="78">
                  <c:v>-0.25</c:v>
                </c:pt>
                <c:pt idx="79">
                  <c:v>-0.25</c:v>
                </c:pt>
                <c:pt idx="80">
                  <c:v>-0.25</c:v>
                </c:pt>
                <c:pt idx="81">
                  <c:v>-0.25</c:v>
                </c:pt>
                <c:pt idx="82">
                  <c:v>-0.25</c:v>
                </c:pt>
                <c:pt idx="83">
                  <c:v>-0.25</c:v>
                </c:pt>
                <c:pt idx="84">
                  <c:v>-0.25</c:v>
                </c:pt>
                <c:pt idx="85">
                  <c:v>-0.25</c:v>
                </c:pt>
                <c:pt idx="86">
                  <c:v>-0.25</c:v>
                </c:pt>
                <c:pt idx="87">
                  <c:v>-0.25</c:v>
                </c:pt>
                <c:pt idx="88">
                  <c:v>-0.25</c:v>
                </c:pt>
                <c:pt idx="89">
                  <c:v>-0.25</c:v>
                </c:pt>
                <c:pt idx="90">
                  <c:v>-0.25</c:v>
                </c:pt>
                <c:pt idx="91">
                  <c:v>-0.25</c:v>
                </c:pt>
                <c:pt idx="92">
                  <c:v>-0.25</c:v>
                </c:pt>
                <c:pt idx="93">
                  <c:v>-0.25</c:v>
                </c:pt>
                <c:pt idx="94">
                  <c:v>-0.25</c:v>
                </c:pt>
                <c:pt idx="95">
                  <c:v>-0.25</c:v>
                </c:pt>
                <c:pt idx="96">
                  <c:v>-0.25</c:v>
                </c:pt>
                <c:pt idx="97">
                  <c:v>-0.25</c:v>
                </c:pt>
                <c:pt idx="98">
                  <c:v>-0.25</c:v>
                </c:pt>
                <c:pt idx="99">
                  <c:v>-0.25</c:v>
                </c:pt>
                <c:pt idx="100">
                  <c:v>-0.25</c:v>
                </c:pt>
                <c:pt idx="101">
                  <c:v>-0.25</c:v>
                </c:pt>
                <c:pt idx="102">
                  <c:v>-0.25</c:v>
                </c:pt>
                <c:pt idx="103">
                  <c:v>-0.25</c:v>
                </c:pt>
                <c:pt idx="104">
                  <c:v>-0.25</c:v>
                </c:pt>
                <c:pt idx="105">
                  <c:v>-0.25</c:v>
                </c:pt>
                <c:pt idx="106">
                  <c:v>-0.25</c:v>
                </c:pt>
                <c:pt idx="107">
                  <c:v>-0.25</c:v>
                </c:pt>
                <c:pt idx="108">
                  <c:v>-0.25</c:v>
                </c:pt>
                <c:pt idx="109">
                  <c:v>-0.25</c:v>
                </c:pt>
                <c:pt idx="110">
                  <c:v>-0.25</c:v>
                </c:pt>
                <c:pt idx="111">
                  <c:v>-0.25</c:v>
                </c:pt>
                <c:pt idx="112">
                  <c:v>-0.25</c:v>
                </c:pt>
                <c:pt idx="113">
                  <c:v>-0.25</c:v>
                </c:pt>
                <c:pt idx="114">
                  <c:v>-0.25</c:v>
                </c:pt>
                <c:pt idx="115">
                  <c:v>-0.25</c:v>
                </c:pt>
                <c:pt idx="116">
                  <c:v>-0.25</c:v>
                </c:pt>
                <c:pt idx="117">
                  <c:v>-0.25</c:v>
                </c:pt>
                <c:pt idx="118">
                  <c:v>-0.25</c:v>
                </c:pt>
                <c:pt idx="119">
                  <c:v>-0.25</c:v>
                </c:pt>
                <c:pt idx="120">
                  <c:v>-0.25</c:v>
                </c:pt>
                <c:pt idx="121">
                  <c:v>-0.25</c:v>
                </c:pt>
                <c:pt idx="122">
                  <c:v>-0.25</c:v>
                </c:pt>
                <c:pt idx="123">
                  <c:v>-0.25</c:v>
                </c:pt>
                <c:pt idx="124">
                  <c:v>-0.25</c:v>
                </c:pt>
                <c:pt idx="125">
                  <c:v>-0.25</c:v>
                </c:pt>
                <c:pt idx="126">
                  <c:v>-0.25</c:v>
                </c:pt>
                <c:pt idx="127">
                  <c:v>-0.25</c:v>
                </c:pt>
                <c:pt idx="128">
                  <c:v>-0.25</c:v>
                </c:pt>
                <c:pt idx="129">
                  <c:v>-0.25</c:v>
                </c:pt>
                <c:pt idx="130">
                  <c:v>-0.25</c:v>
                </c:pt>
                <c:pt idx="131">
                  <c:v>-0.25</c:v>
                </c:pt>
                <c:pt idx="132">
                  <c:v>-0.25</c:v>
                </c:pt>
                <c:pt idx="133">
                  <c:v>-0.25</c:v>
                </c:pt>
                <c:pt idx="134">
                  <c:v>-0.25</c:v>
                </c:pt>
                <c:pt idx="135">
                  <c:v>-0.25</c:v>
                </c:pt>
                <c:pt idx="136">
                  <c:v>-0.25</c:v>
                </c:pt>
                <c:pt idx="137">
                  <c:v>-0.25</c:v>
                </c:pt>
                <c:pt idx="138">
                  <c:v>-0.25</c:v>
                </c:pt>
                <c:pt idx="139">
                  <c:v>-0.25</c:v>
                </c:pt>
                <c:pt idx="140">
                  <c:v>-0.25</c:v>
                </c:pt>
                <c:pt idx="141">
                  <c:v>-0.25</c:v>
                </c:pt>
                <c:pt idx="142">
                  <c:v>-0.25</c:v>
                </c:pt>
                <c:pt idx="143">
                  <c:v>-0.25</c:v>
                </c:pt>
                <c:pt idx="144">
                  <c:v>-0.25</c:v>
                </c:pt>
                <c:pt idx="145">
                  <c:v>-0.25</c:v>
                </c:pt>
                <c:pt idx="146">
                  <c:v>-0.25</c:v>
                </c:pt>
                <c:pt idx="147">
                  <c:v>-0.25</c:v>
                </c:pt>
                <c:pt idx="148">
                  <c:v>-0.25</c:v>
                </c:pt>
                <c:pt idx="149">
                  <c:v>-0.25</c:v>
                </c:pt>
                <c:pt idx="150">
                  <c:v>-0.25</c:v>
                </c:pt>
                <c:pt idx="151">
                  <c:v>-0.25</c:v>
                </c:pt>
                <c:pt idx="152">
                  <c:v>-0.25</c:v>
                </c:pt>
                <c:pt idx="153">
                  <c:v>-0.25</c:v>
                </c:pt>
                <c:pt idx="154">
                  <c:v>-0.25</c:v>
                </c:pt>
                <c:pt idx="155">
                  <c:v>-0.25</c:v>
                </c:pt>
                <c:pt idx="156">
                  <c:v>-0.25</c:v>
                </c:pt>
                <c:pt idx="157">
                  <c:v>-0.25</c:v>
                </c:pt>
                <c:pt idx="158">
                  <c:v>-0.25</c:v>
                </c:pt>
                <c:pt idx="159">
                  <c:v>-0.25</c:v>
                </c:pt>
                <c:pt idx="160">
                  <c:v>-0.25</c:v>
                </c:pt>
                <c:pt idx="161">
                  <c:v>-0.25</c:v>
                </c:pt>
                <c:pt idx="162">
                  <c:v>-0.25</c:v>
                </c:pt>
                <c:pt idx="163">
                  <c:v>-0.25</c:v>
                </c:pt>
                <c:pt idx="164">
                  <c:v>-0.25</c:v>
                </c:pt>
                <c:pt idx="165">
                  <c:v>-0.25</c:v>
                </c:pt>
                <c:pt idx="166">
                  <c:v>-0.25</c:v>
                </c:pt>
                <c:pt idx="167">
                  <c:v>-0.25</c:v>
                </c:pt>
                <c:pt idx="168">
                  <c:v>-0.25</c:v>
                </c:pt>
                <c:pt idx="169">
                  <c:v>-0.25</c:v>
                </c:pt>
                <c:pt idx="170">
                  <c:v>-0.25</c:v>
                </c:pt>
                <c:pt idx="171">
                  <c:v>-0.25</c:v>
                </c:pt>
                <c:pt idx="172">
                  <c:v>-0.25</c:v>
                </c:pt>
                <c:pt idx="173">
                  <c:v>-0.25</c:v>
                </c:pt>
                <c:pt idx="174">
                  <c:v>-0.25</c:v>
                </c:pt>
                <c:pt idx="175">
                  <c:v>-0.25</c:v>
                </c:pt>
                <c:pt idx="176">
                  <c:v>-0.25</c:v>
                </c:pt>
                <c:pt idx="177">
                  <c:v>-0.25</c:v>
                </c:pt>
                <c:pt idx="178">
                  <c:v>-0.25</c:v>
                </c:pt>
                <c:pt idx="179">
                  <c:v>-0.25</c:v>
                </c:pt>
                <c:pt idx="180">
                  <c:v>-0.25</c:v>
                </c:pt>
                <c:pt idx="181">
                  <c:v>-0.25</c:v>
                </c:pt>
                <c:pt idx="182">
                  <c:v>-0.25</c:v>
                </c:pt>
                <c:pt idx="183">
                  <c:v>-0.25</c:v>
                </c:pt>
                <c:pt idx="184">
                  <c:v>-0.25</c:v>
                </c:pt>
                <c:pt idx="185">
                  <c:v>-0.25</c:v>
                </c:pt>
                <c:pt idx="186">
                  <c:v>-0.25</c:v>
                </c:pt>
                <c:pt idx="187">
                  <c:v>-0.25</c:v>
                </c:pt>
                <c:pt idx="188">
                  <c:v>-0.25</c:v>
                </c:pt>
                <c:pt idx="189">
                  <c:v>-0.25</c:v>
                </c:pt>
                <c:pt idx="190">
                  <c:v>-0.25</c:v>
                </c:pt>
                <c:pt idx="191">
                  <c:v>-0.25</c:v>
                </c:pt>
                <c:pt idx="192">
                  <c:v>-0.25</c:v>
                </c:pt>
                <c:pt idx="193">
                  <c:v>-0.25</c:v>
                </c:pt>
                <c:pt idx="194">
                  <c:v>-0.25</c:v>
                </c:pt>
                <c:pt idx="195">
                  <c:v>-0.25</c:v>
                </c:pt>
                <c:pt idx="196">
                  <c:v>-0.25</c:v>
                </c:pt>
                <c:pt idx="197">
                  <c:v>-0.25</c:v>
                </c:pt>
                <c:pt idx="198">
                  <c:v>-0.25</c:v>
                </c:pt>
                <c:pt idx="199">
                  <c:v>-0.25</c:v>
                </c:pt>
                <c:pt idx="200">
                  <c:v>-0.25</c:v>
                </c:pt>
                <c:pt idx="201">
                  <c:v>-0.25</c:v>
                </c:pt>
                <c:pt idx="202">
                  <c:v>-0.25</c:v>
                </c:pt>
                <c:pt idx="203">
                  <c:v>-0.25</c:v>
                </c:pt>
                <c:pt idx="204">
                  <c:v>-0.25</c:v>
                </c:pt>
                <c:pt idx="205">
                  <c:v>-0.25</c:v>
                </c:pt>
                <c:pt idx="206">
                  <c:v>-0.25</c:v>
                </c:pt>
                <c:pt idx="207">
                  <c:v>-0.25</c:v>
                </c:pt>
                <c:pt idx="208">
                  <c:v>-0.25</c:v>
                </c:pt>
                <c:pt idx="209">
                  <c:v>-0.25</c:v>
                </c:pt>
                <c:pt idx="210">
                  <c:v>-0.25</c:v>
                </c:pt>
                <c:pt idx="211">
                  <c:v>-0.25</c:v>
                </c:pt>
                <c:pt idx="212">
                  <c:v>-0.25</c:v>
                </c:pt>
                <c:pt idx="213">
                  <c:v>-0.25</c:v>
                </c:pt>
                <c:pt idx="214">
                  <c:v>-0.25</c:v>
                </c:pt>
                <c:pt idx="215">
                  <c:v>-0.25</c:v>
                </c:pt>
                <c:pt idx="216">
                  <c:v>-0.25</c:v>
                </c:pt>
                <c:pt idx="217">
                  <c:v>-0.25</c:v>
                </c:pt>
                <c:pt idx="218">
                  <c:v>-0.25</c:v>
                </c:pt>
                <c:pt idx="219">
                  <c:v>-0.25</c:v>
                </c:pt>
                <c:pt idx="220">
                  <c:v>-0.25</c:v>
                </c:pt>
                <c:pt idx="221">
                  <c:v>-0.25</c:v>
                </c:pt>
                <c:pt idx="222">
                  <c:v>-0.25</c:v>
                </c:pt>
                <c:pt idx="223">
                  <c:v>-0.25</c:v>
                </c:pt>
                <c:pt idx="224">
                  <c:v>-0.25</c:v>
                </c:pt>
                <c:pt idx="225">
                  <c:v>-0.25</c:v>
                </c:pt>
                <c:pt idx="226">
                  <c:v>-0.25</c:v>
                </c:pt>
                <c:pt idx="227">
                  <c:v>-0.25</c:v>
                </c:pt>
                <c:pt idx="228">
                  <c:v>-0.25</c:v>
                </c:pt>
                <c:pt idx="229">
                  <c:v>-0.25</c:v>
                </c:pt>
                <c:pt idx="230">
                  <c:v>-0.25</c:v>
                </c:pt>
                <c:pt idx="231">
                  <c:v>-0.25</c:v>
                </c:pt>
                <c:pt idx="232">
                  <c:v>-0.25</c:v>
                </c:pt>
                <c:pt idx="233">
                  <c:v>-0.25</c:v>
                </c:pt>
                <c:pt idx="234">
                  <c:v>-0.25</c:v>
                </c:pt>
                <c:pt idx="235">
                  <c:v>-0.25</c:v>
                </c:pt>
                <c:pt idx="236">
                  <c:v>-0.25</c:v>
                </c:pt>
                <c:pt idx="237">
                  <c:v>-0.25</c:v>
                </c:pt>
                <c:pt idx="238">
                  <c:v>-0.25</c:v>
                </c:pt>
                <c:pt idx="239">
                  <c:v>-0.25</c:v>
                </c:pt>
                <c:pt idx="240">
                  <c:v>-0.25</c:v>
                </c:pt>
                <c:pt idx="241">
                  <c:v>-0.25</c:v>
                </c:pt>
                <c:pt idx="242">
                  <c:v>-0.25</c:v>
                </c:pt>
                <c:pt idx="243">
                  <c:v>-0.25</c:v>
                </c:pt>
                <c:pt idx="244">
                  <c:v>-0.25</c:v>
                </c:pt>
                <c:pt idx="245">
                  <c:v>-0.25</c:v>
                </c:pt>
                <c:pt idx="246">
                  <c:v>-0.25</c:v>
                </c:pt>
                <c:pt idx="247">
                  <c:v>-0.25</c:v>
                </c:pt>
                <c:pt idx="248">
                  <c:v>-0.25</c:v>
                </c:pt>
                <c:pt idx="249">
                  <c:v>-0.25</c:v>
                </c:pt>
                <c:pt idx="250">
                  <c:v>-0.25</c:v>
                </c:pt>
                <c:pt idx="251">
                  <c:v>-0.25</c:v>
                </c:pt>
                <c:pt idx="252">
                  <c:v>-0.25</c:v>
                </c:pt>
                <c:pt idx="253">
                  <c:v>-0.25</c:v>
                </c:pt>
                <c:pt idx="254">
                  <c:v>-0.25</c:v>
                </c:pt>
                <c:pt idx="255">
                  <c:v>-0.25</c:v>
                </c:pt>
                <c:pt idx="256">
                  <c:v>-0.25</c:v>
                </c:pt>
                <c:pt idx="257">
                  <c:v>-0.25</c:v>
                </c:pt>
                <c:pt idx="258">
                  <c:v>-0.25</c:v>
                </c:pt>
                <c:pt idx="259">
                  <c:v>-0.25</c:v>
                </c:pt>
                <c:pt idx="260">
                  <c:v>-0.25</c:v>
                </c:pt>
                <c:pt idx="261">
                  <c:v>-0.25</c:v>
                </c:pt>
                <c:pt idx="262">
                  <c:v>-0.25</c:v>
                </c:pt>
                <c:pt idx="263">
                  <c:v>-0.25</c:v>
                </c:pt>
                <c:pt idx="264">
                  <c:v>-0.25</c:v>
                </c:pt>
                <c:pt idx="265">
                  <c:v>-0.25</c:v>
                </c:pt>
                <c:pt idx="266">
                  <c:v>-0.25</c:v>
                </c:pt>
                <c:pt idx="267">
                  <c:v>-0.25</c:v>
                </c:pt>
                <c:pt idx="268">
                  <c:v>-0.25</c:v>
                </c:pt>
                <c:pt idx="269">
                  <c:v>-0.25</c:v>
                </c:pt>
                <c:pt idx="270">
                  <c:v>-0.25</c:v>
                </c:pt>
                <c:pt idx="271">
                  <c:v>-0.25</c:v>
                </c:pt>
                <c:pt idx="272">
                  <c:v>-0.25</c:v>
                </c:pt>
                <c:pt idx="273">
                  <c:v>-0.25</c:v>
                </c:pt>
                <c:pt idx="274">
                  <c:v>-0.25</c:v>
                </c:pt>
                <c:pt idx="275">
                  <c:v>-0.25</c:v>
                </c:pt>
                <c:pt idx="276">
                  <c:v>-0.25</c:v>
                </c:pt>
                <c:pt idx="277">
                  <c:v>-0.25</c:v>
                </c:pt>
                <c:pt idx="278">
                  <c:v>-0.25</c:v>
                </c:pt>
                <c:pt idx="279">
                  <c:v>-0.25</c:v>
                </c:pt>
                <c:pt idx="280">
                  <c:v>-0.25</c:v>
                </c:pt>
                <c:pt idx="281">
                  <c:v>-0.25</c:v>
                </c:pt>
                <c:pt idx="282">
                  <c:v>-0.25</c:v>
                </c:pt>
                <c:pt idx="283">
                  <c:v>-0.25</c:v>
                </c:pt>
                <c:pt idx="284">
                  <c:v>-0.25</c:v>
                </c:pt>
                <c:pt idx="285">
                  <c:v>-0.25</c:v>
                </c:pt>
                <c:pt idx="286">
                  <c:v>-0.25</c:v>
                </c:pt>
                <c:pt idx="287">
                  <c:v>-0.25</c:v>
                </c:pt>
                <c:pt idx="288">
                  <c:v>-0.25</c:v>
                </c:pt>
                <c:pt idx="289">
                  <c:v>-0.25</c:v>
                </c:pt>
                <c:pt idx="290">
                  <c:v>-0.25</c:v>
                </c:pt>
                <c:pt idx="291">
                  <c:v>-0.25</c:v>
                </c:pt>
                <c:pt idx="292">
                  <c:v>-0.25</c:v>
                </c:pt>
                <c:pt idx="293">
                  <c:v>-0.25</c:v>
                </c:pt>
                <c:pt idx="294">
                  <c:v>-0.25</c:v>
                </c:pt>
                <c:pt idx="295">
                  <c:v>-0.25</c:v>
                </c:pt>
                <c:pt idx="296">
                  <c:v>-0.25</c:v>
                </c:pt>
                <c:pt idx="297">
                  <c:v>-0.25</c:v>
                </c:pt>
                <c:pt idx="298">
                  <c:v>-0.25</c:v>
                </c:pt>
                <c:pt idx="299">
                  <c:v>-0.25</c:v>
                </c:pt>
                <c:pt idx="300">
                  <c:v>-0.25</c:v>
                </c:pt>
                <c:pt idx="301">
                  <c:v>-0.25</c:v>
                </c:pt>
                <c:pt idx="302">
                  <c:v>-0.25</c:v>
                </c:pt>
                <c:pt idx="303">
                  <c:v>-0.25</c:v>
                </c:pt>
                <c:pt idx="304">
                  <c:v>-0.25</c:v>
                </c:pt>
                <c:pt idx="305">
                  <c:v>-0.25</c:v>
                </c:pt>
                <c:pt idx="306">
                  <c:v>-0.25</c:v>
                </c:pt>
                <c:pt idx="307">
                  <c:v>-0.25</c:v>
                </c:pt>
                <c:pt idx="308">
                  <c:v>-0.25</c:v>
                </c:pt>
                <c:pt idx="309">
                  <c:v>-0.25</c:v>
                </c:pt>
                <c:pt idx="310">
                  <c:v>-0.25</c:v>
                </c:pt>
                <c:pt idx="311">
                  <c:v>-0.25</c:v>
                </c:pt>
                <c:pt idx="312">
                  <c:v>-0.25</c:v>
                </c:pt>
                <c:pt idx="313">
                  <c:v>-0.25</c:v>
                </c:pt>
                <c:pt idx="314">
                  <c:v>-0.25</c:v>
                </c:pt>
                <c:pt idx="315">
                  <c:v>-0.25</c:v>
                </c:pt>
                <c:pt idx="316">
                  <c:v>-0.25</c:v>
                </c:pt>
                <c:pt idx="317">
                  <c:v>-0.25</c:v>
                </c:pt>
                <c:pt idx="318">
                  <c:v>-0.25</c:v>
                </c:pt>
                <c:pt idx="319">
                  <c:v>-0.25</c:v>
                </c:pt>
                <c:pt idx="320">
                  <c:v>-0.25</c:v>
                </c:pt>
                <c:pt idx="321">
                  <c:v>-0.25</c:v>
                </c:pt>
                <c:pt idx="322">
                  <c:v>-0.25</c:v>
                </c:pt>
                <c:pt idx="323">
                  <c:v>-0.25</c:v>
                </c:pt>
                <c:pt idx="324">
                  <c:v>-0.25</c:v>
                </c:pt>
                <c:pt idx="325">
                  <c:v>-0.25</c:v>
                </c:pt>
                <c:pt idx="326">
                  <c:v>-0.25</c:v>
                </c:pt>
                <c:pt idx="327">
                  <c:v>-0.25</c:v>
                </c:pt>
                <c:pt idx="328">
                  <c:v>-0.25</c:v>
                </c:pt>
                <c:pt idx="329">
                  <c:v>-0.25</c:v>
                </c:pt>
                <c:pt idx="330">
                  <c:v>-0.25</c:v>
                </c:pt>
                <c:pt idx="331">
                  <c:v>-0.25</c:v>
                </c:pt>
                <c:pt idx="332">
                  <c:v>-0.25</c:v>
                </c:pt>
                <c:pt idx="333">
                  <c:v>-0.25</c:v>
                </c:pt>
                <c:pt idx="334">
                  <c:v>-0.25</c:v>
                </c:pt>
                <c:pt idx="335">
                  <c:v>-0.25</c:v>
                </c:pt>
                <c:pt idx="336">
                  <c:v>-0.25</c:v>
                </c:pt>
                <c:pt idx="337">
                  <c:v>-0.25</c:v>
                </c:pt>
                <c:pt idx="338">
                  <c:v>-0.25</c:v>
                </c:pt>
                <c:pt idx="339">
                  <c:v>-0.25</c:v>
                </c:pt>
                <c:pt idx="340">
                  <c:v>-0.25</c:v>
                </c:pt>
                <c:pt idx="341">
                  <c:v>-0.25</c:v>
                </c:pt>
                <c:pt idx="342">
                  <c:v>-0.25</c:v>
                </c:pt>
                <c:pt idx="343">
                  <c:v>-0.25</c:v>
                </c:pt>
                <c:pt idx="344">
                  <c:v>-0.25</c:v>
                </c:pt>
                <c:pt idx="345">
                  <c:v>-0.25</c:v>
                </c:pt>
                <c:pt idx="346">
                  <c:v>-0.25</c:v>
                </c:pt>
                <c:pt idx="347">
                  <c:v>-0.25</c:v>
                </c:pt>
                <c:pt idx="348">
                  <c:v>-0.25</c:v>
                </c:pt>
                <c:pt idx="349">
                  <c:v>-0.25</c:v>
                </c:pt>
                <c:pt idx="350">
                  <c:v>-0.25</c:v>
                </c:pt>
                <c:pt idx="351">
                  <c:v>-0.25</c:v>
                </c:pt>
                <c:pt idx="352">
                  <c:v>-0.25</c:v>
                </c:pt>
                <c:pt idx="353">
                  <c:v>-0.25</c:v>
                </c:pt>
                <c:pt idx="354">
                  <c:v>-0.25</c:v>
                </c:pt>
                <c:pt idx="355">
                  <c:v>-0.25</c:v>
                </c:pt>
                <c:pt idx="356">
                  <c:v>-0.25</c:v>
                </c:pt>
                <c:pt idx="357">
                  <c:v>-0.25</c:v>
                </c:pt>
                <c:pt idx="358">
                  <c:v>-0.25</c:v>
                </c:pt>
                <c:pt idx="359">
                  <c:v>-0.25</c:v>
                </c:pt>
                <c:pt idx="360">
                  <c:v>-0.25</c:v>
                </c:pt>
                <c:pt idx="361">
                  <c:v>-0.25</c:v>
                </c:pt>
                <c:pt idx="362">
                  <c:v>-0.25</c:v>
                </c:pt>
                <c:pt idx="363">
                  <c:v>-0.25</c:v>
                </c:pt>
                <c:pt idx="364">
                  <c:v>-0.25</c:v>
                </c:pt>
                <c:pt idx="365">
                  <c:v>-0.25</c:v>
                </c:pt>
                <c:pt idx="366">
                  <c:v>-0.25</c:v>
                </c:pt>
                <c:pt idx="367">
                  <c:v>-0.25</c:v>
                </c:pt>
                <c:pt idx="368">
                  <c:v>-0.25</c:v>
                </c:pt>
                <c:pt idx="369">
                  <c:v>-0.25</c:v>
                </c:pt>
                <c:pt idx="370">
                  <c:v>-0.25</c:v>
                </c:pt>
                <c:pt idx="371">
                  <c:v>-0.25</c:v>
                </c:pt>
                <c:pt idx="372">
                  <c:v>-0.25</c:v>
                </c:pt>
                <c:pt idx="373">
                  <c:v>-0.25</c:v>
                </c:pt>
                <c:pt idx="374">
                  <c:v>-0.25</c:v>
                </c:pt>
                <c:pt idx="375">
                  <c:v>-0.25</c:v>
                </c:pt>
                <c:pt idx="376">
                  <c:v>-0.25</c:v>
                </c:pt>
                <c:pt idx="377">
                  <c:v>-0.25</c:v>
                </c:pt>
                <c:pt idx="378">
                  <c:v>-0.25</c:v>
                </c:pt>
                <c:pt idx="379">
                  <c:v>-0.25</c:v>
                </c:pt>
                <c:pt idx="380">
                  <c:v>-0.25</c:v>
                </c:pt>
                <c:pt idx="381">
                  <c:v>-0.25</c:v>
                </c:pt>
                <c:pt idx="382">
                  <c:v>-0.25</c:v>
                </c:pt>
                <c:pt idx="383">
                  <c:v>-0.25</c:v>
                </c:pt>
                <c:pt idx="384">
                  <c:v>-0.25</c:v>
                </c:pt>
                <c:pt idx="385">
                  <c:v>-0.25</c:v>
                </c:pt>
                <c:pt idx="386">
                  <c:v>-0.25</c:v>
                </c:pt>
                <c:pt idx="387">
                  <c:v>-0.25</c:v>
                </c:pt>
                <c:pt idx="388">
                  <c:v>-0.25</c:v>
                </c:pt>
                <c:pt idx="389">
                  <c:v>-0.25</c:v>
                </c:pt>
                <c:pt idx="390">
                  <c:v>-0.25</c:v>
                </c:pt>
                <c:pt idx="391">
                  <c:v>-0.25</c:v>
                </c:pt>
                <c:pt idx="392">
                  <c:v>-0.25</c:v>
                </c:pt>
                <c:pt idx="393">
                  <c:v>-0.25</c:v>
                </c:pt>
                <c:pt idx="394">
                  <c:v>-0.25</c:v>
                </c:pt>
                <c:pt idx="395">
                  <c:v>-0.25</c:v>
                </c:pt>
                <c:pt idx="396">
                  <c:v>-0.25</c:v>
                </c:pt>
                <c:pt idx="397">
                  <c:v>-0.25</c:v>
                </c:pt>
                <c:pt idx="398">
                  <c:v>-0.25</c:v>
                </c:pt>
                <c:pt idx="399">
                  <c:v>-0.25</c:v>
                </c:pt>
                <c:pt idx="400">
                  <c:v>-0.25</c:v>
                </c:pt>
                <c:pt idx="401">
                  <c:v>-0.25</c:v>
                </c:pt>
                <c:pt idx="402">
                  <c:v>-0.25</c:v>
                </c:pt>
                <c:pt idx="403">
                  <c:v>-0.25</c:v>
                </c:pt>
                <c:pt idx="404">
                  <c:v>-0.25</c:v>
                </c:pt>
                <c:pt idx="405">
                  <c:v>-0.25</c:v>
                </c:pt>
                <c:pt idx="406">
                  <c:v>-0.25</c:v>
                </c:pt>
                <c:pt idx="407">
                  <c:v>-0.25</c:v>
                </c:pt>
                <c:pt idx="408">
                  <c:v>-0.25</c:v>
                </c:pt>
                <c:pt idx="409">
                  <c:v>-0.25</c:v>
                </c:pt>
                <c:pt idx="410">
                  <c:v>-0.25</c:v>
                </c:pt>
                <c:pt idx="411">
                  <c:v>-0.25</c:v>
                </c:pt>
                <c:pt idx="412">
                  <c:v>-0.25</c:v>
                </c:pt>
                <c:pt idx="413">
                  <c:v>-0.25</c:v>
                </c:pt>
                <c:pt idx="414">
                  <c:v>-0.25</c:v>
                </c:pt>
                <c:pt idx="415">
                  <c:v>-0.25</c:v>
                </c:pt>
                <c:pt idx="416">
                  <c:v>-0.25</c:v>
                </c:pt>
                <c:pt idx="417">
                  <c:v>-0.25</c:v>
                </c:pt>
                <c:pt idx="418">
                  <c:v>-0.25</c:v>
                </c:pt>
                <c:pt idx="419">
                  <c:v>-0.25</c:v>
                </c:pt>
                <c:pt idx="420">
                  <c:v>-0.25</c:v>
                </c:pt>
                <c:pt idx="421">
                  <c:v>-0.25</c:v>
                </c:pt>
                <c:pt idx="422">
                  <c:v>-0.25</c:v>
                </c:pt>
                <c:pt idx="423">
                  <c:v>-0.25</c:v>
                </c:pt>
                <c:pt idx="424">
                  <c:v>-0.25</c:v>
                </c:pt>
                <c:pt idx="425">
                  <c:v>-0.25</c:v>
                </c:pt>
                <c:pt idx="426">
                  <c:v>-0.25</c:v>
                </c:pt>
                <c:pt idx="427">
                  <c:v>-0.25</c:v>
                </c:pt>
                <c:pt idx="428">
                  <c:v>-0.25</c:v>
                </c:pt>
                <c:pt idx="429">
                  <c:v>-0.25</c:v>
                </c:pt>
                <c:pt idx="430">
                  <c:v>-0.25</c:v>
                </c:pt>
                <c:pt idx="431">
                  <c:v>-0.25</c:v>
                </c:pt>
                <c:pt idx="432">
                  <c:v>-0.25</c:v>
                </c:pt>
                <c:pt idx="433">
                  <c:v>-0.25</c:v>
                </c:pt>
                <c:pt idx="434">
                  <c:v>-0.25</c:v>
                </c:pt>
                <c:pt idx="435">
                  <c:v>-0.25</c:v>
                </c:pt>
                <c:pt idx="436">
                  <c:v>-0.25</c:v>
                </c:pt>
                <c:pt idx="437">
                  <c:v>-0.25</c:v>
                </c:pt>
                <c:pt idx="438">
                  <c:v>-0.25</c:v>
                </c:pt>
                <c:pt idx="439">
                  <c:v>-0.25</c:v>
                </c:pt>
                <c:pt idx="440">
                  <c:v>-0.25</c:v>
                </c:pt>
                <c:pt idx="441">
                  <c:v>-0.25</c:v>
                </c:pt>
                <c:pt idx="442">
                  <c:v>-0.25</c:v>
                </c:pt>
                <c:pt idx="443">
                  <c:v>-0.25</c:v>
                </c:pt>
                <c:pt idx="444">
                  <c:v>-0.25</c:v>
                </c:pt>
                <c:pt idx="445">
                  <c:v>-0.25</c:v>
                </c:pt>
                <c:pt idx="446">
                  <c:v>-0.25</c:v>
                </c:pt>
                <c:pt idx="447">
                  <c:v>-0.25</c:v>
                </c:pt>
                <c:pt idx="448">
                  <c:v>-0.25</c:v>
                </c:pt>
                <c:pt idx="449">
                  <c:v>-0.25</c:v>
                </c:pt>
                <c:pt idx="450">
                  <c:v>-0.25</c:v>
                </c:pt>
                <c:pt idx="451">
                  <c:v>-0.25</c:v>
                </c:pt>
                <c:pt idx="452">
                  <c:v>-0.25</c:v>
                </c:pt>
                <c:pt idx="453">
                  <c:v>-0.25</c:v>
                </c:pt>
                <c:pt idx="454">
                  <c:v>-0.25</c:v>
                </c:pt>
                <c:pt idx="455">
                  <c:v>-0.25</c:v>
                </c:pt>
                <c:pt idx="456">
                  <c:v>-0.25</c:v>
                </c:pt>
                <c:pt idx="457">
                  <c:v>-0.25</c:v>
                </c:pt>
                <c:pt idx="458">
                  <c:v>-0.25</c:v>
                </c:pt>
                <c:pt idx="459">
                  <c:v>-0.25</c:v>
                </c:pt>
                <c:pt idx="460">
                  <c:v>-0.25</c:v>
                </c:pt>
                <c:pt idx="461">
                  <c:v>-0.25</c:v>
                </c:pt>
                <c:pt idx="462">
                  <c:v>-0.25</c:v>
                </c:pt>
                <c:pt idx="463">
                  <c:v>-0.25</c:v>
                </c:pt>
                <c:pt idx="464">
                  <c:v>-0.25</c:v>
                </c:pt>
                <c:pt idx="465">
                  <c:v>-0.25</c:v>
                </c:pt>
                <c:pt idx="466">
                  <c:v>-0.25</c:v>
                </c:pt>
                <c:pt idx="467">
                  <c:v>-0.25</c:v>
                </c:pt>
                <c:pt idx="468">
                  <c:v>-0.25</c:v>
                </c:pt>
                <c:pt idx="469">
                  <c:v>-0.25</c:v>
                </c:pt>
                <c:pt idx="470">
                  <c:v>-0.25</c:v>
                </c:pt>
                <c:pt idx="471">
                  <c:v>-0.25</c:v>
                </c:pt>
                <c:pt idx="472">
                  <c:v>-0.25</c:v>
                </c:pt>
                <c:pt idx="473">
                  <c:v>-0.25</c:v>
                </c:pt>
                <c:pt idx="474">
                  <c:v>-0.25</c:v>
                </c:pt>
                <c:pt idx="475">
                  <c:v>-0.25</c:v>
                </c:pt>
                <c:pt idx="476">
                  <c:v>-0.25</c:v>
                </c:pt>
                <c:pt idx="477">
                  <c:v>-0.25</c:v>
                </c:pt>
                <c:pt idx="478">
                  <c:v>-0.25</c:v>
                </c:pt>
                <c:pt idx="479">
                  <c:v>-0.25</c:v>
                </c:pt>
                <c:pt idx="480">
                  <c:v>-0.25</c:v>
                </c:pt>
                <c:pt idx="481">
                  <c:v>-0.25</c:v>
                </c:pt>
                <c:pt idx="482">
                  <c:v>-0.25</c:v>
                </c:pt>
                <c:pt idx="483">
                  <c:v>-0.25</c:v>
                </c:pt>
                <c:pt idx="484">
                  <c:v>-0.25</c:v>
                </c:pt>
                <c:pt idx="485">
                  <c:v>-0.25</c:v>
                </c:pt>
                <c:pt idx="486">
                  <c:v>-0.25</c:v>
                </c:pt>
                <c:pt idx="487">
                  <c:v>-0.25</c:v>
                </c:pt>
                <c:pt idx="488">
                  <c:v>-0.25</c:v>
                </c:pt>
                <c:pt idx="489">
                  <c:v>-0.25</c:v>
                </c:pt>
                <c:pt idx="490">
                  <c:v>-0.25</c:v>
                </c:pt>
                <c:pt idx="491">
                  <c:v>-0.25</c:v>
                </c:pt>
                <c:pt idx="492">
                  <c:v>-0.25</c:v>
                </c:pt>
                <c:pt idx="493">
                  <c:v>-0.25</c:v>
                </c:pt>
                <c:pt idx="494">
                  <c:v>-0.25</c:v>
                </c:pt>
                <c:pt idx="495">
                  <c:v>-0.25</c:v>
                </c:pt>
                <c:pt idx="496">
                  <c:v>-0.25</c:v>
                </c:pt>
                <c:pt idx="497">
                  <c:v>-0.25</c:v>
                </c:pt>
                <c:pt idx="498">
                  <c:v>-0.25</c:v>
                </c:pt>
                <c:pt idx="499">
                  <c:v>-0.25</c:v>
                </c:pt>
                <c:pt idx="500">
                  <c:v>-0.25</c:v>
                </c:pt>
                <c:pt idx="501">
                  <c:v>-0.25</c:v>
                </c:pt>
                <c:pt idx="502">
                  <c:v>-0.25</c:v>
                </c:pt>
                <c:pt idx="503">
                  <c:v>-0.25</c:v>
                </c:pt>
                <c:pt idx="504">
                  <c:v>-0.25</c:v>
                </c:pt>
                <c:pt idx="505">
                  <c:v>-0.25</c:v>
                </c:pt>
                <c:pt idx="506">
                  <c:v>-0.25</c:v>
                </c:pt>
                <c:pt idx="507">
                  <c:v>-0.25</c:v>
                </c:pt>
                <c:pt idx="508">
                  <c:v>-0.25</c:v>
                </c:pt>
                <c:pt idx="509">
                  <c:v>-0.25</c:v>
                </c:pt>
                <c:pt idx="510">
                  <c:v>-0.25</c:v>
                </c:pt>
                <c:pt idx="511">
                  <c:v>-0.25</c:v>
                </c:pt>
                <c:pt idx="512">
                  <c:v>-0.25</c:v>
                </c:pt>
                <c:pt idx="513">
                  <c:v>-0.25</c:v>
                </c:pt>
                <c:pt idx="514">
                  <c:v>-0.25</c:v>
                </c:pt>
                <c:pt idx="515">
                  <c:v>-0.25</c:v>
                </c:pt>
                <c:pt idx="516">
                  <c:v>-0.25</c:v>
                </c:pt>
                <c:pt idx="517">
                  <c:v>-0.25</c:v>
                </c:pt>
                <c:pt idx="518">
                  <c:v>-0.25</c:v>
                </c:pt>
                <c:pt idx="519">
                  <c:v>-0.25</c:v>
                </c:pt>
                <c:pt idx="520">
                  <c:v>-0.25</c:v>
                </c:pt>
                <c:pt idx="521">
                  <c:v>-0.25</c:v>
                </c:pt>
                <c:pt idx="522">
                  <c:v>-0.25</c:v>
                </c:pt>
                <c:pt idx="523">
                  <c:v>-0.25</c:v>
                </c:pt>
                <c:pt idx="524">
                  <c:v>-0.25</c:v>
                </c:pt>
                <c:pt idx="525">
                  <c:v>-0.25</c:v>
                </c:pt>
                <c:pt idx="526">
                  <c:v>-0.25</c:v>
                </c:pt>
                <c:pt idx="527">
                  <c:v>-0.25</c:v>
                </c:pt>
                <c:pt idx="528">
                  <c:v>-0.25</c:v>
                </c:pt>
                <c:pt idx="529">
                  <c:v>-0.25</c:v>
                </c:pt>
                <c:pt idx="530">
                  <c:v>-0.25</c:v>
                </c:pt>
                <c:pt idx="531">
                  <c:v>-0.25</c:v>
                </c:pt>
                <c:pt idx="532">
                  <c:v>-0.25</c:v>
                </c:pt>
                <c:pt idx="533">
                  <c:v>-0.25</c:v>
                </c:pt>
                <c:pt idx="534">
                  <c:v>-0.25</c:v>
                </c:pt>
                <c:pt idx="535">
                  <c:v>-0.25</c:v>
                </c:pt>
                <c:pt idx="536">
                  <c:v>-0.25</c:v>
                </c:pt>
                <c:pt idx="537">
                  <c:v>-0.25</c:v>
                </c:pt>
                <c:pt idx="538">
                  <c:v>-0.25</c:v>
                </c:pt>
                <c:pt idx="539">
                  <c:v>-0.25</c:v>
                </c:pt>
                <c:pt idx="540">
                  <c:v>-0.25</c:v>
                </c:pt>
                <c:pt idx="541">
                  <c:v>-0.25</c:v>
                </c:pt>
                <c:pt idx="542">
                  <c:v>-0.25</c:v>
                </c:pt>
                <c:pt idx="543">
                  <c:v>-0.25</c:v>
                </c:pt>
                <c:pt idx="544">
                  <c:v>-0.25</c:v>
                </c:pt>
                <c:pt idx="545">
                  <c:v>-0.25</c:v>
                </c:pt>
                <c:pt idx="546">
                  <c:v>-0.25</c:v>
                </c:pt>
                <c:pt idx="547">
                  <c:v>-0.25</c:v>
                </c:pt>
                <c:pt idx="548">
                  <c:v>-0.25</c:v>
                </c:pt>
                <c:pt idx="549">
                  <c:v>-0.25</c:v>
                </c:pt>
                <c:pt idx="550">
                  <c:v>-0.25</c:v>
                </c:pt>
                <c:pt idx="551">
                  <c:v>-0.25</c:v>
                </c:pt>
                <c:pt idx="552">
                  <c:v>-0.25</c:v>
                </c:pt>
                <c:pt idx="553">
                  <c:v>-0.25</c:v>
                </c:pt>
                <c:pt idx="554">
                  <c:v>-0.25</c:v>
                </c:pt>
                <c:pt idx="555">
                  <c:v>-0.25</c:v>
                </c:pt>
                <c:pt idx="556">
                  <c:v>-0.25</c:v>
                </c:pt>
                <c:pt idx="557">
                  <c:v>-0.25</c:v>
                </c:pt>
                <c:pt idx="558">
                  <c:v>-0.25</c:v>
                </c:pt>
                <c:pt idx="559">
                  <c:v>-0.25</c:v>
                </c:pt>
                <c:pt idx="560">
                  <c:v>-0.25</c:v>
                </c:pt>
                <c:pt idx="561">
                  <c:v>-0.25</c:v>
                </c:pt>
                <c:pt idx="562">
                  <c:v>-0.25</c:v>
                </c:pt>
                <c:pt idx="563">
                  <c:v>-0.25</c:v>
                </c:pt>
                <c:pt idx="564">
                  <c:v>-0.25</c:v>
                </c:pt>
                <c:pt idx="565">
                  <c:v>-0.25</c:v>
                </c:pt>
                <c:pt idx="566">
                  <c:v>-0.25</c:v>
                </c:pt>
                <c:pt idx="567">
                  <c:v>-0.25</c:v>
                </c:pt>
                <c:pt idx="568">
                  <c:v>-0.25</c:v>
                </c:pt>
                <c:pt idx="569">
                  <c:v>-0.25</c:v>
                </c:pt>
                <c:pt idx="570">
                  <c:v>-0.25</c:v>
                </c:pt>
                <c:pt idx="571">
                  <c:v>-0.25</c:v>
                </c:pt>
                <c:pt idx="572">
                  <c:v>-0.25</c:v>
                </c:pt>
                <c:pt idx="573">
                  <c:v>-0.25</c:v>
                </c:pt>
                <c:pt idx="574">
                  <c:v>-0.25</c:v>
                </c:pt>
                <c:pt idx="575">
                  <c:v>-0.25</c:v>
                </c:pt>
                <c:pt idx="576">
                  <c:v>-0.25</c:v>
                </c:pt>
                <c:pt idx="577">
                  <c:v>-0.25</c:v>
                </c:pt>
                <c:pt idx="578">
                  <c:v>-0.25</c:v>
                </c:pt>
                <c:pt idx="579">
                  <c:v>-0.25</c:v>
                </c:pt>
                <c:pt idx="580">
                  <c:v>-0.25</c:v>
                </c:pt>
                <c:pt idx="581">
                  <c:v>-0.25</c:v>
                </c:pt>
                <c:pt idx="582">
                  <c:v>-0.25</c:v>
                </c:pt>
                <c:pt idx="583">
                  <c:v>-0.25</c:v>
                </c:pt>
                <c:pt idx="584">
                  <c:v>-0.25</c:v>
                </c:pt>
                <c:pt idx="585">
                  <c:v>-0.25</c:v>
                </c:pt>
                <c:pt idx="586">
                  <c:v>-0.25</c:v>
                </c:pt>
                <c:pt idx="587">
                  <c:v>-0.25</c:v>
                </c:pt>
                <c:pt idx="588">
                  <c:v>-0.25</c:v>
                </c:pt>
                <c:pt idx="589">
                  <c:v>-0.25</c:v>
                </c:pt>
                <c:pt idx="590">
                  <c:v>-0.25</c:v>
                </c:pt>
                <c:pt idx="591">
                  <c:v>-0.25</c:v>
                </c:pt>
                <c:pt idx="592">
                  <c:v>-0.25</c:v>
                </c:pt>
                <c:pt idx="593">
                  <c:v>-0.25</c:v>
                </c:pt>
                <c:pt idx="594">
                  <c:v>-0.25</c:v>
                </c:pt>
                <c:pt idx="595">
                  <c:v>-0.25</c:v>
                </c:pt>
                <c:pt idx="596">
                  <c:v>-0.25</c:v>
                </c:pt>
                <c:pt idx="597">
                  <c:v>-0.25</c:v>
                </c:pt>
                <c:pt idx="598">
                  <c:v>-0.25</c:v>
                </c:pt>
                <c:pt idx="599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EA-4925-B688-22000A989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MEXP!$AD$4:$AD$11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6-4B69-A5D5-60251B10F9B2}"/>
            </c:ext>
          </c:extLst>
        </c:ser>
        <c:ser>
          <c:idx val="1"/>
          <c:order val="1"/>
          <c:tx>
            <c:v>Gamma2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MEXP!$AE$4:$AE$11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B6-4B69-A5D5-60251B10F9B2}"/>
            </c:ext>
          </c:extLst>
        </c:ser>
        <c:ser>
          <c:idx val="2"/>
          <c:order val="2"/>
          <c:tx>
            <c:v>Gamma3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MEXP!$AF$4:$AF$11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B6-4B69-A5D5-60251B10F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0.17877109039611414"/>
          <c:w val="0.84614566370009503"/>
          <c:h val="0.61754115359401529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F-4B4B-864F-6FD5A19EE1A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MEXP!$AI$4:$AI$11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F-4B4B-864F-6FD5A19EE1A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EF-4B4B-864F-6FD5A19EE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v</a:t>
            </a:r>
            <a:r>
              <a:rPr lang="en-US" baseline="0"/>
              <a:t>s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MEXP!$AJ$4:$AJ$11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B-4033-9691-563D99E85DF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MEXP!$AK$4:$AK$11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B-4033-9691-563D99E85DF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MEXP!$AL$4:$AL$11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B-4033-9691-563D99E85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76198</xdr:rowOff>
    </xdr:from>
    <xdr:to>
      <xdr:col>14</xdr:col>
      <xdr:colOff>76200</xdr:colOff>
      <xdr:row>59</xdr:row>
      <xdr:rowOff>152399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1924" y="76198"/>
          <a:ext cx="8448676" cy="1131570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SMALS Multirun is a</a:t>
          </a:r>
          <a:r>
            <a:rPr lang="en-US" sz="1100" baseline="0"/>
            <a:t> macro-enabled Excel workbook</a:t>
          </a:r>
        </a:p>
        <a:p>
          <a:r>
            <a:rPr lang="en-US" sz="1100" baseline="0"/>
            <a:t>Partly based on: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Alyssa_ReadNewALV_2_MultiRun.xlsm for the one-detector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"new" ALV*</a:t>
          </a:r>
          <a:endParaRPr lang="en-US" sz="1100" baseline="0"/>
        </a:p>
        <a:p>
          <a:r>
            <a:rPr lang="en-US" sz="1100" baseline="0"/>
            <a:t>Paul Russo</a:t>
          </a:r>
        </a:p>
        <a:p>
          <a:r>
            <a:rPr lang="en-US" sz="1100" baseline="0"/>
            <a:t>Updated November 2021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495300</xdr:colOff>
      <xdr:row>14</xdr:row>
      <xdr:rowOff>161925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7810500" y="2828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71967</xdr:colOff>
          <xdr:row>1</xdr:row>
          <xdr:rowOff>4233</xdr:rowOff>
        </xdr:from>
        <xdr:to>
          <xdr:col>2</xdr:col>
          <xdr:colOff>220133</xdr:colOff>
          <xdr:row>2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Redisplay Naming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4233</xdr:rowOff>
        </xdr:from>
        <xdr:to>
          <xdr:col>10</xdr:col>
          <xdr:colOff>228600</xdr:colOff>
          <xdr:row>2</xdr:row>
          <xdr:rowOff>148167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364067</xdr:colOff>
          <xdr:row>1</xdr:row>
          <xdr:rowOff>8467</xdr:rowOff>
        </xdr:from>
        <xdr:to>
          <xdr:col>5</xdr:col>
          <xdr:colOff>524933</xdr:colOff>
          <xdr:row>2</xdr:row>
          <xdr:rowOff>156633</xdr:rowOff>
        </xdr:to>
        <xdr:sp macro="" textlink="">
          <xdr:nvSpPr>
            <xdr:cNvPr id="1034" name="cmdAver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29633</xdr:rowOff>
        </xdr:from>
        <xdr:to>
          <xdr:col>8</xdr:col>
          <xdr:colOff>330200</xdr:colOff>
          <xdr:row>2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Export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452663</xdr:colOff>
      <xdr:row>11</xdr:row>
      <xdr:rowOff>45509</xdr:rowOff>
    </xdr:from>
    <xdr:to>
      <xdr:col>17</xdr:col>
      <xdr:colOff>295427</xdr:colOff>
      <xdr:row>24</xdr:row>
      <xdr:rowOff>7409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599320</xdr:colOff>
      <xdr:row>19</xdr:row>
      <xdr:rowOff>159508</xdr:rowOff>
    </xdr:from>
    <xdr:to>
      <xdr:col>25</xdr:col>
      <xdr:colOff>115511</xdr:colOff>
      <xdr:row>31</xdr:row>
      <xdr:rowOff>139096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80889</xdr:colOff>
      <xdr:row>0</xdr:row>
      <xdr:rowOff>0</xdr:rowOff>
    </xdr:from>
    <xdr:to>
      <xdr:col>23</xdr:col>
      <xdr:colOff>483055</xdr:colOff>
      <xdr:row>18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38100</xdr:colOff>
      <xdr:row>32</xdr:row>
      <xdr:rowOff>35984</xdr:rowOff>
    </xdr:from>
    <xdr:to>
      <xdr:col>26</xdr:col>
      <xdr:colOff>293310</xdr:colOff>
      <xdr:row>40</xdr:row>
      <xdr:rowOff>169332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869156</xdr:colOff>
      <xdr:row>37</xdr:row>
      <xdr:rowOff>11906</xdr:rowOff>
    </xdr:from>
    <xdr:to>
      <xdr:col>10</xdr:col>
      <xdr:colOff>150699</xdr:colOff>
      <xdr:row>45</xdr:row>
      <xdr:rowOff>145254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869156</xdr:colOff>
      <xdr:row>47</xdr:row>
      <xdr:rowOff>11906</xdr:rowOff>
    </xdr:from>
    <xdr:to>
      <xdr:col>10</xdr:col>
      <xdr:colOff>150699</xdr:colOff>
      <xdr:row>55</xdr:row>
      <xdr:rowOff>145254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869156</xdr:colOff>
      <xdr:row>57</xdr:row>
      <xdr:rowOff>11906</xdr:rowOff>
    </xdr:from>
    <xdr:to>
      <xdr:col>10</xdr:col>
      <xdr:colOff>150699</xdr:colOff>
      <xdr:row>65</xdr:row>
      <xdr:rowOff>145254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869156</xdr:colOff>
      <xdr:row>67</xdr:row>
      <xdr:rowOff>11906</xdr:rowOff>
    </xdr:from>
    <xdr:to>
      <xdr:col>10</xdr:col>
      <xdr:colOff>150699</xdr:colOff>
      <xdr:row>75</xdr:row>
      <xdr:rowOff>145254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869156</xdr:colOff>
      <xdr:row>77</xdr:row>
      <xdr:rowOff>11906</xdr:rowOff>
    </xdr:from>
    <xdr:to>
      <xdr:col>10</xdr:col>
      <xdr:colOff>150699</xdr:colOff>
      <xdr:row>85</xdr:row>
      <xdr:rowOff>145254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8467</xdr:colOff>
          <xdr:row>10</xdr:row>
          <xdr:rowOff>29633</xdr:rowOff>
        </xdr:from>
        <xdr:to>
          <xdr:col>2</xdr:col>
          <xdr:colOff>334433</xdr:colOff>
          <xdr:row>12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CUMU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220133</xdr:colOff>
          <xdr:row>10</xdr:row>
          <xdr:rowOff>67733</xdr:rowOff>
        </xdr:from>
        <xdr:to>
          <xdr:col>8</xdr:col>
          <xdr:colOff>97367</xdr:colOff>
          <xdr:row>12</xdr:row>
          <xdr:rowOff>46567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21167</xdr:colOff>
          <xdr:row>33</xdr:row>
          <xdr:rowOff>21167</xdr:rowOff>
        </xdr:from>
        <xdr:to>
          <xdr:col>2</xdr:col>
          <xdr:colOff>419100</xdr:colOff>
          <xdr:row>35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EXP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29633</xdr:colOff>
          <xdr:row>36</xdr:row>
          <xdr:rowOff>0</xdr:rowOff>
        </xdr:from>
        <xdr:to>
          <xdr:col>2</xdr:col>
          <xdr:colOff>419100</xdr:colOff>
          <xdr:row>37</xdr:row>
          <xdr:rowOff>160867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CONTIN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190916</xdr:colOff>
      <xdr:row>7</xdr:row>
      <xdr:rowOff>125121</xdr:rowOff>
    </xdr:from>
    <xdr:to>
      <xdr:col>14</xdr:col>
      <xdr:colOff>413821</xdr:colOff>
      <xdr:row>22</xdr:row>
      <xdr:rowOff>58104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199215</xdr:colOff>
      <xdr:row>23</xdr:row>
      <xdr:rowOff>33200</xdr:rowOff>
    </xdr:from>
    <xdr:to>
      <xdr:col>14</xdr:col>
      <xdr:colOff>415033</xdr:colOff>
      <xdr:row>31</xdr:row>
      <xdr:rowOff>33767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</xdr:row>
          <xdr:rowOff>177800</xdr:rowOff>
        </xdr:from>
        <xdr:to>
          <xdr:col>16</xdr:col>
          <xdr:colOff>465667</xdr:colOff>
          <xdr:row>5</xdr:row>
          <xdr:rowOff>63500</xdr:rowOff>
        </xdr:to>
        <xdr:sp macro="" textlink="">
          <xdr:nvSpPr>
            <xdr:cNvPr id="5121" name="cmdLoadAngl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16</xdr:col>
          <xdr:colOff>474133</xdr:colOff>
          <xdr:row>10</xdr:row>
          <xdr:rowOff>93133</xdr:rowOff>
        </xdr:to>
        <xdr:sp macro="" textlink="">
          <xdr:nvSpPr>
            <xdr:cNvPr id="5122" name="cmdLoadAngl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</xdr:row>
          <xdr:rowOff>0</xdr:rowOff>
        </xdr:from>
        <xdr:to>
          <xdr:col>16</xdr:col>
          <xdr:colOff>474133</xdr:colOff>
          <xdr:row>15</xdr:row>
          <xdr:rowOff>118533</xdr:rowOff>
        </xdr:to>
        <xdr:sp macro="" textlink="">
          <xdr:nvSpPr>
            <xdr:cNvPr id="5123" name="cmdLoadAngl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18</xdr:row>
          <xdr:rowOff>0</xdr:rowOff>
        </xdr:from>
        <xdr:to>
          <xdr:col>16</xdr:col>
          <xdr:colOff>474133</xdr:colOff>
          <xdr:row>20</xdr:row>
          <xdr:rowOff>118533</xdr:rowOff>
        </xdr:to>
        <xdr:sp macro="" textlink="">
          <xdr:nvSpPr>
            <xdr:cNvPr id="5124" name="cmdLoadAngl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</xdr:row>
          <xdr:rowOff>0</xdr:rowOff>
        </xdr:from>
        <xdr:to>
          <xdr:col>16</xdr:col>
          <xdr:colOff>474133</xdr:colOff>
          <xdr:row>25</xdr:row>
          <xdr:rowOff>118533</xdr:rowOff>
        </xdr:to>
        <xdr:sp macro="" textlink="">
          <xdr:nvSpPr>
            <xdr:cNvPr id="5125" name="cmdLoadAngl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16</xdr:col>
          <xdr:colOff>474133</xdr:colOff>
          <xdr:row>30</xdr:row>
          <xdr:rowOff>118533</xdr:rowOff>
        </xdr:to>
        <xdr:sp macro="" textlink="">
          <xdr:nvSpPr>
            <xdr:cNvPr id="5126" name="cmdLoadAngle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16</xdr:col>
          <xdr:colOff>474133</xdr:colOff>
          <xdr:row>35</xdr:row>
          <xdr:rowOff>118533</xdr:rowOff>
        </xdr:to>
        <xdr:sp macro="" textlink="">
          <xdr:nvSpPr>
            <xdr:cNvPr id="5127" name="cmdLoadAngle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38</xdr:row>
          <xdr:rowOff>0</xdr:rowOff>
        </xdr:from>
        <xdr:to>
          <xdr:col>16</xdr:col>
          <xdr:colOff>474133</xdr:colOff>
          <xdr:row>40</xdr:row>
          <xdr:rowOff>118533</xdr:rowOff>
        </xdr:to>
        <xdr:sp macro="" textlink="">
          <xdr:nvSpPr>
            <xdr:cNvPr id="5128" name="cmdLoadAngle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211667</xdr:colOff>
          <xdr:row>2</xdr:row>
          <xdr:rowOff>173567</xdr:rowOff>
        </xdr:from>
        <xdr:to>
          <xdr:col>13</xdr:col>
          <xdr:colOff>16933</xdr:colOff>
          <xdr:row>5</xdr:row>
          <xdr:rowOff>148167</xdr:rowOff>
        </xdr:to>
        <xdr:sp macro="" textlink="">
          <xdr:nvSpPr>
            <xdr:cNvPr id="5129" name="cmdResetMexpSheet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98557</xdr:colOff>
      <xdr:row>11</xdr:row>
      <xdr:rowOff>113372</xdr:rowOff>
    </xdr:from>
    <xdr:to>
      <xdr:col>34</xdr:col>
      <xdr:colOff>179254</xdr:colOff>
      <xdr:row>26</xdr:row>
      <xdr:rowOff>78447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284427</xdr:colOff>
      <xdr:row>11</xdr:row>
      <xdr:rowOff>119062</xdr:rowOff>
    </xdr:from>
    <xdr:to>
      <xdr:col>42</xdr:col>
      <xdr:colOff>27783</xdr:colOff>
      <xdr:row>26</xdr:row>
      <xdr:rowOff>84137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244739</xdr:colOff>
      <xdr:row>11</xdr:row>
      <xdr:rowOff>119062</xdr:rowOff>
    </xdr:from>
    <xdr:to>
      <xdr:col>50</xdr:col>
      <xdr:colOff>60854</xdr:colOff>
      <xdr:row>26</xdr:row>
      <xdr:rowOff>84137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4.xml"/><Relationship Id="rId6" Type="http://schemas.openxmlformats.org/officeDocument/2006/relationships/image" Target="../media/image3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10" Type="http://schemas.openxmlformats.org/officeDocument/2006/relationships/image" Target="../media/image5.emf"/><Relationship Id="rId19" Type="http://schemas.openxmlformats.org/officeDocument/2006/relationships/control" Target="../activeX/activeX10.xml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8325-3F63-49E3-9227-3767C22CC792}">
  <sheetPr codeName="Sheet7"/>
  <dimension ref="A1:C37"/>
  <sheetViews>
    <sheetView tabSelected="1" topLeftCell="A21" workbookViewId="0">
      <selection activeCell="B37" sqref="B37"/>
    </sheetView>
  </sheetViews>
  <sheetFormatPr defaultRowHeight="14.35" x14ac:dyDescent="0.5"/>
  <sheetData>
    <row r="1" spans="1:3" x14ac:dyDescent="0.5">
      <c r="A1" s="24">
        <v>44530</v>
      </c>
      <c r="B1" t="s">
        <v>35</v>
      </c>
    </row>
    <row r="2" spans="1:3" x14ac:dyDescent="0.5">
      <c r="B2" t="s">
        <v>32</v>
      </c>
    </row>
    <row r="3" spans="1:3" x14ac:dyDescent="0.5">
      <c r="B3" t="s">
        <v>33</v>
      </c>
    </row>
    <row r="4" spans="1:3" x14ac:dyDescent="0.5">
      <c r="B4" t="s">
        <v>34</v>
      </c>
    </row>
    <row r="5" spans="1:3" x14ac:dyDescent="0.5">
      <c r="B5" t="s">
        <v>36</v>
      </c>
    </row>
    <row r="6" spans="1:3" x14ac:dyDescent="0.5">
      <c r="C6" t="s">
        <v>37</v>
      </c>
    </row>
    <row r="7" spans="1:3" x14ac:dyDescent="0.5">
      <c r="C7" t="s">
        <v>38</v>
      </c>
    </row>
    <row r="8" spans="1:3" x14ac:dyDescent="0.5">
      <c r="C8" t="s">
        <v>40</v>
      </c>
    </row>
    <row r="9" spans="1:3" x14ac:dyDescent="0.5">
      <c r="C9" t="s">
        <v>39</v>
      </c>
    </row>
    <row r="10" spans="1:3" x14ac:dyDescent="0.5">
      <c r="C10" t="s">
        <v>41</v>
      </c>
    </row>
    <row r="12" spans="1:3" x14ac:dyDescent="0.5">
      <c r="A12" s="24">
        <v>44612</v>
      </c>
      <c r="B12" t="s">
        <v>42</v>
      </c>
    </row>
    <row r="13" spans="1:3" x14ac:dyDescent="0.5">
      <c r="B13" t="s">
        <v>43</v>
      </c>
    </row>
    <row r="14" spans="1:3" x14ac:dyDescent="0.5">
      <c r="B14" t="s">
        <v>44</v>
      </c>
    </row>
    <row r="15" spans="1:3" x14ac:dyDescent="0.5">
      <c r="B15" t="s">
        <v>45</v>
      </c>
    </row>
    <row r="16" spans="1:3" x14ac:dyDescent="0.5">
      <c r="B16" t="s">
        <v>46</v>
      </c>
    </row>
    <row r="17" spans="1:2" x14ac:dyDescent="0.5">
      <c r="B17" t="s">
        <v>47</v>
      </c>
    </row>
    <row r="18" spans="1:2" x14ac:dyDescent="0.5">
      <c r="B18" t="s">
        <v>48</v>
      </c>
    </row>
    <row r="19" spans="1:2" x14ac:dyDescent="0.5">
      <c r="B19" t="s">
        <v>49</v>
      </c>
    </row>
    <row r="20" spans="1:2" x14ac:dyDescent="0.5">
      <c r="B20" t="s">
        <v>50</v>
      </c>
    </row>
    <row r="21" spans="1:2" x14ac:dyDescent="0.5">
      <c r="B21" t="s">
        <v>51</v>
      </c>
    </row>
    <row r="22" spans="1:2" x14ac:dyDescent="0.5">
      <c r="A22" s="24">
        <v>44655</v>
      </c>
      <c r="B22" t="s">
        <v>52</v>
      </c>
    </row>
    <row r="23" spans="1:2" x14ac:dyDescent="0.5">
      <c r="B23" t="s">
        <v>53</v>
      </c>
    </row>
    <row r="24" spans="1:2" x14ac:dyDescent="0.5">
      <c r="B24" t="s">
        <v>54</v>
      </c>
    </row>
    <row r="25" spans="1:2" x14ac:dyDescent="0.5">
      <c r="B25" s="26" t="s">
        <v>55</v>
      </c>
    </row>
    <row r="26" spans="1:2" x14ac:dyDescent="0.5">
      <c r="A26" s="24">
        <v>44717</v>
      </c>
      <c r="B26" t="s">
        <v>56</v>
      </c>
    </row>
    <row r="27" spans="1:2" x14ac:dyDescent="0.5">
      <c r="B27" t="s">
        <v>61</v>
      </c>
    </row>
    <row r="28" spans="1:2" x14ac:dyDescent="0.5">
      <c r="B28" t="s">
        <v>57</v>
      </c>
    </row>
    <row r="29" spans="1:2" x14ac:dyDescent="0.5">
      <c r="B29" t="s">
        <v>58</v>
      </c>
    </row>
    <row r="30" spans="1:2" x14ac:dyDescent="0.5">
      <c r="B30" t="s">
        <v>59</v>
      </c>
    </row>
    <row r="31" spans="1:2" x14ac:dyDescent="0.5">
      <c r="B31" t="s">
        <v>60</v>
      </c>
    </row>
    <row r="32" spans="1:2" x14ac:dyDescent="0.5">
      <c r="A32" s="24">
        <v>44724</v>
      </c>
      <c r="B32" t="s">
        <v>97</v>
      </c>
    </row>
    <row r="33" spans="2:2" x14ac:dyDescent="0.5">
      <c r="B33" t="s">
        <v>99</v>
      </c>
    </row>
    <row r="34" spans="2:2" x14ac:dyDescent="0.5">
      <c r="B34" t="s">
        <v>100</v>
      </c>
    </row>
    <row r="35" spans="2:2" x14ac:dyDescent="0.5">
      <c r="B35" t="s">
        <v>98</v>
      </c>
    </row>
    <row r="36" spans="2:2" x14ac:dyDescent="0.5">
      <c r="B36" t="s">
        <v>102</v>
      </c>
    </row>
    <row r="37" spans="2:2" x14ac:dyDescent="0.5">
      <c r="B37" t="s">
        <v>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>
      <selection activeCell="I3" sqref="I3"/>
    </sheetView>
  </sheetViews>
  <sheetFormatPr defaultRowHeight="14.35" x14ac:dyDescent="0.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J4"/>
  <sheetViews>
    <sheetView zoomScale="74" zoomScaleNormal="50" workbookViewId="0"/>
  </sheetViews>
  <sheetFormatPr defaultRowHeight="14.35" x14ac:dyDescent="0.5"/>
  <cols>
    <col min="1" max="1" width="18.29296875" customWidth="1"/>
    <col min="2" max="6" width="9" bestFit="1" customWidth="1"/>
    <col min="10" max="10" width="11" customWidth="1"/>
    <col min="13" max="13" width="9" bestFit="1" customWidth="1"/>
  </cols>
  <sheetData>
    <row r="1" spans="1:10" x14ac:dyDescent="0.5">
      <c r="H1" s="22"/>
      <c r="J1" s="23"/>
    </row>
    <row r="4" spans="1:10" x14ac:dyDescent="0.5">
      <c r="A4" s="2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mdAverage">
          <controlPr defaultSize="0" autoLine="0" r:id="rId5">
            <anchor moveWithCells="1">
              <from>
                <xdr:col>2</xdr:col>
                <xdr:colOff>364067</xdr:colOff>
                <xdr:row>1</xdr:row>
                <xdr:rowOff>8467</xdr:rowOff>
              </from>
              <to>
                <xdr:col>5</xdr:col>
                <xdr:colOff>524933</xdr:colOff>
                <xdr:row>2</xdr:row>
                <xdr:rowOff>156633</xdr:rowOff>
              </to>
            </anchor>
          </controlPr>
        </control>
      </mc:Choice>
      <mc:Fallback>
        <control shapeId="1034" r:id="rId4" name="cmdAverage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cmdShowFileDialogBox">
            <anchor moveWithCells="1" sizeWithCells="1">
              <from>
                <xdr:col>0</xdr:col>
                <xdr:colOff>71967</xdr:colOff>
                <xdr:row>1</xdr:row>
                <xdr:rowOff>4233</xdr:rowOff>
              </from>
              <to>
                <xdr:col>2</xdr:col>
                <xdr:colOff>220133</xdr:colOff>
                <xdr:row>2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" name="Button 9">
          <controlPr defaultSize="0" print="0" autoFill="0" autoPict="0" macro="[0]!KillSheets">
            <anchor moveWithCells="1" sizeWithCells="1">
              <from>
                <xdr:col>9</xdr:col>
                <xdr:colOff>0</xdr:colOff>
                <xdr:row>1</xdr:row>
                <xdr:rowOff>4233</xdr:rowOff>
              </from>
              <to>
                <xdr:col>10</xdr:col>
                <xdr:colOff>228600</xdr:colOff>
                <xdr:row>2</xdr:row>
                <xdr:rowOff>148167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" name="Button 11">
          <controlPr defaultSize="0" print="0" autoFill="0" autoPict="0" macro="[0]!PopulateExportSheet">
            <anchor moveWithCells="1" sizeWithCells="1">
              <from>
                <xdr:col>6</xdr:col>
                <xdr:colOff>50800</xdr:colOff>
                <xdr:row>1</xdr:row>
                <xdr:rowOff>29633</xdr:rowOff>
              </from>
              <to>
                <xdr:col>8</xdr:col>
                <xdr:colOff>330200</xdr:colOff>
                <xdr:row>2</xdr:row>
                <xdr:rowOff>152400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Z81"/>
  <sheetViews>
    <sheetView zoomScale="85" zoomScaleNormal="85" workbookViewId="0">
      <selection activeCell="I18" sqref="I18"/>
    </sheetView>
  </sheetViews>
  <sheetFormatPr defaultRowHeight="14.35" x14ac:dyDescent="0.5"/>
  <cols>
    <col min="1" max="1" width="10.5859375" customWidth="1"/>
    <col min="3" max="3" width="13.1171875" customWidth="1"/>
    <col min="4" max="5" width="9" bestFit="1" customWidth="1"/>
    <col min="6" max="6" width="8.41015625" customWidth="1"/>
    <col min="7" max="7" width="3.1171875" customWidth="1"/>
    <col min="8" max="8" width="6.87890625" customWidth="1"/>
    <col min="9" max="9" width="12.29296875" bestFit="1" customWidth="1"/>
    <col min="10" max="10" width="9.29296875" bestFit="1" customWidth="1"/>
    <col min="11" max="11" width="2.41015625" customWidth="1"/>
    <col min="12" max="12" width="7.41015625" customWidth="1"/>
    <col min="14" max="14" width="9.29296875" bestFit="1" customWidth="1"/>
    <col min="15" max="15" width="2.5859375" customWidth="1"/>
    <col min="17" max="17" width="5.703125" customWidth="1"/>
    <col min="18" max="18" width="9.703125" customWidth="1"/>
    <col min="19" max="19" width="6.41015625" customWidth="1"/>
    <col min="21" max="21" width="6.41015625" customWidth="1"/>
    <col min="23" max="23" width="6.29296875" customWidth="1"/>
    <col min="25" max="25" width="6.29296875" customWidth="1"/>
    <col min="27" max="27" width="5.703125" customWidth="1"/>
  </cols>
  <sheetData>
    <row r="1" spans="1:18" x14ac:dyDescent="0.5">
      <c r="E1" s="1" t="s">
        <v>24</v>
      </c>
      <c r="I1" s="1" t="s">
        <v>24</v>
      </c>
      <c r="M1" s="1" t="s">
        <v>25</v>
      </c>
      <c r="Q1" s="1" t="s">
        <v>25</v>
      </c>
    </row>
    <row r="2" spans="1:18" x14ac:dyDescent="0.5">
      <c r="A2" t="s">
        <v>12</v>
      </c>
      <c r="B2" t="s">
        <v>13</v>
      </c>
      <c r="C2" s="3" t="s">
        <v>14</v>
      </c>
      <c r="D2" s="1" t="s">
        <v>0</v>
      </c>
      <c r="H2" s="1" t="s">
        <v>1</v>
      </c>
      <c r="J2" s="1" t="s">
        <v>9</v>
      </c>
      <c r="L2" s="1" t="s">
        <v>2</v>
      </c>
      <c r="N2" s="1" t="s">
        <v>9</v>
      </c>
      <c r="P2" s="1" t="s">
        <v>3</v>
      </c>
      <c r="Q2" s="1" t="s">
        <v>23</v>
      </c>
      <c r="R2" s="1" t="s">
        <v>9</v>
      </c>
    </row>
    <row r="3" spans="1:18" x14ac:dyDescent="0.5">
      <c r="C3" s="6">
        <f>(4*PI()*Refin*SIN(RADIANS(B3/2))/LamCM)^2</f>
        <v>0</v>
      </c>
      <c r="D3" t="s">
        <v>4</v>
      </c>
      <c r="E3" s="19"/>
      <c r="H3" t="s">
        <v>4</v>
      </c>
      <c r="I3" s="19"/>
      <c r="J3" s="19"/>
      <c r="L3" t="s">
        <v>4</v>
      </c>
      <c r="M3" s="19"/>
      <c r="N3" s="19"/>
      <c r="P3" t="s">
        <v>4</v>
      </c>
      <c r="Q3" s="4"/>
      <c r="R3" s="4"/>
    </row>
    <row r="4" spans="1:18" x14ac:dyDescent="0.5">
      <c r="C4" s="6">
        <f t="shared" ref="C4:C10" si="0">(4*PI()*Refin*SIN(RADIANS(B4/2))/LamCM)^2</f>
        <v>0</v>
      </c>
      <c r="D4" t="s">
        <v>5</v>
      </c>
      <c r="E4" s="19"/>
      <c r="H4" t="s">
        <v>5</v>
      </c>
      <c r="I4" s="19"/>
      <c r="J4" s="19"/>
      <c r="L4" t="s">
        <v>5</v>
      </c>
      <c r="M4" s="19"/>
      <c r="N4" s="19"/>
      <c r="P4" t="s">
        <v>5</v>
      </c>
      <c r="Q4" s="4"/>
      <c r="R4" s="4"/>
    </row>
    <row r="5" spans="1:18" x14ac:dyDescent="0.5">
      <c r="C5" s="6">
        <f t="shared" si="0"/>
        <v>0</v>
      </c>
      <c r="D5" t="s">
        <v>6</v>
      </c>
      <c r="E5" s="19"/>
      <c r="H5" t="s">
        <v>6</v>
      </c>
      <c r="I5" s="19"/>
      <c r="J5" s="19"/>
      <c r="L5" t="s">
        <v>6</v>
      </c>
      <c r="M5" s="19"/>
      <c r="N5" s="19"/>
      <c r="P5" t="s">
        <v>6</v>
      </c>
      <c r="Q5" s="4"/>
      <c r="R5" s="4"/>
    </row>
    <row r="6" spans="1:18" x14ac:dyDescent="0.5">
      <c r="C6" s="6">
        <f t="shared" si="0"/>
        <v>0</v>
      </c>
      <c r="D6" t="s">
        <v>7</v>
      </c>
      <c r="E6" s="19"/>
      <c r="H6" t="s">
        <v>7</v>
      </c>
      <c r="I6" s="19"/>
      <c r="J6" s="19"/>
      <c r="L6" t="s">
        <v>7</v>
      </c>
      <c r="M6" s="19"/>
      <c r="N6" s="19"/>
      <c r="P6" t="s">
        <v>7</v>
      </c>
      <c r="Q6" s="4"/>
      <c r="R6" s="4"/>
    </row>
    <row r="7" spans="1:18" x14ac:dyDescent="0.5">
      <c r="C7" s="6">
        <f t="shared" si="0"/>
        <v>0</v>
      </c>
      <c r="D7" t="s">
        <v>8</v>
      </c>
      <c r="E7" s="19"/>
      <c r="H7" t="s">
        <v>8</v>
      </c>
      <c r="I7" s="19"/>
      <c r="J7" s="19"/>
      <c r="L7" t="s">
        <v>8</v>
      </c>
      <c r="M7" s="19"/>
      <c r="N7" s="19"/>
      <c r="P7" t="s">
        <v>8</v>
      </c>
      <c r="Q7" s="4"/>
      <c r="R7" s="4"/>
    </row>
    <row r="8" spans="1:18" x14ac:dyDescent="0.5">
      <c r="C8" s="6">
        <f t="shared" si="0"/>
        <v>0</v>
      </c>
      <c r="D8" t="s">
        <v>29</v>
      </c>
      <c r="E8" s="19"/>
      <c r="H8" t="s">
        <v>29</v>
      </c>
      <c r="I8" s="19"/>
      <c r="J8" s="19"/>
      <c r="L8" t="s">
        <v>29</v>
      </c>
      <c r="M8" s="19"/>
      <c r="N8" s="19"/>
      <c r="P8" t="s">
        <v>29</v>
      </c>
      <c r="Q8" s="4"/>
      <c r="R8" s="4"/>
    </row>
    <row r="9" spans="1:18" x14ac:dyDescent="0.5">
      <c r="C9" s="6">
        <f t="shared" si="0"/>
        <v>0</v>
      </c>
      <c r="D9" s="19" t="s">
        <v>30</v>
      </c>
      <c r="E9" s="19"/>
      <c r="H9" s="19" t="s">
        <v>30</v>
      </c>
      <c r="I9" s="19"/>
      <c r="J9" s="19"/>
      <c r="L9" s="19" t="s">
        <v>30</v>
      </c>
      <c r="M9" s="19"/>
      <c r="N9" s="19"/>
      <c r="P9" s="19" t="s">
        <v>30</v>
      </c>
    </row>
    <row r="10" spans="1:18" x14ac:dyDescent="0.5">
      <c r="C10" s="6">
        <f t="shared" si="0"/>
        <v>0</v>
      </c>
      <c r="D10" s="19" t="s">
        <v>31</v>
      </c>
      <c r="E10" s="19"/>
      <c r="H10" s="19" t="s">
        <v>31</v>
      </c>
      <c r="I10" s="19"/>
      <c r="J10" s="19"/>
      <c r="L10" s="19" t="s">
        <v>31</v>
      </c>
      <c r="M10" s="19"/>
      <c r="N10" s="19"/>
      <c r="P10" s="19" t="s">
        <v>31</v>
      </c>
    </row>
    <row r="11" spans="1:18" x14ac:dyDescent="0.5">
      <c r="D11" s="19"/>
      <c r="E11" s="19"/>
    </row>
    <row r="12" spans="1:18" x14ac:dyDescent="0.5">
      <c r="D12" s="19"/>
      <c r="E12" s="19"/>
    </row>
    <row r="13" spans="1:18" x14ac:dyDescent="0.5">
      <c r="D13" s="1" t="s">
        <v>20</v>
      </c>
    </row>
    <row r="14" spans="1:18" x14ac:dyDescent="0.5">
      <c r="A14" s="3" t="s">
        <v>12</v>
      </c>
      <c r="B14" s="3" t="s">
        <v>13</v>
      </c>
      <c r="C14" s="3" t="s">
        <v>16</v>
      </c>
      <c r="D14" s="1" t="s">
        <v>21</v>
      </c>
      <c r="E14" s="1" t="s">
        <v>15</v>
      </c>
    </row>
    <row r="15" spans="1:18" x14ac:dyDescent="0.5">
      <c r="A15" s="3">
        <f t="shared" ref="A15:B15" si="1">A3</f>
        <v>0</v>
      </c>
      <c r="B15" s="3">
        <f t="shared" si="1"/>
        <v>0</v>
      </c>
      <c r="C15" s="5">
        <f>C3/10000000000</f>
        <v>0</v>
      </c>
      <c r="D15" s="4" t="e">
        <f>(1000*M3/C3)*10000000</f>
        <v>#DIV/0!</v>
      </c>
      <c r="E15" s="20" t="e">
        <f>J3/M3^2</f>
        <v>#DIV/0!</v>
      </c>
    </row>
    <row r="16" spans="1:18" x14ac:dyDescent="0.5">
      <c r="A16" s="3">
        <f t="shared" ref="A16" si="2">A4</f>
        <v>0</v>
      </c>
      <c r="B16" s="3">
        <f t="shared" ref="B16" si="3">B4</f>
        <v>0</v>
      </c>
      <c r="C16" s="5">
        <f t="shared" ref="C16:C22" si="4">C4/10000000000</f>
        <v>0</v>
      </c>
      <c r="D16" s="4" t="e">
        <f t="shared" ref="D16:D22" si="5">(1000*M4/C4)*10000000</f>
        <v>#DIV/0!</v>
      </c>
      <c r="E16" s="20" t="e">
        <f t="shared" ref="E16:E22" si="6">J4/M4^2</f>
        <v>#DIV/0!</v>
      </c>
    </row>
    <row r="17" spans="1:9" x14ac:dyDescent="0.5">
      <c r="A17" s="3">
        <f t="shared" ref="A17" si="7">A5</f>
        <v>0</v>
      </c>
      <c r="B17" s="3">
        <f t="shared" ref="B17" si="8">B5</f>
        <v>0</v>
      </c>
      <c r="C17" s="5">
        <f t="shared" si="4"/>
        <v>0</v>
      </c>
      <c r="D17" s="4" t="e">
        <f t="shared" si="5"/>
        <v>#DIV/0!</v>
      </c>
      <c r="E17" s="20" t="e">
        <f t="shared" si="6"/>
        <v>#DIV/0!</v>
      </c>
    </row>
    <row r="18" spans="1:9" x14ac:dyDescent="0.5">
      <c r="A18" s="3">
        <f t="shared" ref="A18" si="9">A6</f>
        <v>0</v>
      </c>
      <c r="B18" s="3">
        <f t="shared" ref="B18" si="10">B6</f>
        <v>0</v>
      </c>
      <c r="C18" s="5">
        <f t="shared" si="4"/>
        <v>0</v>
      </c>
      <c r="D18" s="4" t="e">
        <f t="shared" si="5"/>
        <v>#DIV/0!</v>
      </c>
      <c r="E18" s="20" t="e">
        <f t="shared" si="6"/>
        <v>#DIV/0!</v>
      </c>
    </row>
    <row r="19" spans="1:9" x14ac:dyDescent="0.5">
      <c r="A19" s="3">
        <f t="shared" ref="A19" si="11">A7</f>
        <v>0</v>
      </c>
      <c r="B19" s="3">
        <f t="shared" ref="B19" si="12">B7</f>
        <v>0</v>
      </c>
      <c r="C19" s="5">
        <f t="shared" si="4"/>
        <v>0</v>
      </c>
      <c r="D19" s="4" t="e">
        <f t="shared" si="5"/>
        <v>#DIV/0!</v>
      </c>
      <c r="E19" s="20" t="e">
        <f t="shared" si="6"/>
        <v>#DIV/0!</v>
      </c>
    </row>
    <row r="20" spans="1:9" x14ac:dyDescent="0.5">
      <c r="A20" s="3">
        <f t="shared" ref="A20" si="13">A8</f>
        <v>0</v>
      </c>
      <c r="B20" s="3">
        <f t="shared" ref="B20" si="14">B8</f>
        <v>0</v>
      </c>
      <c r="C20" s="5">
        <f t="shared" si="4"/>
        <v>0</v>
      </c>
      <c r="D20" s="4" t="e">
        <f t="shared" si="5"/>
        <v>#DIV/0!</v>
      </c>
      <c r="E20" s="20" t="e">
        <f t="shared" si="6"/>
        <v>#DIV/0!</v>
      </c>
    </row>
    <row r="21" spans="1:9" x14ac:dyDescent="0.5">
      <c r="A21" s="3">
        <f t="shared" ref="A21" si="15">A9</f>
        <v>0</v>
      </c>
      <c r="B21" s="3">
        <f t="shared" ref="B21" si="16">B9</f>
        <v>0</v>
      </c>
      <c r="C21" s="5">
        <f t="shared" si="4"/>
        <v>0</v>
      </c>
      <c r="D21" s="4" t="e">
        <f t="shared" si="5"/>
        <v>#DIV/0!</v>
      </c>
      <c r="E21" s="20" t="e">
        <f t="shared" si="6"/>
        <v>#DIV/0!</v>
      </c>
    </row>
    <row r="22" spans="1:9" x14ac:dyDescent="0.5">
      <c r="A22" s="3">
        <f t="shared" ref="A22" si="17">A10</f>
        <v>0</v>
      </c>
      <c r="B22" s="3">
        <f t="shared" ref="B22" si="18">B10</f>
        <v>0</v>
      </c>
      <c r="C22" s="5">
        <f t="shared" si="4"/>
        <v>0</v>
      </c>
      <c r="D22" s="4" t="e">
        <f t="shared" si="5"/>
        <v>#DIV/0!</v>
      </c>
      <c r="E22" s="20" t="e">
        <f t="shared" si="6"/>
        <v>#DIV/0!</v>
      </c>
    </row>
    <row r="23" spans="1:9" x14ac:dyDescent="0.5">
      <c r="E23" s="7"/>
      <c r="F23" s="7" t="s">
        <v>22</v>
      </c>
    </row>
    <row r="24" spans="1:9" x14ac:dyDescent="0.5">
      <c r="A24" s="3" t="s">
        <v>12</v>
      </c>
      <c r="B24" s="3" t="s">
        <v>19</v>
      </c>
      <c r="C24" s="3" t="s">
        <v>14</v>
      </c>
      <c r="D24" s="7"/>
      <c r="E24" s="7"/>
      <c r="F24" s="7" t="s">
        <v>21</v>
      </c>
      <c r="G24" s="7"/>
      <c r="H24" s="7" t="s">
        <v>17</v>
      </c>
      <c r="I24" s="7" t="s">
        <v>18</v>
      </c>
    </row>
    <row r="25" spans="1:9" x14ac:dyDescent="0.5">
      <c r="A25" s="3">
        <f>A3</f>
        <v>0</v>
      </c>
      <c r="B25" s="3">
        <f>B3</f>
        <v>0</v>
      </c>
      <c r="C25" s="5">
        <f>C3/10000000000</f>
        <v>0</v>
      </c>
      <c r="D25" s="19"/>
      <c r="E25" s="19"/>
      <c r="F25" t="e">
        <f>(1000*E25/C3)*10000000</f>
        <v>#DIV/0!</v>
      </c>
      <c r="H25" s="8" t="s">
        <v>26</v>
      </c>
      <c r="I25" s="7"/>
    </row>
    <row r="26" spans="1:9" x14ac:dyDescent="0.5">
      <c r="A26" s="3">
        <f t="shared" ref="A26:B32" si="19">A4</f>
        <v>0</v>
      </c>
      <c r="B26" s="3">
        <f t="shared" si="19"/>
        <v>0</v>
      </c>
      <c r="C26" s="5">
        <f t="shared" ref="C26:C32" si="20">C4/10000000000</f>
        <v>0</v>
      </c>
      <c r="D26" s="19"/>
      <c r="E26" s="19"/>
      <c r="F26" t="e">
        <f t="shared" ref="F26:F32" si="21">(1000*E26/C4)*10000000</f>
        <v>#DIV/0!</v>
      </c>
    </row>
    <row r="27" spans="1:9" x14ac:dyDescent="0.5">
      <c r="A27" s="3">
        <f t="shared" si="19"/>
        <v>0</v>
      </c>
      <c r="B27" s="3">
        <f t="shared" si="19"/>
        <v>0</v>
      </c>
      <c r="C27" s="5">
        <f t="shared" si="20"/>
        <v>0</v>
      </c>
      <c r="D27" s="19"/>
      <c r="E27" s="19"/>
      <c r="F27" t="e">
        <f t="shared" si="21"/>
        <v>#DIV/0!</v>
      </c>
    </row>
    <row r="28" spans="1:9" x14ac:dyDescent="0.5">
      <c r="A28" s="3">
        <f t="shared" si="19"/>
        <v>0</v>
      </c>
      <c r="B28" s="3">
        <f t="shared" si="19"/>
        <v>0</v>
      </c>
      <c r="C28" s="5">
        <f t="shared" si="20"/>
        <v>0</v>
      </c>
      <c r="D28" s="19"/>
      <c r="E28" s="19"/>
      <c r="F28" t="e">
        <f t="shared" si="21"/>
        <v>#DIV/0!</v>
      </c>
    </row>
    <row r="29" spans="1:9" x14ac:dyDescent="0.5">
      <c r="A29" s="3">
        <f t="shared" si="19"/>
        <v>0</v>
      </c>
      <c r="B29" s="3">
        <f t="shared" si="19"/>
        <v>0</v>
      </c>
      <c r="C29" s="5">
        <f t="shared" si="20"/>
        <v>0</v>
      </c>
      <c r="D29" s="19"/>
      <c r="E29" s="19"/>
      <c r="F29" t="e">
        <f t="shared" si="21"/>
        <v>#DIV/0!</v>
      </c>
    </row>
    <row r="30" spans="1:9" x14ac:dyDescent="0.5">
      <c r="A30" s="3">
        <f t="shared" si="19"/>
        <v>0</v>
      </c>
      <c r="B30" s="3">
        <f t="shared" si="19"/>
        <v>0</v>
      </c>
      <c r="C30" s="5">
        <f t="shared" si="20"/>
        <v>0</v>
      </c>
      <c r="D30" s="19"/>
      <c r="E30" s="19"/>
      <c r="F30" t="e">
        <f t="shared" si="21"/>
        <v>#DIV/0!</v>
      </c>
    </row>
    <row r="31" spans="1:9" x14ac:dyDescent="0.5">
      <c r="A31" s="3">
        <f t="shared" si="19"/>
        <v>0</v>
      </c>
      <c r="B31" s="3">
        <f t="shared" si="19"/>
        <v>0</v>
      </c>
      <c r="C31" s="5">
        <f t="shared" si="20"/>
        <v>0</v>
      </c>
      <c r="D31" s="19"/>
      <c r="E31" s="19"/>
      <c r="F31" t="e">
        <f t="shared" si="21"/>
        <v>#DIV/0!</v>
      </c>
    </row>
    <row r="32" spans="1:9" x14ac:dyDescent="0.5">
      <c r="A32" s="3">
        <f t="shared" si="19"/>
        <v>0</v>
      </c>
      <c r="B32" s="3">
        <f t="shared" si="19"/>
        <v>0</v>
      </c>
      <c r="C32" s="5">
        <f t="shared" si="20"/>
        <v>0</v>
      </c>
      <c r="D32" s="19"/>
      <c r="E32" s="19"/>
      <c r="F32" t="e">
        <f t="shared" si="21"/>
        <v>#DIV/0!</v>
      </c>
    </row>
    <row r="38" spans="3:26" x14ac:dyDescent="0.5">
      <c r="M38" s="11" t="s">
        <v>27</v>
      </c>
      <c r="N38" s="15" t="s">
        <v>28</v>
      </c>
    </row>
    <row r="39" spans="3:26" x14ac:dyDescent="0.5">
      <c r="M39" s="18">
        <f>E25</f>
        <v>0</v>
      </c>
      <c r="N39" s="16">
        <f>M3</f>
        <v>0</v>
      </c>
      <c r="O39">
        <v>0</v>
      </c>
      <c r="R39" s="12"/>
      <c r="S39" s="10"/>
      <c r="T39" s="11"/>
      <c r="U39" s="10"/>
      <c r="V39" s="9"/>
      <c r="W39" s="10"/>
      <c r="X39" s="14"/>
      <c r="Y39" s="10"/>
      <c r="Z39" s="13"/>
    </row>
    <row r="40" spans="3:26" x14ac:dyDescent="0.5">
      <c r="M40" s="18">
        <f>E25</f>
        <v>0</v>
      </c>
      <c r="N40" s="16">
        <f>M3</f>
        <v>0</v>
      </c>
      <c r="O40">
        <v>1</v>
      </c>
    </row>
    <row r="41" spans="3:26" x14ac:dyDescent="0.5">
      <c r="C41" s="12">
        <f>A3</f>
        <v>0</v>
      </c>
    </row>
    <row r="48" spans="3:26" x14ac:dyDescent="0.5">
      <c r="M48" s="11" t="s">
        <v>27</v>
      </c>
      <c r="N48" s="15" t="s">
        <v>28</v>
      </c>
    </row>
    <row r="49" spans="3:15" x14ac:dyDescent="0.5">
      <c r="M49" s="18">
        <f>E26</f>
        <v>0</v>
      </c>
      <c r="N49" s="17">
        <f>M4</f>
        <v>0</v>
      </c>
      <c r="O49">
        <v>0</v>
      </c>
    </row>
    <row r="50" spans="3:15" x14ac:dyDescent="0.5">
      <c r="M50" s="18">
        <f>E26</f>
        <v>0</v>
      </c>
      <c r="N50" s="17">
        <f>M4</f>
        <v>0</v>
      </c>
      <c r="O50">
        <v>1</v>
      </c>
    </row>
    <row r="51" spans="3:15" x14ac:dyDescent="0.5">
      <c r="C51" s="11">
        <f>A4</f>
        <v>0</v>
      </c>
    </row>
    <row r="58" spans="3:15" x14ac:dyDescent="0.5">
      <c r="M58" s="11" t="s">
        <v>27</v>
      </c>
      <c r="N58" s="15" t="s">
        <v>28</v>
      </c>
    </row>
    <row r="59" spans="3:15" x14ac:dyDescent="0.5">
      <c r="M59" s="18">
        <f>E27</f>
        <v>0</v>
      </c>
      <c r="N59" s="17">
        <f>M5</f>
        <v>0</v>
      </c>
      <c r="O59">
        <v>0</v>
      </c>
    </row>
    <row r="60" spans="3:15" x14ac:dyDescent="0.5">
      <c r="M60" s="18">
        <f>E27</f>
        <v>0</v>
      </c>
      <c r="N60" s="17">
        <f>M5</f>
        <v>0</v>
      </c>
      <c r="O60">
        <v>1</v>
      </c>
    </row>
    <row r="61" spans="3:15" x14ac:dyDescent="0.5">
      <c r="C61" s="9">
        <f>A5</f>
        <v>0</v>
      </c>
    </row>
    <row r="68" spans="3:15" x14ac:dyDescent="0.5">
      <c r="M68" s="11" t="s">
        <v>27</v>
      </c>
      <c r="N68" s="15" t="s">
        <v>28</v>
      </c>
    </row>
    <row r="69" spans="3:15" x14ac:dyDescent="0.5">
      <c r="M69" s="18">
        <f>E28</f>
        <v>0</v>
      </c>
      <c r="N69" s="17">
        <f>M6</f>
        <v>0</v>
      </c>
      <c r="O69">
        <v>0</v>
      </c>
    </row>
    <row r="70" spans="3:15" x14ac:dyDescent="0.5">
      <c r="M70" s="18">
        <f>E28</f>
        <v>0</v>
      </c>
      <c r="N70" s="17">
        <f>M6</f>
        <v>0</v>
      </c>
      <c r="O70">
        <v>1</v>
      </c>
    </row>
    <row r="71" spans="3:15" x14ac:dyDescent="0.5">
      <c r="C71" s="14">
        <f>A6</f>
        <v>0</v>
      </c>
    </row>
    <row r="78" spans="3:15" x14ac:dyDescent="0.5">
      <c r="M78" s="11" t="s">
        <v>27</v>
      </c>
      <c r="N78" s="15" t="s">
        <v>28</v>
      </c>
    </row>
    <row r="79" spans="3:15" x14ac:dyDescent="0.5">
      <c r="M79" s="18">
        <f>E29</f>
        <v>0</v>
      </c>
      <c r="N79" s="17">
        <f>M7</f>
        <v>0</v>
      </c>
      <c r="O79">
        <v>0</v>
      </c>
    </row>
    <row r="80" spans="3:15" x14ac:dyDescent="0.5">
      <c r="M80" s="18">
        <f>E29</f>
        <v>0</v>
      </c>
      <c r="N80" s="17">
        <f>M7</f>
        <v>0</v>
      </c>
      <c r="O80">
        <v>1</v>
      </c>
    </row>
    <row r="81" spans="3:3" x14ac:dyDescent="0.5">
      <c r="C81" s="13">
        <f>A7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ransferCumu">
                <anchor moveWithCells="1" sizeWithCells="1">
                  <from>
                    <xdr:col>0</xdr:col>
                    <xdr:colOff>8467</xdr:colOff>
                    <xdr:row>10</xdr:row>
                    <xdr:rowOff>29633</xdr:rowOff>
                  </from>
                  <to>
                    <xdr:col>2</xdr:col>
                    <xdr:colOff>334433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This">
                <anchor moveWithCells="1" sizeWithCells="1">
                  <from>
                    <xdr:col>5</xdr:col>
                    <xdr:colOff>220133</xdr:colOff>
                    <xdr:row>10</xdr:row>
                    <xdr:rowOff>67733</xdr:rowOff>
                  </from>
                  <to>
                    <xdr:col>8</xdr:col>
                    <xdr:colOff>97367</xdr:colOff>
                    <xdr:row>12</xdr:row>
                    <xdr:rowOff>46567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WayneTransferExp">
                <anchor moveWithCells="1" sizeWithCells="1">
                  <from>
                    <xdr:col>0</xdr:col>
                    <xdr:colOff>21167</xdr:colOff>
                    <xdr:row>33</xdr:row>
                    <xdr:rowOff>21167</xdr:rowOff>
                  </from>
                  <to>
                    <xdr:col>2</xdr:col>
                    <xdr:colOff>419100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LoadCONTIN">
                <anchor moveWithCells="1" sizeWithCells="1">
                  <from>
                    <xdr:col>0</xdr:col>
                    <xdr:colOff>29633</xdr:colOff>
                    <xdr:row>36</xdr:row>
                    <xdr:rowOff>0</xdr:rowOff>
                  </from>
                  <to>
                    <xdr:col>2</xdr:col>
                    <xdr:colOff>419100</xdr:colOff>
                    <xdr:row>37</xdr:row>
                    <xdr:rowOff>160867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E7DE-5304-4489-BC16-5F368A6A26CA}">
  <sheetPr codeName="Sheet1"/>
  <dimension ref="B2:AC6"/>
  <sheetViews>
    <sheetView workbookViewId="0">
      <selection sqref="A1:XFD1048576"/>
    </sheetView>
  </sheetViews>
  <sheetFormatPr defaultRowHeight="14.35" x14ac:dyDescent="0.5"/>
  <sheetData>
    <row r="2" spans="2:29" x14ac:dyDescent="0.5"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</row>
    <row r="3" spans="2:29" x14ac:dyDescent="0.5">
      <c r="B3" s="25"/>
      <c r="D3" s="25"/>
      <c r="F3" s="25"/>
      <c r="H3" s="25"/>
      <c r="J3" s="25"/>
      <c r="L3" s="25"/>
      <c r="N3" s="25"/>
      <c r="P3" s="25"/>
      <c r="R3" s="25"/>
      <c r="T3" s="25"/>
      <c r="V3" s="25"/>
      <c r="X3" s="25"/>
      <c r="Z3" s="25"/>
      <c r="AA3" s="25"/>
      <c r="AB3" s="25"/>
      <c r="AC3" s="25"/>
    </row>
    <row r="4" spans="2:29" x14ac:dyDescent="0.5">
      <c r="AA4" s="25"/>
      <c r="AB4" s="25"/>
      <c r="AC4" s="25"/>
    </row>
    <row r="5" spans="2:29" x14ac:dyDescent="0.5">
      <c r="AB5" s="25"/>
      <c r="AC5" s="25"/>
    </row>
    <row r="6" spans="2:29" x14ac:dyDescent="0.5">
      <c r="AC6" s="2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3525-12E2-467C-8E29-952FADBC22C2}">
  <sheetPr codeName="Sheet2"/>
  <dimension ref="A2:AL610"/>
  <sheetViews>
    <sheetView topLeftCell="V2" zoomScale="70" zoomScaleNormal="70" workbookViewId="0">
      <selection activeCell="AG8" sqref="AG8:AG9"/>
    </sheetView>
  </sheetViews>
  <sheetFormatPr defaultRowHeight="14.35" x14ac:dyDescent="0.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6" width="9.05859375" bestFit="1" customWidth="1"/>
    <col min="7" max="7" width="13.8203125" bestFit="1" customWidth="1"/>
    <col min="8" max="8" width="7" customWidth="1"/>
    <col min="9" max="9" width="15.87890625" customWidth="1"/>
    <col min="10" max="11" width="9" bestFit="1" customWidth="1"/>
    <col min="19" max="19" width="13.29296875" bestFit="1" customWidth="1"/>
    <col min="21" max="21" width="9" bestFit="1" customWidth="1"/>
    <col min="23" max="23" width="9" bestFit="1" customWidth="1"/>
    <col min="26" max="26" width="9" bestFit="1" customWidth="1"/>
    <col min="33" max="33" width="11.3515625" customWidth="1"/>
    <col min="34" max="34" width="11.703125" customWidth="1"/>
    <col min="35" max="35" width="9.87890625" customWidth="1"/>
  </cols>
  <sheetData>
    <row r="2" spans="1:38" ht="16.350000000000001" x14ac:dyDescent="0.5">
      <c r="AC2" t="s">
        <v>84</v>
      </c>
      <c r="AD2" t="s">
        <v>66</v>
      </c>
      <c r="AE2" t="s">
        <v>67</v>
      </c>
      <c r="AF2" t="s">
        <v>68</v>
      </c>
      <c r="AG2" t="s">
        <v>88</v>
      </c>
      <c r="AH2" t="s">
        <v>89</v>
      </c>
      <c r="AI2" t="s">
        <v>90</v>
      </c>
      <c r="AJ2" t="s">
        <v>91</v>
      </c>
      <c r="AK2" t="s">
        <v>92</v>
      </c>
      <c r="AL2" t="s">
        <v>93</v>
      </c>
    </row>
    <row r="3" spans="1:38" ht="16.350000000000001" x14ac:dyDescent="0.5">
      <c r="AB3" t="s">
        <v>76</v>
      </c>
      <c r="AC3" t="s">
        <v>83</v>
      </c>
      <c r="AD3" t="s">
        <v>82</v>
      </c>
      <c r="AE3" t="s">
        <v>82</v>
      </c>
      <c r="AF3" t="s">
        <v>82</v>
      </c>
      <c r="AG3" t="s">
        <v>87</v>
      </c>
      <c r="AH3" t="s">
        <v>87</v>
      </c>
      <c r="AI3" t="s">
        <v>87</v>
      </c>
      <c r="AJ3" t="s">
        <v>94</v>
      </c>
      <c r="AK3" t="s">
        <v>94</v>
      </c>
      <c r="AL3" t="s">
        <v>94</v>
      </c>
    </row>
    <row r="4" spans="1:38" x14ac:dyDescent="0.5">
      <c r="B4" s="27" t="s">
        <v>62</v>
      </c>
      <c r="C4" s="28"/>
      <c r="D4" s="27" t="s">
        <v>63</v>
      </c>
      <c r="E4" s="28"/>
      <c r="F4" s="27"/>
      <c r="G4" s="27"/>
      <c r="H4" s="27"/>
      <c r="I4" s="27"/>
      <c r="J4" s="27"/>
      <c r="K4" s="30" t="s">
        <v>80</v>
      </c>
      <c r="R4" s="33" t="s">
        <v>62</v>
      </c>
      <c r="S4" s="33"/>
      <c r="T4" s="33" t="s">
        <v>63</v>
      </c>
      <c r="U4" s="33"/>
      <c r="V4" s="33"/>
      <c r="W4" s="33"/>
      <c r="X4" s="33"/>
      <c r="Y4" s="33"/>
      <c r="Z4" s="33"/>
      <c r="AB4">
        <v>1</v>
      </c>
      <c r="AC4">
        <f>S5/10000000000</f>
        <v>0</v>
      </c>
      <c r="AD4">
        <f>W5</f>
        <v>0</v>
      </c>
      <c r="AE4">
        <f>W6</f>
        <v>0</v>
      </c>
      <c r="AF4">
        <f>W7</f>
        <v>0</v>
      </c>
      <c r="AG4" t="e">
        <f>(10000000)*(1000*AD4)/(10000000000*AC4)</f>
        <v>#DIV/0!</v>
      </c>
      <c r="AH4" t="e">
        <f>(10000000)*(1000*AE4)/(10000000000*AC4)</f>
        <v>#DIV/0!</v>
      </c>
      <c r="AI4" t="e">
        <f>(10000000)*(1000*AF4)/(10000000000*AC4)</f>
        <v>#DIV/0!</v>
      </c>
      <c r="AJ4" t="e">
        <f t="shared" ref="AJ4:AL9" si="0">(kBoltz*TdegK)/(6*PI()*EtaP*AG4/10000000)*10000000</f>
        <v>#DIV/0!</v>
      </c>
      <c r="AK4" t="e">
        <f t="shared" si="0"/>
        <v>#DIV/0!</v>
      </c>
      <c r="AL4" t="e">
        <f t="shared" si="0"/>
        <v>#DIV/0!</v>
      </c>
    </row>
    <row r="5" spans="1:38" ht="16.350000000000001" x14ac:dyDescent="0.5">
      <c r="B5" s="27" t="s">
        <v>69</v>
      </c>
      <c r="C5" s="31">
        <f>(4*PI()*Refin*SIN(RADIANS(C4/2))/LamCM)^2</f>
        <v>0</v>
      </c>
      <c r="D5" s="27" t="s">
        <v>64</v>
      </c>
      <c r="E5" s="28">
        <v>0.5</v>
      </c>
      <c r="F5" s="27" t="s">
        <v>66</v>
      </c>
      <c r="G5" s="28">
        <v>1</v>
      </c>
      <c r="H5" s="27" t="s">
        <v>82</v>
      </c>
      <c r="I5" s="27" t="s">
        <v>75</v>
      </c>
      <c r="J5" s="28">
        <v>10</v>
      </c>
      <c r="K5" s="27">
        <f>J5+10</f>
        <v>20</v>
      </c>
      <c r="R5" s="33" t="s">
        <v>81</v>
      </c>
      <c r="S5" s="33"/>
      <c r="T5" s="33" t="s">
        <v>64</v>
      </c>
      <c r="U5" s="33"/>
      <c r="V5" s="33" t="s">
        <v>66</v>
      </c>
      <c r="W5" s="33"/>
      <c r="X5" s="33" t="s">
        <v>82</v>
      </c>
      <c r="Y5" s="33" t="s">
        <v>75</v>
      </c>
      <c r="Z5" s="33"/>
      <c r="AB5">
        <v>2</v>
      </c>
      <c r="AC5">
        <f>S10/10000000000</f>
        <v>0</v>
      </c>
      <c r="AD5">
        <f>W10</f>
        <v>0</v>
      </c>
      <c r="AE5">
        <f>W11</f>
        <v>0</v>
      </c>
      <c r="AF5">
        <f>W12</f>
        <v>0</v>
      </c>
      <c r="AG5" t="e">
        <f t="shared" ref="AG5:AG11" si="1">(10000000)*(1000*AD5)/(10000000000*AC5)</f>
        <v>#DIV/0!</v>
      </c>
      <c r="AH5" t="e">
        <f t="shared" ref="AH5:AH11" si="2">(10000000)*(1000*AE5)/(10000000000*AC5)</f>
        <v>#DIV/0!</v>
      </c>
      <c r="AI5" t="e">
        <f t="shared" ref="AI5:AI11" si="3">(10000000)*(1000*AF5)/(10000000000*AC5)</f>
        <v>#DIV/0!</v>
      </c>
      <c r="AJ5" t="e">
        <f t="shared" si="0"/>
        <v>#DIV/0!</v>
      </c>
      <c r="AK5" t="e">
        <f t="shared" si="0"/>
        <v>#DIV/0!</v>
      </c>
      <c r="AL5" t="e">
        <f t="shared" si="0"/>
        <v>#DIV/0!</v>
      </c>
    </row>
    <row r="6" spans="1:38" x14ac:dyDescent="0.5">
      <c r="B6" s="27"/>
      <c r="C6" s="27"/>
      <c r="D6" s="27" t="s">
        <v>17</v>
      </c>
      <c r="E6" s="28">
        <v>0</v>
      </c>
      <c r="F6" s="27" t="s">
        <v>67</v>
      </c>
      <c r="G6" s="28">
        <v>0</v>
      </c>
      <c r="H6" s="27" t="s">
        <v>82</v>
      </c>
      <c r="I6" s="27" t="s">
        <v>79</v>
      </c>
      <c r="J6" s="28">
        <v>128</v>
      </c>
      <c r="K6" s="27">
        <f>J6+10</f>
        <v>138</v>
      </c>
      <c r="R6" s="33"/>
      <c r="S6" s="33"/>
      <c r="T6" s="33" t="s">
        <v>17</v>
      </c>
      <c r="U6" s="33"/>
      <c r="V6" s="33" t="s">
        <v>67</v>
      </c>
      <c r="W6" s="33"/>
      <c r="X6" s="33" t="s">
        <v>82</v>
      </c>
      <c r="Y6" s="33" t="s">
        <v>79</v>
      </c>
      <c r="Z6" s="33"/>
      <c r="AB6">
        <v>3</v>
      </c>
      <c r="AC6">
        <f>S15/10000000000</f>
        <v>0</v>
      </c>
      <c r="AD6">
        <f>W15</f>
        <v>0</v>
      </c>
      <c r="AE6">
        <f>W16</f>
        <v>0</v>
      </c>
      <c r="AF6">
        <f>W17</f>
        <v>0</v>
      </c>
      <c r="AG6" t="e">
        <f t="shared" si="1"/>
        <v>#DIV/0!</v>
      </c>
      <c r="AH6" t="e">
        <f t="shared" si="2"/>
        <v>#DIV/0!</v>
      </c>
      <c r="AI6" t="e">
        <f t="shared" si="3"/>
        <v>#DIV/0!</v>
      </c>
      <c r="AJ6" t="e">
        <f t="shared" si="0"/>
        <v>#DIV/0!</v>
      </c>
      <c r="AK6" t="e">
        <f t="shared" si="0"/>
        <v>#DIV/0!</v>
      </c>
      <c r="AL6" t="e">
        <f t="shared" si="0"/>
        <v>#DIV/0!</v>
      </c>
    </row>
    <row r="7" spans="1:38" x14ac:dyDescent="0.5">
      <c r="B7" s="27"/>
      <c r="C7" s="27"/>
      <c r="D7" s="27" t="s">
        <v>65</v>
      </c>
      <c r="E7" s="28">
        <v>0</v>
      </c>
      <c r="F7" s="27" t="s">
        <v>68</v>
      </c>
      <c r="G7" s="28">
        <v>0</v>
      </c>
      <c r="H7" s="27" t="s">
        <v>82</v>
      </c>
      <c r="I7" s="27"/>
      <c r="J7" s="27"/>
      <c r="K7" s="27"/>
      <c r="R7" s="33"/>
      <c r="S7" s="33"/>
      <c r="T7" s="33" t="s">
        <v>65</v>
      </c>
      <c r="U7" s="33"/>
      <c r="V7" s="33" t="s">
        <v>68</v>
      </c>
      <c r="W7" s="33"/>
      <c r="X7" s="33" t="s">
        <v>82</v>
      </c>
      <c r="Y7" s="33"/>
      <c r="Z7" s="33"/>
      <c r="AB7">
        <v>4</v>
      </c>
      <c r="AC7">
        <f>S20/10000000000</f>
        <v>0</v>
      </c>
      <c r="AD7">
        <f>W20</f>
        <v>0</v>
      </c>
      <c r="AE7">
        <f>W21</f>
        <v>0</v>
      </c>
      <c r="AF7">
        <f>W22</f>
        <v>0</v>
      </c>
      <c r="AG7" t="e">
        <f t="shared" si="1"/>
        <v>#DIV/0!</v>
      </c>
      <c r="AH7" t="e">
        <f t="shared" si="2"/>
        <v>#DIV/0!</v>
      </c>
      <c r="AI7" t="e">
        <f t="shared" si="3"/>
        <v>#DIV/0!</v>
      </c>
      <c r="AJ7" t="e">
        <f t="shared" si="0"/>
        <v>#DIV/0!</v>
      </c>
      <c r="AK7" t="e">
        <f t="shared" si="0"/>
        <v>#DIV/0!</v>
      </c>
      <c r="AL7" t="e">
        <f t="shared" si="0"/>
        <v>#DIV/0!</v>
      </c>
    </row>
    <row r="8" spans="1:38" x14ac:dyDescent="0.5">
      <c r="AB8">
        <v>5</v>
      </c>
      <c r="AC8">
        <f>S25/10000000000</f>
        <v>0</v>
      </c>
      <c r="AD8">
        <f>W25</f>
        <v>0</v>
      </c>
      <c r="AE8">
        <f>W26</f>
        <v>0</v>
      </c>
      <c r="AF8">
        <f>W27</f>
        <v>0</v>
      </c>
      <c r="AG8" t="e">
        <f t="shared" si="1"/>
        <v>#DIV/0!</v>
      </c>
      <c r="AH8" t="e">
        <f t="shared" si="2"/>
        <v>#DIV/0!</v>
      </c>
      <c r="AI8" t="e">
        <f t="shared" si="3"/>
        <v>#DIV/0!</v>
      </c>
      <c r="AJ8" t="e">
        <f t="shared" si="0"/>
        <v>#DIV/0!</v>
      </c>
      <c r="AK8" t="e">
        <f t="shared" si="0"/>
        <v>#DIV/0!</v>
      </c>
      <c r="AL8" t="e">
        <f t="shared" si="0"/>
        <v>#DIV/0!</v>
      </c>
    </row>
    <row r="9" spans="1:38" x14ac:dyDescent="0.5">
      <c r="R9" s="34" t="s">
        <v>62</v>
      </c>
      <c r="S9" s="34"/>
      <c r="T9" s="34" t="s">
        <v>63</v>
      </c>
      <c r="U9" s="34"/>
      <c r="V9" s="34"/>
      <c r="W9" s="34"/>
      <c r="X9" s="34"/>
      <c r="Y9" s="34"/>
      <c r="Z9" s="34"/>
      <c r="AB9">
        <v>6</v>
      </c>
      <c r="AC9">
        <f>S30/10000000000</f>
        <v>0</v>
      </c>
      <c r="AD9">
        <v>0</v>
      </c>
      <c r="AE9">
        <f>W31</f>
        <v>0</v>
      </c>
      <c r="AF9">
        <v>0</v>
      </c>
      <c r="AG9" t="e">
        <f t="shared" si="1"/>
        <v>#DIV/0!</v>
      </c>
      <c r="AH9" t="e">
        <f t="shared" si="2"/>
        <v>#DIV/0!</v>
      </c>
      <c r="AI9" t="e">
        <f t="shared" si="3"/>
        <v>#DIV/0!</v>
      </c>
      <c r="AJ9" t="e">
        <f t="shared" si="0"/>
        <v>#DIV/0!</v>
      </c>
      <c r="AK9" t="e">
        <f t="shared" ref="AK9:AL11" si="4">(kBoltz*TdegK)/(6*PI()*EtaP*AH9/10000000)*10000000</f>
        <v>#DIV/0!</v>
      </c>
      <c r="AL9" t="e">
        <f t="shared" si="4"/>
        <v>#DIV/0!</v>
      </c>
    </row>
    <row r="10" spans="1:38" ht="16.350000000000001" x14ac:dyDescent="0.5">
      <c r="A10" t="s">
        <v>76</v>
      </c>
      <c r="B10" t="s">
        <v>70</v>
      </c>
      <c r="C10" t="s">
        <v>71</v>
      </c>
      <c r="D10" t="s">
        <v>73</v>
      </c>
      <c r="E10" t="s">
        <v>74</v>
      </c>
      <c r="F10" t="s">
        <v>78</v>
      </c>
      <c r="G10" t="s">
        <v>77</v>
      </c>
      <c r="H10" t="s">
        <v>72</v>
      </c>
      <c r="R10" s="34" t="s">
        <v>81</v>
      </c>
      <c r="S10" s="34"/>
      <c r="T10" s="34" t="s">
        <v>64</v>
      </c>
      <c r="U10" s="34"/>
      <c r="V10" s="34" t="s">
        <v>66</v>
      </c>
      <c r="W10" s="34"/>
      <c r="X10" s="34" t="s">
        <v>82</v>
      </c>
      <c r="Y10" s="34" t="s">
        <v>75</v>
      </c>
      <c r="Z10" s="34"/>
      <c r="AB10">
        <v>7</v>
      </c>
      <c r="AC10">
        <f>S35/10000000000</f>
        <v>0</v>
      </c>
      <c r="AD10">
        <f>W35</f>
        <v>0</v>
      </c>
      <c r="AE10">
        <f>W36</f>
        <v>0</v>
      </c>
      <c r="AF10">
        <f>W37</f>
        <v>0</v>
      </c>
      <c r="AG10" t="e">
        <f t="shared" si="1"/>
        <v>#DIV/0!</v>
      </c>
      <c r="AH10" t="e">
        <f t="shared" si="2"/>
        <v>#DIV/0!</v>
      </c>
      <c r="AI10" t="e">
        <f t="shared" si="3"/>
        <v>#DIV/0!</v>
      </c>
      <c r="AJ10" t="e">
        <f>(kBoltz*TdegK)/(6*PI()*EtaP*AG10/10000000)*10000000</f>
        <v>#DIV/0!</v>
      </c>
      <c r="AK10" t="e">
        <f t="shared" si="4"/>
        <v>#DIV/0!</v>
      </c>
      <c r="AL10" t="e">
        <f t="shared" si="4"/>
        <v>#DIV/0!</v>
      </c>
    </row>
    <row r="11" spans="1:38" x14ac:dyDescent="0.5">
      <c r="A11">
        <v>1</v>
      </c>
      <c r="B11">
        <f>C11/1000</f>
        <v>0</v>
      </c>
      <c r="C11" s="29"/>
      <c r="D11" s="29"/>
      <c r="E11">
        <f t="shared" ref="E11:E74" si="5">BaseAdjust+(ampl1*EXP(-gamma1*C11)+ampl2*EXP(-gamma2*C11)+ampl3*EXP(-gamma3*C11))^2</f>
        <v>0.25</v>
      </c>
      <c r="F11">
        <f>D11-E11</f>
        <v>-0.25</v>
      </c>
      <c r="G11">
        <f>F11^2</f>
        <v>6.25E-2</v>
      </c>
      <c r="H11">
        <f ca="1">SUM(INDIRECT("G"&amp;K5&amp;":G"&amp;K6))</f>
        <v>7.4375</v>
      </c>
      <c r="R11" s="34"/>
      <c r="S11" s="34"/>
      <c r="T11" s="34" t="s">
        <v>17</v>
      </c>
      <c r="U11" s="34"/>
      <c r="V11" s="34" t="s">
        <v>67</v>
      </c>
      <c r="W11" s="34"/>
      <c r="X11" s="34" t="s">
        <v>82</v>
      </c>
      <c r="Y11" s="34" t="s">
        <v>79</v>
      </c>
      <c r="Z11" s="34"/>
      <c r="AB11">
        <v>8</v>
      </c>
      <c r="AC11">
        <f>S40/10000000000</f>
        <v>0</v>
      </c>
      <c r="AD11">
        <f>W40</f>
        <v>0</v>
      </c>
      <c r="AE11">
        <f>W41</f>
        <v>0</v>
      </c>
      <c r="AF11">
        <f>W42</f>
        <v>0</v>
      </c>
      <c r="AG11" t="e">
        <f t="shared" si="1"/>
        <v>#DIV/0!</v>
      </c>
      <c r="AH11" t="e">
        <f t="shared" si="2"/>
        <v>#DIV/0!</v>
      </c>
      <c r="AI11" t="e">
        <f t="shared" si="3"/>
        <v>#DIV/0!</v>
      </c>
      <c r="AJ11" t="e">
        <f>(kBoltz*TdegK)/(6*PI()*EtaP*AG11/10000000)*10000000</f>
        <v>#DIV/0!</v>
      </c>
      <c r="AK11" t="e">
        <f t="shared" si="4"/>
        <v>#DIV/0!</v>
      </c>
      <c r="AL11" t="e">
        <f t="shared" si="4"/>
        <v>#DIV/0!</v>
      </c>
    </row>
    <row r="12" spans="1:38" x14ac:dyDescent="0.5">
      <c r="A12">
        <v>2</v>
      </c>
      <c r="B12">
        <f t="shared" ref="B12:B75" si="6">C12/1000</f>
        <v>0</v>
      </c>
      <c r="C12" s="28"/>
      <c r="D12" s="28"/>
      <c r="E12">
        <f t="shared" si="5"/>
        <v>0.25</v>
      </c>
      <c r="F12">
        <f t="shared" ref="F12:F75" si="7">D12-E12</f>
        <v>-0.25</v>
      </c>
      <c r="G12">
        <f t="shared" ref="G12:G75" si="8">F12^2</f>
        <v>6.25E-2</v>
      </c>
      <c r="R12" s="34"/>
      <c r="S12" s="34"/>
      <c r="T12" s="34" t="s">
        <v>65</v>
      </c>
      <c r="U12" s="34"/>
      <c r="V12" s="34" t="s">
        <v>68</v>
      </c>
      <c r="W12" s="34"/>
      <c r="X12" s="34" t="s">
        <v>82</v>
      </c>
      <c r="Y12" s="34"/>
      <c r="Z12" s="34"/>
    </row>
    <row r="13" spans="1:38" x14ac:dyDescent="0.5">
      <c r="A13">
        <v>3</v>
      </c>
      <c r="B13">
        <f t="shared" si="6"/>
        <v>0</v>
      </c>
      <c r="C13" s="28"/>
      <c r="D13" s="28"/>
      <c r="E13">
        <f t="shared" si="5"/>
        <v>0.25</v>
      </c>
      <c r="F13">
        <f t="shared" si="7"/>
        <v>-0.25</v>
      </c>
      <c r="G13">
        <f t="shared" si="8"/>
        <v>6.25E-2</v>
      </c>
    </row>
    <row r="14" spans="1:38" x14ac:dyDescent="0.5">
      <c r="A14">
        <v>4</v>
      </c>
      <c r="B14">
        <f t="shared" si="6"/>
        <v>0</v>
      </c>
      <c r="C14" s="28"/>
      <c r="D14" s="28"/>
      <c r="E14">
        <f t="shared" si="5"/>
        <v>0.25</v>
      </c>
      <c r="F14">
        <f t="shared" si="7"/>
        <v>-0.25</v>
      </c>
      <c r="G14">
        <f t="shared" si="8"/>
        <v>6.25E-2</v>
      </c>
      <c r="R14" s="35" t="s">
        <v>62</v>
      </c>
      <c r="S14" s="35"/>
      <c r="T14" s="35" t="s">
        <v>63</v>
      </c>
      <c r="U14" s="35"/>
      <c r="V14" s="35"/>
      <c r="W14" s="35"/>
      <c r="X14" s="35"/>
      <c r="Y14" s="35"/>
      <c r="Z14" s="35"/>
    </row>
    <row r="15" spans="1:38" x14ac:dyDescent="0.5">
      <c r="A15">
        <v>5</v>
      </c>
      <c r="B15">
        <f t="shared" si="6"/>
        <v>0</v>
      </c>
      <c r="C15" s="28"/>
      <c r="D15" s="28"/>
      <c r="E15">
        <f t="shared" si="5"/>
        <v>0.25</v>
      </c>
      <c r="F15">
        <f t="shared" si="7"/>
        <v>-0.25</v>
      </c>
      <c r="G15">
        <f t="shared" si="8"/>
        <v>6.25E-2</v>
      </c>
      <c r="R15" s="35" t="s">
        <v>81</v>
      </c>
      <c r="S15" s="35"/>
      <c r="T15" s="35" t="s">
        <v>64</v>
      </c>
      <c r="U15" s="35"/>
      <c r="V15" s="35" t="s">
        <v>66</v>
      </c>
      <c r="W15" s="35"/>
      <c r="X15" s="35" t="s">
        <v>82</v>
      </c>
      <c r="Y15" s="35" t="s">
        <v>75</v>
      </c>
      <c r="Z15" s="35"/>
    </row>
    <row r="16" spans="1:38" x14ac:dyDescent="0.5">
      <c r="A16">
        <v>6</v>
      </c>
      <c r="B16">
        <f t="shared" si="6"/>
        <v>0</v>
      </c>
      <c r="C16" s="28"/>
      <c r="D16" s="28"/>
      <c r="E16">
        <f t="shared" si="5"/>
        <v>0.25</v>
      </c>
      <c r="F16">
        <f t="shared" si="7"/>
        <v>-0.25</v>
      </c>
      <c r="G16">
        <f t="shared" si="8"/>
        <v>6.25E-2</v>
      </c>
      <c r="R16" s="35"/>
      <c r="S16" s="35"/>
      <c r="T16" s="35" t="s">
        <v>17</v>
      </c>
      <c r="U16" s="35"/>
      <c r="V16" s="35" t="s">
        <v>67</v>
      </c>
      <c r="W16" s="35"/>
      <c r="X16" s="35" t="s">
        <v>82</v>
      </c>
      <c r="Y16" s="35" t="s">
        <v>79</v>
      </c>
      <c r="Z16" s="35"/>
    </row>
    <row r="17" spans="1:26" x14ac:dyDescent="0.5">
      <c r="A17">
        <v>7</v>
      </c>
      <c r="B17">
        <f t="shared" si="6"/>
        <v>0</v>
      </c>
      <c r="C17" s="28"/>
      <c r="D17" s="28"/>
      <c r="E17">
        <f t="shared" si="5"/>
        <v>0.25</v>
      </c>
      <c r="F17">
        <f t="shared" si="7"/>
        <v>-0.25</v>
      </c>
      <c r="G17">
        <f t="shared" si="8"/>
        <v>6.25E-2</v>
      </c>
      <c r="R17" s="35"/>
      <c r="S17" s="35"/>
      <c r="T17" s="35" t="s">
        <v>65</v>
      </c>
      <c r="U17" s="35"/>
      <c r="V17" s="35" t="s">
        <v>68</v>
      </c>
      <c r="W17" s="35"/>
      <c r="X17" s="35" t="s">
        <v>82</v>
      </c>
      <c r="Y17" s="35"/>
      <c r="Z17" s="35"/>
    </row>
    <row r="18" spans="1:26" x14ac:dyDescent="0.5">
      <c r="A18">
        <v>8</v>
      </c>
      <c r="B18">
        <f t="shared" si="6"/>
        <v>0</v>
      </c>
      <c r="C18" s="28"/>
      <c r="D18" s="28"/>
      <c r="E18">
        <f t="shared" si="5"/>
        <v>0.25</v>
      </c>
      <c r="F18">
        <f t="shared" si="7"/>
        <v>-0.25</v>
      </c>
      <c r="G18">
        <f t="shared" si="8"/>
        <v>6.25E-2</v>
      </c>
    </row>
    <row r="19" spans="1:26" x14ac:dyDescent="0.5">
      <c r="A19">
        <v>9</v>
      </c>
      <c r="B19">
        <f t="shared" si="6"/>
        <v>0</v>
      </c>
      <c r="C19" s="28"/>
      <c r="D19" s="28"/>
      <c r="E19">
        <f t="shared" si="5"/>
        <v>0.25</v>
      </c>
      <c r="F19">
        <f t="shared" si="7"/>
        <v>-0.25</v>
      </c>
      <c r="G19">
        <f t="shared" si="8"/>
        <v>6.25E-2</v>
      </c>
      <c r="R19" s="36" t="s">
        <v>62</v>
      </c>
      <c r="S19" s="36"/>
      <c r="T19" s="36" t="s">
        <v>63</v>
      </c>
      <c r="U19" s="36"/>
      <c r="V19" s="36"/>
      <c r="W19" s="36"/>
      <c r="X19" s="36"/>
      <c r="Y19" s="36"/>
      <c r="Z19" s="36"/>
    </row>
    <row r="20" spans="1:26" x14ac:dyDescent="0.5">
      <c r="A20">
        <v>10</v>
      </c>
      <c r="B20">
        <f t="shared" si="6"/>
        <v>0</v>
      </c>
      <c r="C20" s="28"/>
      <c r="D20" s="28"/>
      <c r="E20">
        <f t="shared" si="5"/>
        <v>0.25</v>
      </c>
      <c r="F20">
        <f t="shared" si="7"/>
        <v>-0.25</v>
      </c>
      <c r="G20">
        <f t="shared" si="8"/>
        <v>6.25E-2</v>
      </c>
      <c r="R20" s="36" t="s">
        <v>81</v>
      </c>
      <c r="S20" s="36"/>
      <c r="T20" s="36" t="s">
        <v>64</v>
      </c>
      <c r="U20" s="36"/>
      <c r="V20" s="36" t="s">
        <v>66</v>
      </c>
      <c r="W20" s="36"/>
      <c r="X20" s="36" t="s">
        <v>82</v>
      </c>
      <c r="Y20" s="36" t="s">
        <v>75</v>
      </c>
      <c r="Z20" s="36"/>
    </row>
    <row r="21" spans="1:26" x14ac:dyDescent="0.5">
      <c r="A21">
        <v>11</v>
      </c>
      <c r="B21">
        <f t="shared" si="6"/>
        <v>0</v>
      </c>
      <c r="C21" s="28"/>
      <c r="D21" s="28"/>
      <c r="E21">
        <f t="shared" si="5"/>
        <v>0.25</v>
      </c>
      <c r="F21">
        <f t="shared" si="7"/>
        <v>-0.25</v>
      </c>
      <c r="G21">
        <f t="shared" si="8"/>
        <v>6.25E-2</v>
      </c>
      <c r="R21" s="36"/>
      <c r="S21" s="36"/>
      <c r="T21" s="36" t="s">
        <v>17</v>
      </c>
      <c r="U21" s="36"/>
      <c r="V21" s="36" t="s">
        <v>67</v>
      </c>
      <c r="W21" s="36"/>
      <c r="X21" s="36" t="s">
        <v>82</v>
      </c>
      <c r="Y21" s="36" t="s">
        <v>79</v>
      </c>
      <c r="Z21" s="36"/>
    </row>
    <row r="22" spans="1:26" x14ac:dyDescent="0.5">
      <c r="A22">
        <v>12</v>
      </c>
      <c r="B22">
        <f t="shared" si="6"/>
        <v>0</v>
      </c>
      <c r="C22" s="28"/>
      <c r="D22" s="28"/>
      <c r="E22">
        <f t="shared" si="5"/>
        <v>0.25</v>
      </c>
      <c r="F22">
        <f t="shared" si="7"/>
        <v>-0.25</v>
      </c>
      <c r="G22">
        <f t="shared" si="8"/>
        <v>6.25E-2</v>
      </c>
      <c r="R22" s="36"/>
      <c r="S22" s="36"/>
      <c r="T22" s="36" t="s">
        <v>65</v>
      </c>
      <c r="U22" s="36"/>
      <c r="V22" s="36" t="s">
        <v>68</v>
      </c>
      <c r="W22" s="36"/>
      <c r="X22" s="36" t="s">
        <v>82</v>
      </c>
      <c r="Y22" s="36"/>
      <c r="Z22" s="36"/>
    </row>
    <row r="23" spans="1:26" x14ac:dyDescent="0.5">
      <c r="A23">
        <v>13</v>
      </c>
      <c r="B23">
        <f t="shared" si="6"/>
        <v>0</v>
      </c>
      <c r="C23" s="28"/>
      <c r="D23" s="28"/>
      <c r="E23">
        <f t="shared" si="5"/>
        <v>0.25</v>
      </c>
      <c r="F23">
        <f t="shared" si="7"/>
        <v>-0.25</v>
      </c>
      <c r="G23">
        <f t="shared" si="8"/>
        <v>6.25E-2</v>
      </c>
    </row>
    <row r="24" spans="1:26" x14ac:dyDescent="0.5">
      <c r="A24">
        <v>14</v>
      </c>
      <c r="B24">
        <f t="shared" si="6"/>
        <v>0</v>
      </c>
      <c r="C24" s="28"/>
      <c r="D24" s="28"/>
      <c r="E24">
        <f t="shared" si="5"/>
        <v>0.25</v>
      </c>
      <c r="F24">
        <f t="shared" si="7"/>
        <v>-0.25</v>
      </c>
      <c r="G24">
        <f t="shared" si="8"/>
        <v>6.25E-2</v>
      </c>
      <c r="R24" s="37" t="s">
        <v>62</v>
      </c>
      <c r="S24" s="37"/>
      <c r="T24" s="37" t="s">
        <v>63</v>
      </c>
      <c r="U24" s="37"/>
      <c r="V24" s="37"/>
      <c r="W24" s="37"/>
      <c r="X24" s="37"/>
      <c r="Y24" s="37"/>
      <c r="Z24" s="37"/>
    </row>
    <row r="25" spans="1:26" x14ac:dyDescent="0.5">
      <c r="A25">
        <v>15</v>
      </c>
      <c r="B25">
        <f t="shared" si="6"/>
        <v>0</v>
      </c>
      <c r="C25" s="28"/>
      <c r="D25" s="28"/>
      <c r="E25">
        <f t="shared" si="5"/>
        <v>0.25</v>
      </c>
      <c r="F25">
        <f t="shared" si="7"/>
        <v>-0.25</v>
      </c>
      <c r="G25">
        <f t="shared" si="8"/>
        <v>6.25E-2</v>
      </c>
      <c r="R25" s="37" t="s">
        <v>81</v>
      </c>
      <c r="S25" s="37"/>
      <c r="T25" s="37" t="s">
        <v>64</v>
      </c>
      <c r="U25" s="37"/>
      <c r="V25" s="37" t="s">
        <v>66</v>
      </c>
      <c r="W25" s="37"/>
      <c r="X25" s="37" t="s">
        <v>82</v>
      </c>
      <c r="Y25" s="37" t="s">
        <v>75</v>
      </c>
      <c r="Z25" s="37"/>
    </row>
    <row r="26" spans="1:26" x14ac:dyDescent="0.5">
      <c r="A26">
        <v>16</v>
      </c>
      <c r="B26">
        <f t="shared" si="6"/>
        <v>0</v>
      </c>
      <c r="C26" s="28"/>
      <c r="D26" s="28"/>
      <c r="E26">
        <f t="shared" si="5"/>
        <v>0.25</v>
      </c>
      <c r="F26">
        <f t="shared" si="7"/>
        <v>-0.25</v>
      </c>
      <c r="G26">
        <f t="shared" si="8"/>
        <v>6.25E-2</v>
      </c>
      <c r="R26" s="37"/>
      <c r="S26" s="37"/>
      <c r="T26" s="37" t="s">
        <v>17</v>
      </c>
      <c r="U26" s="37"/>
      <c r="V26" s="37" t="s">
        <v>67</v>
      </c>
      <c r="W26" s="37"/>
      <c r="X26" s="37" t="s">
        <v>82</v>
      </c>
      <c r="Y26" s="37" t="s">
        <v>79</v>
      </c>
      <c r="Z26" s="37"/>
    </row>
    <row r="27" spans="1:26" x14ac:dyDescent="0.5">
      <c r="A27">
        <v>17</v>
      </c>
      <c r="B27">
        <f t="shared" si="6"/>
        <v>0</v>
      </c>
      <c r="C27" s="28"/>
      <c r="D27" s="28"/>
      <c r="E27">
        <f t="shared" si="5"/>
        <v>0.25</v>
      </c>
      <c r="F27">
        <f t="shared" si="7"/>
        <v>-0.25</v>
      </c>
      <c r="G27">
        <f t="shared" si="8"/>
        <v>6.25E-2</v>
      </c>
      <c r="R27" s="37"/>
      <c r="S27" s="37"/>
      <c r="T27" s="37" t="s">
        <v>65</v>
      </c>
      <c r="U27" s="37"/>
      <c r="V27" s="37" t="s">
        <v>68</v>
      </c>
      <c r="W27" s="37"/>
      <c r="X27" s="37" t="s">
        <v>82</v>
      </c>
      <c r="Y27" s="37"/>
      <c r="Z27" s="37"/>
    </row>
    <row r="28" spans="1:26" x14ac:dyDescent="0.5">
      <c r="A28">
        <v>18</v>
      </c>
      <c r="B28">
        <f t="shared" si="6"/>
        <v>0</v>
      </c>
      <c r="C28" s="28"/>
      <c r="D28" s="28"/>
      <c r="E28">
        <f t="shared" si="5"/>
        <v>0.25</v>
      </c>
      <c r="F28">
        <f t="shared" si="7"/>
        <v>-0.25</v>
      </c>
      <c r="G28">
        <f t="shared" si="8"/>
        <v>6.25E-2</v>
      </c>
    </row>
    <row r="29" spans="1:26" x14ac:dyDescent="0.5">
      <c r="A29">
        <v>19</v>
      </c>
      <c r="B29">
        <f t="shared" si="6"/>
        <v>0</v>
      </c>
      <c r="C29" s="28"/>
      <c r="D29" s="28"/>
      <c r="E29">
        <f t="shared" si="5"/>
        <v>0.25</v>
      </c>
      <c r="F29">
        <f t="shared" si="7"/>
        <v>-0.25</v>
      </c>
      <c r="G29">
        <f t="shared" si="8"/>
        <v>6.25E-2</v>
      </c>
      <c r="R29" s="38" t="s">
        <v>62</v>
      </c>
      <c r="S29" s="38"/>
      <c r="T29" s="38" t="s">
        <v>63</v>
      </c>
      <c r="U29" s="38"/>
      <c r="V29" s="38"/>
      <c r="W29" s="38"/>
      <c r="X29" s="38"/>
      <c r="Y29" s="38"/>
      <c r="Z29" s="38"/>
    </row>
    <row r="30" spans="1:26" x14ac:dyDescent="0.5">
      <c r="A30">
        <v>20</v>
      </c>
      <c r="B30">
        <f t="shared" si="6"/>
        <v>0</v>
      </c>
      <c r="C30" s="28"/>
      <c r="D30" s="28"/>
      <c r="E30">
        <f t="shared" si="5"/>
        <v>0.25</v>
      </c>
      <c r="F30">
        <f t="shared" si="7"/>
        <v>-0.25</v>
      </c>
      <c r="G30">
        <f t="shared" si="8"/>
        <v>6.25E-2</v>
      </c>
      <c r="R30" s="38" t="s">
        <v>81</v>
      </c>
      <c r="S30" s="38"/>
      <c r="T30" s="38" t="s">
        <v>64</v>
      </c>
      <c r="U30" s="38"/>
      <c r="V30" s="38" t="s">
        <v>66</v>
      </c>
      <c r="W30" s="38"/>
      <c r="X30" s="38" t="s">
        <v>82</v>
      </c>
      <c r="Y30" s="38" t="s">
        <v>75</v>
      </c>
      <c r="Z30" s="38"/>
    </row>
    <row r="31" spans="1:26" x14ac:dyDescent="0.5">
      <c r="A31">
        <v>21</v>
      </c>
      <c r="B31">
        <f t="shared" si="6"/>
        <v>0</v>
      </c>
      <c r="C31" s="28"/>
      <c r="D31" s="28"/>
      <c r="E31">
        <f t="shared" si="5"/>
        <v>0.25</v>
      </c>
      <c r="F31">
        <f t="shared" si="7"/>
        <v>-0.25</v>
      </c>
      <c r="G31">
        <f t="shared" si="8"/>
        <v>6.25E-2</v>
      </c>
      <c r="R31" s="38"/>
      <c r="S31" s="38"/>
      <c r="T31" s="38" t="s">
        <v>17</v>
      </c>
      <c r="U31" s="38"/>
      <c r="V31" s="38" t="s">
        <v>67</v>
      </c>
      <c r="W31" s="38"/>
      <c r="X31" s="38" t="s">
        <v>82</v>
      </c>
      <c r="Y31" s="38" t="s">
        <v>79</v>
      </c>
      <c r="Z31" s="38"/>
    </row>
    <row r="32" spans="1:26" x14ac:dyDescent="0.5">
      <c r="A32">
        <v>22</v>
      </c>
      <c r="B32">
        <f t="shared" si="6"/>
        <v>0</v>
      </c>
      <c r="C32" s="28"/>
      <c r="D32" s="28"/>
      <c r="E32">
        <f t="shared" si="5"/>
        <v>0.25</v>
      </c>
      <c r="F32">
        <f t="shared" si="7"/>
        <v>-0.25</v>
      </c>
      <c r="G32">
        <f t="shared" si="8"/>
        <v>6.25E-2</v>
      </c>
      <c r="R32" s="38"/>
      <c r="S32" s="38"/>
      <c r="T32" s="38" t="s">
        <v>65</v>
      </c>
      <c r="U32" s="38"/>
      <c r="V32" s="38" t="s">
        <v>68</v>
      </c>
      <c r="W32" s="38"/>
      <c r="X32" s="38" t="s">
        <v>82</v>
      </c>
      <c r="Y32" s="38"/>
      <c r="Z32" s="38"/>
    </row>
    <row r="33" spans="1:26" x14ac:dyDescent="0.5">
      <c r="A33">
        <v>23</v>
      </c>
      <c r="B33">
        <f t="shared" si="6"/>
        <v>0</v>
      </c>
      <c r="C33" s="28"/>
      <c r="D33" s="28"/>
      <c r="E33">
        <f t="shared" si="5"/>
        <v>0.25</v>
      </c>
      <c r="F33">
        <f t="shared" si="7"/>
        <v>-0.25</v>
      </c>
      <c r="G33">
        <f t="shared" si="8"/>
        <v>6.25E-2</v>
      </c>
    </row>
    <row r="34" spans="1:26" x14ac:dyDescent="0.5">
      <c r="A34">
        <v>24</v>
      </c>
      <c r="B34">
        <f t="shared" si="6"/>
        <v>0</v>
      </c>
      <c r="C34" s="28"/>
      <c r="D34" s="28"/>
      <c r="E34">
        <f t="shared" si="5"/>
        <v>0.25</v>
      </c>
      <c r="F34">
        <f t="shared" si="7"/>
        <v>-0.25</v>
      </c>
      <c r="G34">
        <f t="shared" si="8"/>
        <v>6.25E-2</v>
      </c>
      <c r="R34" s="39" t="s">
        <v>62</v>
      </c>
      <c r="S34" s="39"/>
      <c r="T34" s="39" t="s">
        <v>63</v>
      </c>
      <c r="U34" s="39"/>
      <c r="V34" s="39"/>
      <c r="W34" s="39"/>
      <c r="X34" s="39"/>
      <c r="Y34" s="39"/>
      <c r="Z34" s="39"/>
    </row>
    <row r="35" spans="1:26" x14ac:dyDescent="0.5">
      <c r="A35">
        <v>25</v>
      </c>
      <c r="B35">
        <f t="shared" si="6"/>
        <v>0</v>
      </c>
      <c r="C35" s="28"/>
      <c r="D35" s="28"/>
      <c r="E35">
        <f t="shared" si="5"/>
        <v>0.25</v>
      </c>
      <c r="F35">
        <f t="shared" si="7"/>
        <v>-0.25</v>
      </c>
      <c r="G35">
        <f t="shared" si="8"/>
        <v>6.25E-2</v>
      </c>
      <c r="R35" s="39" t="s">
        <v>81</v>
      </c>
      <c r="S35" s="39"/>
      <c r="T35" s="39" t="s">
        <v>64</v>
      </c>
      <c r="U35" s="39"/>
      <c r="V35" s="39" t="s">
        <v>66</v>
      </c>
      <c r="W35" s="39"/>
      <c r="X35" s="39" t="s">
        <v>82</v>
      </c>
      <c r="Y35" s="39" t="s">
        <v>75</v>
      </c>
      <c r="Z35" s="39"/>
    </row>
    <row r="36" spans="1:26" x14ac:dyDescent="0.5">
      <c r="A36">
        <v>26</v>
      </c>
      <c r="B36">
        <f t="shared" si="6"/>
        <v>0</v>
      </c>
      <c r="C36" s="28"/>
      <c r="D36" s="28"/>
      <c r="E36">
        <f t="shared" si="5"/>
        <v>0.25</v>
      </c>
      <c r="F36">
        <f t="shared" si="7"/>
        <v>-0.25</v>
      </c>
      <c r="G36">
        <f t="shared" si="8"/>
        <v>6.25E-2</v>
      </c>
      <c r="R36" s="39"/>
      <c r="S36" s="39"/>
      <c r="T36" s="39" t="s">
        <v>17</v>
      </c>
      <c r="U36" s="39"/>
      <c r="V36" s="39" t="s">
        <v>67</v>
      </c>
      <c r="W36" s="39"/>
      <c r="X36" s="39" t="s">
        <v>82</v>
      </c>
      <c r="Y36" s="39" t="s">
        <v>79</v>
      </c>
      <c r="Z36" s="39"/>
    </row>
    <row r="37" spans="1:26" x14ac:dyDescent="0.5">
      <c r="A37">
        <v>27</v>
      </c>
      <c r="B37">
        <f t="shared" si="6"/>
        <v>0</v>
      </c>
      <c r="C37" s="28"/>
      <c r="D37" s="28"/>
      <c r="E37">
        <f t="shared" si="5"/>
        <v>0.25</v>
      </c>
      <c r="F37">
        <f t="shared" si="7"/>
        <v>-0.25</v>
      </c>
      <c r="G37">
        <f t="shared" si="8"/>
        <v>6.25E-2</v>
      </c>
      <c r="R37" s="39"/>
      <c r="S37" s="39"/>
      <c r="T37" s="39" t="s">
        <v>65</v>
      </c>
      <c r="U37" s="39"/>
      <c r="V37" s="39" t="s">
        <v>68</v>
      </c>
      <c r="W37" s="39"/>
      <c r="X37" s="39" t="s">
        <v>82</v>
      </c>
      <c r="Y37" s="39"/>
      <c r="Z37" s="39"/>
    </row>
    <row r="38" spans="1:26" x14ac:dyDescent="0.5">
      <c r="A38">
        <v>28</v>
      </c>
      <c r="B38">
        <f t="shared" si="6"/>
        <v>0</v>
      </c>
      <c r="C38" s="28"/>
      <c r="D38" s="28"/>
      <c r="E38">
        <f t="shared" si="5"/>
        <v>0.25</v>
      </c>
      <c r="F38">
        <f t="shared" si="7"/>
        <v>-0.25</v>
      </c>
      <c r="G38">
        <f t="shared" si="8"/>
        <v>6.25E-2</v>
      </c>
    </row>
    <row r="39" spans="1:26" x14ac:dyDescent="0.5">
      <c r="A39">
        <v>29</v>
      </c>
      <c r="B39">
        <f t="shared" si="6"/>
        <v>0</v>
      </c>
      <c r="C39" s="28"/>
      <c r="D39" s="28"/>
      <c r="E39">
        <f t="shared" si="5"/>
        <v>0.25</v>
      </c>
      <c r="F39">
        <f t="shared" si="7"/>
        <v>-0.25</v>
      </c>
      <c r="G39">
        <f t="shared" si="8"/>
        <v>6.25E-2</v>
      </c>
      <c r="R39" s="40" t="s">
        <v>62</v>
      </c>
      <c r="S39" s="40"/>
      <c r="T39" s="40" t="s">
        <v>63</v>
      </c>
      <c r="U39" s="40"/>
      <c r="V39" s="40"/>
      <c r="W39" s="40"/>
      <c r="X39" s="40"/>
      <c r="Y39" s="40"/>
      <c r="Z39" s="40"/>
    </row>
    <row r="40" spans="1:26" x14ac:dyDescent="0.5">
      <c r="A40">
        <v>30</v>
      </c>
      <c r="B40">
        <f t="shared" si="6"/>
        <v>0</v>
      </c>
      <c r="C40" s="28"/>
      <c r="D40" s="28"/>
      <c r="E40">
        <f t="shared" si="5"/>
        <v>0.25</v>
      </c>
      <c r="F40">
        <f t="shared" si="7"/>
        <v>-0.25</v>
      </c>
      <c r="G40">
        <f t="shared" si="8"/>
        <v>6.25E-2</v>
      </c>
      <c r="R40" s="40" t="s">
        <v>81</v>
      </c>
      <c r="S40" s="40"/>
      <c r="T40" s="40" t="s">
        <v>64</v>
      </c>
      <c r="U40" s="40"/>
      <c r="V40" s="40" t="s">
        <v>66</v>
      </c>
      <c r="W40" s="40"/>
      <c r="X40" s="40" t="s">
        <v>82</v>
      </c>
      <c r="Y40" s="40" t="s">
        <v>75</v>
      </c>
      <c r="Z40" s="40"/>
    </row>
    <row r="41" spans="1:26" x14ac:dyDescent="0.5">
      <c r="A41">
        <v>31</v>
      </c>
      <c r="B41">
        <f t="shared" si="6"/>
        <v>0</v>
      </c>
      <c r="C41" s="28"/>
      <c r="D41" s="28"/>
      <c r="E41">
        <f t="shared" si="5"/>
        <v>0.25</v>
      </c>
      <c r="F41">
        <f t="shared" si="7"/>
        <v>-0.25</v>
      </c>
      <c r="G41">
        <f t="shared" si="8"/>
        <v>6.25E-2</v>
      </c>
      <c r="R41" s="40"/>
      <c r="S41" s="40"/>
      <c r="T41" s="40" t="s">
        <v>17</v>
      </c>
      <c r="U41" s="40"/>
      <c r="V41" s="40" t="s">
        <v>67</v>
      </c>
      <c r="W41" s="40"/>
      <c r="X41" s="40" t="s">
        <v>82</v>
      </c>
      <c r="Y41" s="40" t="s">
        <v>79</v>
      </c>
      <c r="Z41" s="40"/>
    </row>
    <row r="42" spans="1:26" x14ac:dyDescent="0.5">
      <c r="A42">
        <v>32</v>
      </c>
      <c r="B42">
        <f t="shared" si="6"/>
        <v>0</v>
      </c>
      <c r="C42" s="28"/>
      <c r="D42" s="28"/>
      <c r="E42">
        <f t="shared" si="5"/>
        <v>0.25</v>
      </c>
      <c r="F42">
        <f t="shared" si="7"/>
        <v>-0.25</v>
      </c>
      <c r="G42">
        <f t="shared" si="8"/>
        <v>6.25E-2</v>
      </c>
      <c r="R42" s="40"/>
      <c r="S42" s="40"/>
      <c r="T42" s="40" t="s">
        <v>65</v>
      </c>
      <c r="U42" s="40"/>
      <c r="V42" s="40" t="s">
        <v>68</v>
      </c>
      <c r="W42" s="40"/>
      <c r="X42" s="40" t="s">
        <v>82</v>
      </c>
      <c r="Y42" s="40"/>
      <c r="Z42" s="40"/>
    </row>
    <row r="43" spans="1:26" x14ac:dyDescent="0.5">
      <c r="A43">
        <v>33</v>
      </c>
      <c r="B43">
        <f t="shared" si="6"/>
        <v>0</v>
      </c>
      <c r="C43" s="28"/>
      <c r="D43" s="28"/>
      <c r="E43">
        <f t="shared" si="5"/>
        <v>0.25</v>
      </c>
      <c r="F43">
        <f t="shared" si="7"/>
        <v>-0.25</v>
      </c>
      <c r="G43">
        <f t="shared" si="8"/>
        <v>6.25E-2</v>
      </c>
    </row>
    <row r="44" spans="1:26" x14ac:dyDescent="0.5">
      <c r="A44">
        <v>34</v>
      </c>
      <c r="B44">
        <f t="shared" si="6"/>
        <v>0</v>
      </c>
      <c r="C44" s="28"/>
      <c r="D44" s="28"/>
      <c r="E44">
        <f t="shared" si="5"/>
        <v>0.25</v>
      </c>
      <c r="F44">
        <f t="shared" si="7"/>
        <v>-0.25</v>
      </c>
      <c r="G44">
        <f t="shared" si="8"/>
        <v>6.25E-2</v>
      </c>
      <c r="R44" s="32"/>
      <c r="S44" s="32"/>
      <c r="T44" s="32"/>
      <c r="U44" s="32"/>
      <c r="V44" s="32"/>
      <c r="W44" s="32"/>
      <c r="X44" s="32"/>
      <c r="Y44" s="32"/>
      <c r="Z44" s="32"/>
    </row>
    <row r="45" spans="1:26" x14ac:dyDescent="0.5">
      <c r="A45">
        <v>35</v>
      </c>
      <c r="B45">
        <f t="shared" si="6"/>
        <v>0</v>
      </c>
      <c r="C45" s="28"/>
      <c r="D45" s="28"/>
      <c r="E45">
        <f t="shared" si="5"/>
        <v>0.25</v>
      </c>
      <c r="F45">
        <f t="shared" si="7"/>
        <v>-0.25</v>
      </c>
      <c r="G45">
        <f t="shared" si="8"/>
        <v>6.25E-2</v>
      </c>
      <c r="R45" s="32"/>
      <c r="S45" s="32"/>
      <c r="T45" s="32"/>
      <c r="U45" s="32"/>
      <c r="V45" s="32"/>
      <c r="W45" s="32"/>
      <c r="X45" s="32"/>
      <c r="Y45" s="32"/>
      <c r="Z45" s="32"/>
    </row>
    <row r="46" spans="1:26" x14ac:dyDescent="0.5">
      <c r="A46">
        <v>36</v>
      </c>
      <c r="B46">
        <f t="shared" si="6"/>
        <v>0</v>
      </c>
      <c r="C46" s="28"/>
      <c r="D46" s="28"/>
      <c r="E46">
        <f t="shared" si="5"/>
        <v>0.25</v>
      </c>
      <c r="F46">
        <f t="shared" si="7"/>
        <v>-0.25</v>
      </c>
      <c r="G46">
        <f t="shared" si="8"/>
        <v>6.25E-2</v>
      </c>
      <c r="R46" s="32"/>
      <c r="S46" s="32"/>
      <c r="T46" s="32"/>
      <c r="U46" s="32"/>
      <c r="V46" s="32"/>
      <c r="W46" s="32"/>
      <c r="X46" s="32"/>
      <c r="Y46" s="32"/>
      <c r="Z46" s="32"/>
    </row>
    <row r="47" spans="1:26" x14ac:dyDescent="0.5">
      <c r="A47">
        <v>37</v>
      </c>
      <c r="B47">
        <f t="shared" si="6"/>
        <v>0</v>
      </c>
      <c r="C47" s="28"/>
      <c r="D47" s="28"/>
      <c r="E47">
        <f t="shared" si="5"/>
        <v>0.25</v>
      </c>
      <c r="F47">
        <f t="shared" si="7"/>
        <v>-0.25</v>
      </c>
      <c r="G47">
        <f t="shared" si="8"/>
        <v>6.25E-2</v>
      </c>
      <c r="R47" s="32"/>
      <c r="S47" s="32"/>
      <c r="T47" s="32"/>
      <c r="U47" s="32"/>
      <c r="V47" s="32"/>
      <c r="W47" s="32"/>
      <c r="X47" s="32"/>
      <c r="Y47" s="32"/>
      <c r="Z47" s="32"/>
    </row>
    <row r="48" spans="1:26" x14ac:dyDescent="0.5">
      <c r="A48">
        <v>38</v>
      </c>
      <c r="B48">
        <f t="shared" si="6"/>
        <v>0</v>
      </c>
      <c r="C48" s="28"/>
      <c r="D48" s="28"/>
      <c r="E48">
        <f t="shared" si="5"/>
        <v>0.25</v>
      </c>
      <c r="F48">
        <f t="shared" si="7"/>
        <v>-0.25</v>
      </c>
      <c r="G48">
        <f t="shared" si="8"/>
        <v>6.25E-2</v>
      </c>
      <c r="R48" s="32"/>
      <c r="S48" s="32"/>
      <c r="T48" s="32"/>
      <c r="U48" s="32"/>
      <c r="V48" s="32"/>
      <c r="W48" s="32"/>
      <c r="X48" s="32"/>
      <c r="Y48" s="32"/>
      <c r="Z48" s="32"/>
    </row>
    <row r="49" spans="1:7" x14ac:dyDescent="0.5">
      <c r="A49">
        <v>39</v>
      </c>
      <c r="B49">
        <f t="shared" si="6"/>
        <v>0</v>
      </c>
      <c r="C49" s="28"/>
      <c r="D49" s="28"/>
      <c r="E49">
        <f t="shared" si="5"/>
        <v>0.25</v>
      </c>
      <c r="F49">
        <f t="shared" si="7"/>
        <v>-0.25</v>
      </c>
      <c r="G49">
        <f t="shared" si="8"/>
        <v>6.25E-2</v>
      </c>
    </row>
    <row r="50" spans="1:7" x14ac:dyDescent="0.5">
      <c r="A50">
        <v>40</v>
      </c>
      <c r="B50">
        <f t="shared" si="6"/>
        <v>0</v>
      </c>
      <c r="C50" s="28"/>
      <c r="D50" s="28"/>
      <c r="E50">
        <f t="shared" si="5"/>
        <v>0.25</v>
      </c>
      <c r="F50">
        <f t="shared" si="7"/>
        <v>-0.25</v>
      </c>
      <c r="G50">
        <f t="shared" si="8"/>
        <v>6.25E-2</v>
      </c>
    </row>
    <row r="51" spans="1:7" x14ac:dyDescent="0.5">
      <c r="A51">
        <v>41</v>
      </c>
      <c r="B51">
        <f t="shared" si="6"/>
        <v>0</v>
      </c>
      <c r="C51" s="28"/>
      <c r="D51" s="28"/>
      <c r="E51">
        <f t="shared" si="5"/>
        <v>0.25</v>
      </c>
      <c r="F51">
        <f t="shared" si="7"/>
        <v>-0.25</v>
      </c>
      <c r="G51">
        <f t="shared" si="8"/>
        <v>6.25E-2</v>
      </c>
    </row>
    <row r="52" spans="1:7" x14ac:dyDescent="0.5">
      <c r="A52">
        <v>42</v>
      </c>
      <c r="B52">
        <f t="shared" si="6"/>
        <v>0</v>
      </c>
      <c r="C52" s="28"/>
      <c r="D52" s="28"/>
      <c r="E52">
        <f t="shared" si="5"/>
        <v>0.25</v>
      </c>
      <c r="F52">
        <f t="shared" si="7"/>
        <v>-0.25</v>
      </c>
      <c r="G52">
        <f t="shared" si="8"/>
        <v>6.25E-2</v>
      </c>
    </row>
    <row r="53" spans="1:7" x14ac:dyDescent="0.5">
      <c r="A53">
        <v>43</v>
      </c>
      <c r="B53">
        <f t="shared" si="6"/>
        <v>0</v>
      </c>
      <c r="C53" s="28"/>
      <c r="D53" s="28"/>
      <c r="E53">
        <f t="shared" si="5"/>
        <v>0.25</v>
      </c>
      <c r="F53">
        <f t="shared" si="7"/>
        <v>-0.25</v>
      </c>
      <c r="G53">
        <f t="shared" si="8"/>
        <v>6.25E-2</v>
      </c>
    </row>
    <row r="54" spans="1:7" x14ac:dyDescent="0.5">
      <c r="A54">
        <v>44</v>
      </c>
      <c r="B54">
        <f t="shared" si="6"/>
        <v>0</v>
      </c>
      <c r="C54" s="28"/>
      <c r="D54" s="28"/>
      <c r="E54">
        <f t="shared" si="5"/>
        <v>0.25</v>
      </c>
      <c r="F54">
        <f t="shared" si="7"/>
        <v>-0.25</v>
      </c>
      <c r="G54">
        <f t="shared" si="8"/>
        <v>6.25E-2</v>
      </c>
    </row>
    <row r="55" spans="1:7" x14ac:dyDescent="0.5">
      <c r="A55">
        <v>45</v>
      </c>
      <c r="B55">
        <f t="shared" si="6"/>
        <v>0</v>
      </c>
      <c r="C55" s="28"/>
      <c r="D55" s="28"/>
      <c r="E55">
        <f t="shared" si="5"/>
        <v>0.25</v>
      </c>
      <c r="F55">
        <f t="shared" si="7"/>
        <v>-0.25</v>
      </c>
      <c r="G55">
        <f t="shared" si="8"/>
        <v>6.25E-2</v>
      </c>
    </row>
    <row r="56" spans="1:7" x14ac:dyDescent="0.5">
      <c r="A56">
        <v>46</v>
      </c>
      <c r="B56">
        <f t="shared" si="6"/>
        <v>0</v>
      </c>
      <c r="C56" s="28"/>
      <c r="D56" s="28"/>
      <c r="E56">
        <f t="shared" si="5"/>
        <v>0.25</v>
      </c>
      <c r="F56">
        <f t="shared" si="7"/>
        <v>-0.25</v>
      </c>
      <c r="G56">
        <f t="shared" si="8"/>
        <v>6.25E-2</v>
      </c>
    </row>
    <row r="57" spans="1:7" x14ac:dyDescent="0.5">
      <c r="A57">
        <v>47</v>
      </c>
      <c r="B57">
        <f t="shared" si="6"/>
        <v>0</v>
      </c>
      <c r="C57" s="28"/>
      <c r="D57" s="28"/>
      <c r="E57">
        <f t="shared" si="5"/>
        <v>0.25</v>
      </c>
      <c r="F57">
        <f t="shared" si="7"/>
        <v>-0.25</v>
      </c>
      <c r="G57">
        <f t="shared" si="8"/>
        <v>6.25E-2</v>
      </c>
    </row>
    <row r="58" spans="1:7" x14ac:dyDescent="0.5">
      <c r="A58">
        <v>48</v>
      </c>
      <c r="B58">
        <f t="shared" si="6"/>
        <v>0</v>
      </c>
      <c r="C58" s="28"/>
      <c r="D58" s="28"/>
      <c r="E58">
        <f t="shared" si="5"/>
        <v>0.25</v>
      </c>
      <c r="F58">
        <f t="shared" si="7"/>
        <v>-0.25</v>
      </c>
      <c r="G58">
        <f t="shared" si="8"/>
        <v>6.25E-2</v>
      </c>
    </row>
    <row r="59" spans="1:7" x14ac:dyDescent="0.5">
      <c r="A59">
        <v>49</v>
      </c>
      <c r="B59">
        <f t="shared" si="6"/>
        <v>0</v>
      </c>
      <c r="C59" s="28"/>
      <c r="D59" s="28"/>
      <c r="E59">
        <f t="shared" si="5"/>
        <v>0.25</v>
      </c>
      <c r="F59">
        <f t="shared" si="7"/>
        <v>-0.25</v>
      </c>
      <c r="G59">
        <f t="shared" si="8"/>
        <v>6.25E-2</v>
      </c>
    </row>
    <row r="60" spans="1:7" x14ac:dyDescent="0.5">
      <c r="A60">
        <v>50</v>
      </c>
      <c r="B60">
        <f t="shared" si="6"/>
        <v>0</v>
      </c>
      <c r="C60" s="28"/>
      <c r="D60" s="28"/>
      <c r="E60">
        <f t="shared" si="5"/>
        <v>0.25</v>
      </c>
      <c r="F60">
        <f t="shared" si="7"/>
        <v>-0.25</v>
      </c>
      <c r="G60">
        <f t="shared" si="8"/>
        <v>6.25E-2</v>
      </c>
    </row>
    <row r="61" spans="1:7" x14ac:dyDescent="0.5">
      <c r="A61">
        <v>51</v>
      </c>
      <c r="B61">
        <f t="shared" si="6"/>
        <v>0</v>
      </c>
      <c r="C61" s="28"/>
      <c r="D61" s="28"/>
      <c r="E61">
        <f t="shared" si="5"/>
        <v>0.25</v>
      </c>
      <c r="F61">
        <f t="shared" si="7"/>
        <v>-0.25</v>
      </c>
      <c r="G61">
        <f t="shared" si="8"/>
        <v>6.25E-2</v>
      </c>
    </row>
    <row r="62" spans="1:7" x14ac:dyDescent="0.5">
      <c r="A62">
        <v>52</v>
      </c>
      <c r="B62">
        <f t="shared" si="6"/>
        <v>0</v>
      </c>
      <c r="C62" s="28"/>
      <c r="D62" s="28"/>
      <c r="E62">
        <f t="shared" si="5"/>
        <v>0.25</v>
      </c>
      <c r="F62">
        <f t="shared" si="7"/>
        <v>-0.25</v>
      </c>
      <c r="G62">
        <f t="shared" si="8"/>
        <v>6.25E-2</v>
      </c>
    </row>
    <row r="63" spans="1:7" x14ac:dyDescent="0.5">
      <c r="A63">
        <v>53</v>
      </c>
      <c r="B63">
        <f t="shared" si="6"/>
        <v>0</v>
      </c>
      <c r="C63" s="28"/>
      <c r="D63" s="28"/>
      <c r="E63">
        <f t="shared" si="5"/>
        <v>0.25</v>
      </c>
      <c r="F63">
        <f t="shared" si="7"/>
        <v>-0.25</v>
      </c>
      <c r="G63">
        <f t="shared" si="8"/>
        <v>6.25E-2</v>
      </c>
    </row>
    <row r="64" spans="1:7" x14ac:dyDescent="0.5">
      <c r="A64">
        <v>54</v>
      </c>
      <c r="B64">
        <f t="shared" si="6"/>
        <v>0</v>
      </c>
      <c r="C64" s="28"/>
      <c r="D64" s="28"/>
      <c r="E64">
        <f t="shared" si="5"/>
        <v>0.25</v>
      </c>
      <c r="F64">
        <f t="shared" si="7"/>
        <v>-0.25</v>
      </c>
      <c r="G64">
        <f t="shared" si="8"/>
        <v>6.25E-2</v>
      </c>
    </row>
    <row r="65" spans="1:7" x14ac:dyDescent="0.5">
      <c r="A65">
        <v>55</v>
      </c>
      <c r="B65">
        <f t="shared" si="6"/>
        <v>0</v>
      </c>
      <c r="C65" s="28"/>
      <c r="D65" s="28"/>
      <c r="E65">
        <f t="shared" si="5"/>
        <v>0.25</v>
      </c>
      <c r="F65">
        <f t="shared" si="7"/>
        <v>-0.25</v>
      </c>
      <c r="G65">
        <f t="shared" si="8"/>
        <v>6.25E-2</v>
      </c>
    </row>
    <row r="66" spans="1:7" x14ac:dyDescent="0.5">
      <c r="A66">
        <v>56</v>
      </c>
      <c r="B66">
        <f t="shared" si="6"/>
        <v>0</v>
      </c>
      <c r="C66" s="28"/>
      <c r="D66" s="28"/>
      <c r="E66">
        <f t="shared" si="5"/>
        <v>0.25</v>
      </c>
      <c r="F66">
        <f t="shared" si="7"/>
        <v>-0.25</v>
      </c>
      <c r="G66">
        <f t="shared" si="8"/>
        <v>6.25E-2</v>
      </c>
    </row>
    <row r="67" spans="1:7" x14ac:dyDescent="0.5">
      <c r="A67">
        <v>57</v>
      </c>
      <c r="B67">
        <f t="shared" si="6"/>
        <v>0</v>
      </c>
      <c r="C67" s="28"/>
      <c r="D67" s="28"/>
      <c r="E67">
        <f t="shared" si="5"/>
        <v>0.25</v>
      </c>
      <c r="F67">
        <f t="shared" si="7"/>
        <v>-0.25</v>
      </c>
      <c r="G67">
        <f t="shared" si="8"/>
        <v>6.25E-2</v>
      </c>
    </row>
    <row r="68" spans="1:7" x14ac:dyDescent="0.5">
      <c r="A68">
        <v>58</v>
      </c>
      <c r="B68">
        <f t="shared" si="6"/>
        <v>0</v>
      </c>
      <c r="C68" s="28"/>
      <c r="D68" s="28"/>
      <c r="E68">
        <f t="shared" si="5"/>
        <v>0.25</v>
      </c>
      <c r="F68">
        <f t="shared" si="7"/>
        <v>-0.25</v>
      </c>
      <c r="G68">
        <f t="shared" si="8"/>
        <v>6.25E-2</v>
      </c>
    </row>
    <row r="69" spans="1:7" x14ac:dyDescent="0.5">
      <c r="A69">
        <v>59</v>
      </c>
      <c r="B69">
        <f t="shared" si="6"/>
        <v>0</v>
      </c>
      <c r="C69" s="28"/>
      <c r="D69" s="28"/>
      <c r="E69">
        <f t="shared" si="5"/>
        <v>0.25</v>
      </c>
      <c r="F69">
        <f t="shared" si="7"/>
        <v>-0.25</v>
      </c>
      <c r="G69">
        <f t="shared" si="8"/>
        <v>6.25E-2</v>
      </c>
    </row>
    <row r="70" spans="1:7" x14ac:dyDescent="0.5">
      <c r="A70">
        <v>60</v>
      </c>
      <c r="B70">
        <f t="shared" si="6"/>
        <v>0</v>
      </c>
      <c r="C70" s="28"/>
      <c r="D70" s="28"/>
      <c r="E70">
        <f t="shared" si="5"/>
        <v>0.25</v>
      </c>
      <c r="F70">
        <f t="shared" si="7"/>
        <v>-0.25</v>
      </c>
      <c r="G70">
        <f t="shared" si="8"/>
        <v>6.25E-2</v>
      </c>
    </row>
    <row r="71" spans="1:7" x14ac:dyDescent="0.5">
      <c r="A71">
        <v>61</v>
      </c>
      <c r="B71">
        <f t="shared" si="6"/>
        <v>0</v>
      </c>
      <c r="C71" s="28"/>
      <c r="D71" s="28"/>
      <c r="E71">
        <f t="shared" si="5"/>
        <v>0.25</v>
      </c>
      <c r="F71">
        <f t="shared" si="7"/>
        <v>-0.25</v>
      </c>
      <c r="G71">
        <f t="shared" si="8"/>
        <v>6.25E-2</v>
      </c>
    </row>
    <row r="72" spans="1:7" x14ac:dyDescent="0.5">
      <c r="A72">
        <v>62</v>
      </c>
      <c r="B72">
        <f t="shared" si="6"/>
        <v>0</v>
      </c>
      <c r="C72" s="28"/>
      <c r="D72" s="28"/>
      <c r="E72">
        <f t="shared" si="5"/>
        <v>0.25</v>
      </c>
      <c r="F72">
        <f t="shared" si="7"/>
        <v>-0.25</v>
      </c>
      <c r="G72">
        <f t="shared" si="8"/>
        <v>6.25E-2</v>
      </c>
    </row>
    <row r="73" spans="1:7" x14ac:dyDescent="0.5">
      <c r="A73">
        <v>63</v>
      </c>
      <c r="B73">
        <f t="shared" si="6"/>
        <v>0</v>
      </c>
      <c r="C73" s="28"/>
      <c r="D73" s="28"/>
      <c r="E73">
        <f t="shared" si="5"/>
        <v>0.25</v>
      </c>
      <c r="F73">
        <f t="shared" si="7"/>
        <v>-0.25</v>
      </c>
      <c r="G73">
        <f t="shared" si="8"/>
        <v>6.25E-2</v>
      </c>
    </row>
    <row r="74" spans="1:7" x14ac:dyDescent="0.5">
      <c r="A74">
        <v>64</v>
      </c>
      <c r="B74">
        <f t="shared" si="6"/>
        <v>0</v>
      </c>
      <c r="C74" s="28"/>
      <c r="D74" s="28"/>
      <c r="E74">
        <f t="shared" si="5"/>
        <v>0.25</v>
      </c>
      <c r="F74">
        <f t="shared" si="7"/>
        <v>-0.25</v>
      </c>
      <c r="G74">
        <f t="shared" si="8"/>
        <v>6.25E-2</v>
      </c>
    </row>
    <row r="75" spans="1:7" x14ac:dyDescent="0.5">
      <c r="A75">
        <v>65</v>
      </c>
      <c r="B75">
        <f t="shared" si="6"/>
        <v>0</v>
      </c>
      <c r="C75" s="28"/>
      <c r="D75" s="28"/>
      <c r="E75">
        <f t="shared" ref="E75:E138" si="9">BaseAdjust+(ampl1*EXP(-gamma1*C75)+ampl2*EXP(-gamma2*C75)+ampl3*EXP(-gamma3*C75))^2</f>
        <v>0.25</v>
      </c>
      <c r="F75">
        <f t="shared" si="7"/>
        <v>-0.25</v>
      </c>
      <c r="G75">
        <f t="shared" si="8"/>
        <v>6.25E-2</v>
      </c>
    </row>
    <row r="76" spans="1:7" x14ac:dyDescent="0.5">
      <c r="A76">
        <v>66</v>
      </c>
      <c r="B76">
        <f t="shared" ref="B76:B139" si="10">C76/1000</f>
        <v>0</v>
      </c>
      <c r="C76" s="28"/>
      <c r="D76" s="28"/>
      <c r="E76">
        <f t="shared" si="9"/>
        <v>0.25</v>
      </c>
      <c r="F76">
        <f t="shared" ref="F76:F139" si="11">D76-E76</f>
        <v>-0.25</v>
      </c>
      <c r="G76">
        <f t="shared" ref="G76:G139" si="12">F76^2</f>
        <v>6.25E-2</v>
      </c>
    </row>
    <row r="77" spans="1:7" x14ac:dyDescent="0.5">
      <c r="A77">
        <v>67</v>
      </c>
      <c r="B77">
        <f t="shared" si="10"/>
        <v>0</v>
      </c>
      <c r="C77" s="28"/>
      <c r="D77" s="28"/>
      <c r="E77">
        <f t="shared" si="9"/>
        <v>0.25</v>
      </c>
      <c r="F77">
        <f t="shared" si="11"/>
        <v>-0.25</v>
      </c>
      <c r="G77">
        <f t="shared" si="12"/>
        <v>6.25E-2</v>
      </c>
    </row>
    <row r="78" spans="1:7" x14ac:dyDescent="0.5">
      <c r="A78">
        <v>68</v>
      </c>
      <c r="B78">
        <f t="shared" si="10"/>
        <v>0</v>
      </c>
      <c r="C78" s="28"/>
      <c r="D78" s="28"/>
      <c r="E78">
        <f t="shared" si="9"/>
        <v>0.25</v>
      </c>
      <c r="F78">
        <f t="shared" si="11"/>
        <v>-0.25</v>
      </c>
      <c r="G78">
        <f t="shared" si="12"/>
        <v>6.25E-2</v>
      </c>
    </row>
    <row r="79" spans="1:7" x14ac:dyDescent="0.5">
      <c r="A79">
        <v>69</v>
      </c>
      <c r="B79">
        <f t="shared" si="10"/>
        <v>0</v>
      </c>
      <c r="C79" s="28"/>
      <c r="D79" s="28"/>
      <c r="E79">
        <f t="shared" si="9"/>
        <v>0.25</v>
      </c>
      <c r="F79">
        <f t="shared" si="11"/>
        <v>-0.25</v>
      </c>
      <c r="G79">
        <f t="shared" si="12"/>
        <v>6.25E-2</v>
      </c>
    </row>
    <row r="80" spans="1:7" x14ac:dyDescent="0.5">
      <c r="A80">
        <v>70</v>
      </c>
      <c r="B80">
        <f t="shared" si="10"/>
        <v>0</v>
      </c>
      <c r="C80" s="28"/>
      <c r="D80" s="28"/>
      <c r="E80">
        <f t="shared" si="9"/>
        <v>0.25</v>
      </c>
      <c r="F80">
        <f t="shared" si="11"/>
        <v>-0.25</v>
      </c>
      <c r="G80">
        <f t="shared" si="12"/>
        <v>6.25E-2</v>
      </c>
    </row>
    <row r="81" spans="1:7" x14ac:dyDescent="0.5">
      <c r="A81">
        <v>71</v>
      </c>
      <c r="B81">
        <f t="shared" si="10"/>
        <v>0</v>
      </c>
      <c r="C81" s="28"/>
      <c r="D81" s="28"/>
      <c r="E81">
        <f t="shared" si="9"/>
        <v>0.25</v>
      </c>
      <c r="F81">
        <f t="shared" si="11"/>
        <v>-0.25</v>
      </c>
      <c r="G81">
        <f t="shared" si="12"/>
        <v>6.25E-2</v>
      </c>
    </row>
    <row r="82" spans="1:7" x14ac:dyDescent="0.5">
      <c r="A82">
        <v>72</v>
      </c>
      <c r="B82">
        <f t="shared" si="10"/>
        <v>0</v>
      </c>
      <c r="C82" s="28"/>
      <c r="D82" s="28"/>
      <c r="E82">
        <f t="shared" si="9"/>
        <v>0.25</v>
      </c>
      <c r="F82">
        <f t="shared" si="11"/>
        <v>-0.25</v>
      </c>
      <c r="G82">
        <f t="shared" si="12"/>
        <v>6.25E-2</v>
      </c>
    </row>
    <row r="83" spans="1:7" x14ac:dyDescent="0.5">
      <c r="A83">
        <v>73</v>
      </c>
      <c r="B83">
        <f t="shared" si="10"/>
        <v>0</v>
      </c>
      <c r="C83" s="28"/>
      <c r="D83" s="28"/>
      <c r="E83">
        <f t="shared" si="9"/>
        <v>0.25</v>
      </c>
      <c r="F83">
        <f t="shared" si="11"/>
        <v>-0.25</v>
      </c>
      <c r="G83">
        <f t="shared" si="12"/>
        <v>6.25E-2</v>
      </c>
    </row>
    <row r="84" spans="1:7" x14ac:dyDescent="0.5">
      <c r="A84">
        <v>74</v>
      </c>
      <c r="B84">
        <f t="shared" si="10"/>
        <v>0</v>
      </c>
      <c r="C84" s="28"/>
      <c r="D84" s="28"/>
      <c r="E84">
        <f t="shared" si="9"/>
        <v>0.25</v>
      </c>
      <c r="F84">
        <f t="shared" si="11"/>
        <v>-0.25</v>
      </c>
      <c r="G84">
        <f t="shared" si="12"/>
        <v>6.25E-2</v>
      </c>
    </row>
    <row r="85" spans="1:7" x14ac:dyDescent="0.5">
      <c r="A85">
        <v>75</v>
      </c>
      <c r="B85">
        <f t="shared" si="10"/>
        <v>0</v>
      </c>
      <c r="C85" s="28"/>
      <c r="D85" s="28"/>
      <c r="E85">
        <f t="shared" si="9"/>
        <v>0.25</v>
      </c>
      <c r="F85">
        <f t="shared" si="11"/>
        <v>-0.25</v>
      </c>
      <c r="G85">
        <f t="shared" si="12"/>
        <v>6.25E-2</v>
      </c>
    </row>
    <row r="86" spans="1:7" x14ac:dyDescent="0.5">
      <c r="A86">
        <v>76</v>
      </c>
      <c r="B86">
        <f t="shared" si="10"/>
        <v>0</v>
      </c>
      <c r="C86" s="28"/>
      <c r="D86" s="28"/>
      <c r="E86">
        <f t="shared" si="9"/>
        <v>0.25</v>
      </c>
      <c r="F86">
        <f t="shared" si="11"/>
        <v>-0.25</v>
      </c>
      <c r="G86">
        <f t="shared" si="12"/>
        <v>6.25E-2</v>
      </c>
    </row>
    <row r="87" spans="1:7" x14ac:dyDescent="0.5">
      <c r="A87">
        <v>77</v>
      </c>
      <c r="B87">
        <f t="shared" si="10"/>
        <v>0</v>
      </c>
      <c r="C87" s="28"/>
      <c r="D87" s="28"/>
      <c r="E87">
        <f t="shared" si="9"/>
        <v>0.25</v>
      </c>
      <c r="F87">
        <f t="shared" si="11"/>
        <v>-0.25</v>
      </c>
      <c r="G87">
        <f t="shared" si="12"/>
        <v>6.25E-2</v>
      </c>
    </row>
    <row r="88" spans="1:7" x14ac:dyDescent="0.5">
      <c r="A88">
        <v>78</v>
      </c>
      <c r="B88">
        <f t="shared" si="10"/>
        <v>0</v>
      </c>
      <c r="C88" s="28"/>
      <c r="D88" s="28"/>
      <c r="E88">
        <f t="shared" si="9"/>
        <v>0.25</v>
      </c>
      <c r="F88">
        <f t="shared" si="11"/>
        <v>-0.25</v>
      </c>
      <c r="G88">
        <f t="shared" si="12"/>
        <v>6.25E-2</v>
      </c>
    </row>
    <row r="89" spans="1:7" x14ac:dyDescent="0.5">
      <c r="A89">
        <v>79</v>
      </c>
      <c r="B89">
        <f t="shared" si="10"/>
        <v>0</v>
      </c>
      <c r="C89" s="28"/>
      <c r="D89" s="28"/>
      <c r="E89">
        <f t="shared" si="9"/>
        <v>0.25</v>
      </c>
      <c r="F89">
        <f t="shared" si="11"/>
        <v>-0.25</v>
      </c>
      <c r="G89">
        <f t="shared" si="12"/>
        <v>6.25E-2</v>
      </c>
    </row>
    <row r="90" spans="1:7" x14ac:dyDescent="0.5">
      <c r="A90">
        <v>80</v>
      </c>
      <c r="B90">
        <f t="shared" si="10"/>
        <v>0</v>
      </c>
      <c r="C90" s="28"/>
      <c r="D90" s="28"/>
      <c r="E90">
        <f t="shared" si="9"/>
        <v>0.25</v>
      </c>
      <c r="F90">
        <f t="shared" si="11"/>
        <v>-0.25</v>
      </c>
      <c r="G90">
        <f t="shared" si="12"/>
        <v>6.25E-2</v>
      </c>
    </row>
    <row r="91" spans="1:7" x14ac:dyDescent="0.5">
      <c r="A91">
        <v>81</v>
      </c>
      <c r="B91">
        <f t="shared" si="10"/>
        <v>0</v>
      </c>
      <c r="C91" s="28"/>
      <c r="D91" s="28"/>
      <c r="E91">
        <f t="shared" si="9"/>
        <v>0.25</v>
      </c>
      <c r="F91">
        <f t="shared" si="11"/>
        <v>-0.25</v>
      </c>
      <c r="G91">
        <f t="shared" si="12"/>
        <v>6.25E-2</v>
      </c>
    </row>
    <row r="92" spans="1:7" x14ac:dyDescent="0.5">
      <c r="A92">
        <v>82</v>
      </c>
      <c r="B92">
        <f t="shared" si="10"/>
        <v>0</v>
      </c>
      <c r="C92" s="28"/>
      <c r="D92" s="28"/>
      <c r="E92">
        <f t="shared" si="9"/>
        <v>0.25</v>
      </c>
      <c r="F92">
        <f t="shared" si="11"/>
        <v>-0.25</v>
      </c>
      <c r="G92">
        <f t="shared" si="12"/>
        <v>6.25E-2</v>
      </c>
    </row>
    <row r="93" spans="1:7" x14ac:dyDescent="0.5">
      <c r="A93">
        <v>83</v>
      </c>
      <c r="B93">
        <f t="shared" si="10"/>
        <v>0</v>
      </c>
      <c r="C93" s="28"/>
      <c r="D93" s="28"/>
      <c r="E93">
        <f t="shared" si="9"/>
        <v>0.25</v>
      </c>
      <c r="F93">
        <f t="shared" si="11"/>
        <v>-0.25</v>
      </c>
      <c r="G93">
        <f t="shared" si="12"/>
        <v>6.25E-2</v>
      </c>
    </row>
    <row r="94" spans="1:7" x14ac:dyDescent="0.5">
      <c r="A94">
        <v>84</v>
      </c>
      <c r="B94">
        <f t="shared" si="10"/>
        <v>0</v>
      </c>
      <c r="C94" s="28"/>
      <c r="D94" s="28"/>
      <c r="E94">
        <f t="shared" si="9"/>
        <v>0.25</v>
      </c>
      <c r="F94">
        <f t="shared" si="11"/>
        <v>-0.25</v>
      </c>
      <c r="G94">
        <f t="shared" si="12"/>
        <v>6.25E-2</v>
      </c>
    </row>
    <row r="95" spans="1:7" x14ac:dyDescent="0.5">
      <c r="A95">
        <v>85</v>
      </c>
      <c r="B95">
        <f t="shared" si="10"/>
        <v>0</v>
      </c>
      <c r="C95" s="28"/>
      <c r="D95" s="28"/>
      <c r="E95">
        <f t="shared" si="9"/>
        <v>0.25</v>
      </c>
      <c r="F95">
        <f t="shared" si="11"/>
        <v>-0.25</v>
      </c>
      <c r="G95">
        <f t="shared" si="12"/>
        <v>6.25E-2</v>
      </c>
    </row>
    <row r="96" spans="1:7" x14ac:dyDescent="0.5">
      <c r="A96">
        <v>86</v>
      </c>
      <c r="B96">
        <f t="shared" si="10"/>
        <v>0</v>
      </c>
      <c r="C96" s="28"/>
      <c r="D96" s="28"/>
      <c r="E96">
        <f t="shared" si="9"/>
        <v>0.25</v>
      </c>
      <c r="F96">
        <f t="shared" si="11"/>
        <v>-0.25</v>
      </c>
      <c r="G96">
        <f t="shared" si="12"/>
        <v>6.25E-2</v>
      </c>
    </row>
    <row r="97" spans="1:7" x14ac:dyDescent="0.5">
      <c r="A97">
        <v>87</v>
      </c>
      <c r="B97">
        <f t="shared" si="10"/>
        <v>0</v>
      </c>
      <c r="C97" s="28"/>
      <c r="D97" s="28"/>
      <c r="E97">
        <f t="shared" si="9"/>
        <v>0.25</v>
      </c>
      <c r="F97">
        <f t="shared" si="11"/>
        <v>-0.25</v>
      </c>
      <c r="G97">
        <f t="shared" si="12"/>
        <v>6.25E-2</v>
      </c>
    </row>
    <row r="98" spans="1:7" x14ac:dyDescent="0.5">
      <c r="A98">
        <v>88</v>
      </c>
      <c r="B98">
        <f t="shared" si="10"/>
        <v>0</v>
      </c>
      <c r="C98" s="28"/>
      <c r="D98" s="28"/>
      <c r="E98">
        <f t="shared" si="9"/>
        <v>0.25</v>
      </c>
      <c r="F98">
        <f t="shared" si="11"/>
        <v>-0.25</v>
      </c>
      <c r="G98">
        <f t="shared" si="12"/>
        <v>6.25E-2</v>
      </c>
    </row>
    <row r="99" spans="1:7" x14ac:dyDescent="0.5">
      <c r="A99">
        <v>89</v>
      </c>
      <c r="B99">
        <f t="shared" si="10"/>
        <v>0</v>
      </c>
      <c r="C99" s="28"/>
      <c r="D99" s="28"/>
      <c r="E99">
        <f t="shared" si="9"/>
        <v>0.25</v>
      </c>
      <c r="F99">
        <f t="shared" si="11"/>
        <v>-0.25</v>
      </c>
      <c r="G99">
        <f t="shared" si="12"/>
        <v>6.25E-2</v>
      </c>
    </row>
    <row r="100" spans="1:7" x14ac:dyDescent="0.5">
      <c r="A100">
        <v>90</v>
      </c>
      <c r="B100">
        <f t="shared" si="10"/>
        <v>0</v>
      </c>
      <c r="C100" s="28"/>
      <c r="D100" s="28"/>
      <c r="E100">
        <f t="shared" si="9"/>
        <v>0.25</v>
      </c>
      <c r="F100">
        <f t="shared" si="11"/>
        <v>-0.25</v>
      </c>
      <c r="G100">
        <f t="shared" si="12"/>
        <v>6.25E-2</v>
      </c>
    </row>
    <row r="101" spans="1:7" x14ac:dyDescent="0.5">
      <c r="A101">
        <v>91</v>
      </c>
      <c r="B101">
        <f t="shared" si="10"/>
        <v>0</v>
      </c>
      <c r="C101" s="28"/>
      <c r="D101" s="28"/>
      <c r="E101">
        <f t="shared" si="9"/>
        <v>0.25</v>
      </c>
      <c r="F101">
        <f t="shared" si="11"/>
        <v>-0.25</v>
      </c>
      <c r="G101">
        <f t="shared" si="12"/>
        <v>6.25E-2</v>
      </c>
    </row>
    <row r="102" spans="1:7" x14ac:dyDescent="0.5">
      <c r="A102">
        <v>92</v>
      </c>
      <c r="B102">
        <f t="shared" si="10"/>
        <v>0</v>
      </c>
      <c r="C102" s="28"/>
      <c r="D102" s="28"/>
      <c r="E102">
        <f t="shared" si="9"/>
        <v>0.25</v>
      </c>
      <c r="F102">
        <f t="shared" si="11"/>
        <v>-0.25</v>
      </c>
      <c r="G102">
        <f t="shared" si="12"/>
        <v>6.25E-2</v>
      </c>
    </row>
    <row r="103" spans="1:7" x14ac:dyDescent="0.5">
      <c r="A103">
        <v>93</v>
      </c>
      <c r="B103">
        <f t="shared" si="10"/>
        <v>0</v>
      </c>
      <c r="C103" s="28"/>
      <c r="D103" s="28"/>
      <c r="E103">
        <f t="shared" si="9"/>
        <v>0.25</v>
      </c>
      <c r="F103">
        <f t="shared" si="11"/>
        <v>-0.25</v>
      </c>
      <c r="G103">
        <f t="shared" si="12"/>
        <v>6.25E-2</v>
      </c>
    </row>
    <row r="104" spans="1:7" x14ac:dyDescent="0.5">
      <c r="A104">
        <v>94</v>
      </c>
      <c r="B104">
        <f t="shared" si="10"/>
        <v>0</v>
      </c>
      <c r="C104" s="28"/>
      <c r="D104" s="28"/>
      <c r="E104">
        <f t="shared" si="9"/>
        <v>0.25</v>
      </c>
      <c r="F104">
        <f t="shared" si="11"/>
        <v>-0.25</v>
      </c>
      <c r="G104">
        <f t="shared" si="12"/>
        <v>6.25E-2</v>
      </c>
    </row>
    <row r="105" spans="1:7" x14ac:dyDescent="0.5">
      <c r="A105">
        <v>95</v>
      </c>
      <c r="B105">
        <f t="shared" si="10"/>
        <v>0</v>
      </c>
      <c r="C105" s="28"/>
      <c r="D105" s="28"/>
      <c r="E105">
        <f t="shared" si="9"/>
        <v>0.25</v>
      </c>
      <c r="F105">
        <f t="shared" si="11"/>
        <v>-0.25</v>
      </c>
      <c r="G105">
        <f t="shared" si="12"/>
        <v>6.25E-2</v>
      </c>
    </row>
    <row r="106" spans="1:7" x14ac:dyDescent="0.5">
      <c r="A106">
        <v>96</v>
      </c>
      <c r="B106">
        <f t="shared" si="10"/>
        <v>0</v>
      </c>
      <c r="C106" s="28"/>
      <c r="D106" s="28"/>
      <c r="E106">
        <f t="shared" si="9"/>
        <v>0.25</v>
      </c>
      <c r="F106">
        <f t="shared" si="11"/>
        <v>-0.25</v>
      </c>
      <c r="G106">
        <f t="shared" si="12"/>
        <v>6.25E-2</v>
      </c>
    </row>
    <row r="107" spans="1:7" x14ac:dyDescent="0.5">
      <c r="A107">
        <v>97</v>
      </c>
      <c r="B107">
        <f t="shared" si="10"/>
        <v>0</v>
      </c>
      <c r="C107" s="28"/>
      <c r="D107" s="28"/>
      <c r="E107">
        <f t="shared" si="9"/>
        <v>0.25</v>
      </c>
      <c r="F107">
        <f t="shared" si="11"/>
        <v>-0.25</v>
      </c>
      <c r="G107">
        <f t="shared" si="12"/>
        <v>6.25E-2</v>
      </c>
    </row>
    <row r="108" spans="1:7" x14ac:dyDescent="0.5">
      <c r="A108">
        <v>98</v>
      </c>
      <c r="B108">
        <f t="shared" si="10"/>
        <v>0</v>
      </c>
      <c r="C108" s="28"/>
      <c r="D108" s="28"/>
      <c r="E108">
        <f t="shared" si="9"/>
        <v>0.25</v>
      </c>
      <c r="F108">
        <f t="shared" si="11"/>
        <v>-0.25</v>
      </c>
      <c r="G108">
        <f t="shared" si="12"/>
        <v>6.25E-2</v>
      </c>
    </row>
    <row r="109" spans="1:7" x14ac:dyDescent="0.5">
      <c r="A109">
        <v>99</v>
      </c>
      <c r="B109">
        <f t="shared" si="10"/>
        <v>0</v>
      </c>
      <c r="C109" s="28"/>
      <c r="D109" s="28"/>
      <c r="E109">
        <f t="shared" si="9"/>
        <v>0.25</v>
      </c>
      <c r="F109">
        <f t="shared" si="11"/>
        <v>-0.25</v>
      </c>
      <c r="G109">
        <f t="shared" si="12"/>
        <v>6.25E-2</v>
      </c>
    </row>
    <row r="110" spans="1:7" x14ac:dyDescent="0.5">
      <c r="A110">
        <v>100</v>
      </c>
      <c r="B110">
        <f t="shared" si="10"/>
        <v>0</v>
      </c>
      <c r="C110" s="28"/>
      <c r="D110" s="28"/>
      <c r="E110">
        <f t="shared" si="9"/>
        <v>0.25</v>
      </c>
      <c r="F110">
        <f t="shared" si="11"/>
        <v>-0.25</v>
      </c>
      <c r="G110">
        <f t="shared" si="12"/>
        <v>6.25E-2</v>
      </c>
    </row>
    <row r="111" spans="1:7" x14ac:dyDescent="0.5">
      <c r="A111">
        <v>101</v>
      </c>
      <c r="B111">
        <f t="shared" si="10"/>
        <v>0</v>
      </c>
      <c r="C111" s="28"/>
      <c r="D111" s="28"/>
      <c r="E111">
        <f t="shared" si="9"/>
        <v>0.25</v>
      </c>
      <c r="F111">
        <f t="shared" si="11"/>
        <v>-0.25</v>
      </c>
      <c r="G111">
        <f t="shared" si="12"/>
        <v>6.25E-2</v>
      </c>
    </row>
    <row r="112" spans="1:7" x14ac:dyDescent="0.5">
      <c r="A112">
        <v>102</v>
      </c>
      <c r="B112">
        <f t="shared" si="10"/>
        <v>0</v>
      </c>
      <c r="C112" s="28"/>
      <c r="D112" s="28"/>
      <c r="E112">
        <f t="shared" si="9"/>
        <v>0.25</v>
      </c>
      <c r="F112">
        <f t="shared" si="11"/>
        <v>-0.25</v>
      </c>
      <c r="G112">
        <f t="shared" si="12"/>
        <v>6.25E-2</v>
      </c>
    </row>
    <row r="113" spans="1:7" x14ac:dyDescent="0.5">
      <c r="A113">
        <v>103</v>
      </c>
      <c r="B113">
        <f t="shared" si="10"/>
        <v>0</v>
      </c>
      <c r="C113" s="28"/>
      <c r="D113" s="28"/>
      <c r="E113">
        <f t="shared" si="9"/>
        <v>0.25</v>
      </c>
      <c r="F113">
        <f t="shared" si="11"/>
        <v>-0.25</v>
      </c>
      <c r="G113">
        <f t="shared" si="12"/>
        <v>6.25E-2</v>
      </c>
    </row>
    <row r="114" spans="1:7" x14ac:dyDescent="0.5">
      <c r="A114">
        <v>104</v>
      </c>
      <c r="B114">
        <f t="shared" si="10"/>
        <v>0</v>
      </c>
      <c r="C114" s="28"/>
      <c r="D114" s="28"/>
      <c r="E114">
        <f t="shared" si="9"/>
        <v>0.25</v>
      </c>
      <c r="F114">
        <f t="shared" si="11"/>
        <v>-0.25</v>
      </c>
      <c r="G114">
        <f t="shared" si="12"/>
        <v>6.25E-2</v>
      </c>
    </row>
    <row r="115" spans="1:7" x14ac:dyDescent="0.5">
      <c r="A115">
        <v>105</v>
      </c>
      <c r="B115">
        <f t="shared" si="10"/>
        <v>0</v>
      </c>
      <c r="C115" s="28"/>
      <c r="D115" s="28"/>
      <c r="E115">
        <f t="shared" si="9"/>
        <v>0.25</v>
      </c>
      <c r="F115">
        <f t="shared" si="11"/>
        <v>-0.25</v>
      </c>
      <c r="G115">
        <f t="shared" si="12"/>
        <v>6.25E-2</v>
      </c>
    </row>
    <row r="116" spans="1:7" x14ac:dyDescent="0.5">
      <c r="A116">
        <v>106</v>
      </c>
      <c r="B116">
        <f t="shared" si="10"/>
        <v>0</v>
      </c>
      <c r="C116" s="28"/>
      <c r="D116" s="28"/>
      <c r="E116">
        <f t="shared" si="9"/>
        <v>0.25</v>
      </c>
      <c r="F116">
        <f t="shared" si="11"/>
        <v>-0.25</v>
      </c>
      <c r="G116">
        <f t="shared" si="12"/>
        <v>6.25E-2</v>
      </c>
    </row>
    <row r="117" spans="1:7" x14ac:dyDescent="0.5">
      <c r="A117">
        <v>107</v>
      </c>
      <c r="B117">
        <f t="shared" si="10"/>
        <v>0</v>
      </c>
      <c r="C117" s="28"/>
      <c r="D117" s="28"/>
      <c r="E117">
        <f t="shared" si="9"/>
        <v>0.25</v>
      </c>
      <c r="F117">
        <f t="shared" si="11"/>
        <v>-0.25</v>
      </c>
      <c r="G117">
        <f t="shared" si="12"/>
        <v>6.25E-2</v>
      </c>
    </row>
    <row r="118" spans="1:7" x14ac:dyDescent="0.5">
      <c r="A118">
        <v>108</v>
      </c>
      <c r="B118">
        <f t="shared" si="10"/>
        <v>0</v>
      </c>
      <c r="C118" s="28"/>
      <c r="D118" s="28"/>
      <c r="E118">
        <f t="shared" si="9"/>
        <v>0.25</v>
      </c>
      <c r="F118">
        <f t="shared" si="11"/>
        <v>-0.25</v>
      </c>
      <c r="G118">
        <f t="shared" si="12"/>
        <v>6.25E-2</v>
      </c>
    </row>
    <row r="119" spans="1:7" x14ac:dyDescent="0.5">
      <c r="A119">
        <v>109</v>
      </c>
      <c r="B119">
        <f t="shared" si="10"/>
        <v>0</v>
      </c>
      <c r="C119" s="28"/>
      <c r="D119" s="28"/>
      <c r="E119">
        <f t="shared" si="9"/>
        <v>0.25</v>
      </c>
      <c r="F119">
        <f t="shared" si="11"/>
        <v>-0.25</v>
      </c>
      <c r="G119">
        <f t="shared" si="12"/>
        <v>6.25E-2</v>
      </c>
    </row>
    <row r="120" spans="1:7" x14ac:dyDescent="0.5">
      <c r="A120">
        <v>110</v>
      </c>
      <c r="B120">
        <f t="shared" si="10"/>
        <v>0</v>
      </c>
      <c r="C120" s="28"/>
      <c r="D120" s="28"/>
      <c r="E120">
        <f t="shared" si="9"/>
        <v>0.25</v>
      </c>
      <c r="F120">
        <f t="shared" si="11"/>
        <v>-0.25</v>
      </c>
      <c r="G120">
        <f t="shared" si="12"/>
        <v>6.25E-2</v>
      </c>
    </row>
    <row r="121" spans="1:7" x14ac:dyDescent="0.5">
      <c r="A121">
        <v>111</v>
      </c>
      <c r="B121">
        <f t="shared" si="10"/>
        <v>0</v>
      </c>
      <c r="C121" s="28"/>
      <c r="D121" s="28"/>
      <c r="E121">
        <f t="shared" si="9"/>
        <v>0.25</v>
      </c>
      <c r="F121">
        <f t="shared" si="11"/>
        <v>-0.25</v>
      </c>
      <c r="G121">
        <f t="shared" si="12"/>
        <v>6.25E-2</v>
      </c>
    </row>
    <row r="122" spans="1:7" x14ac:dyDescent="0.5">
      <c r="A122">
        <v>112</v>
      </c>
      <c r="B122">
        <f t="shared" si="10"/>
        <v>0</v>
      </c>
      <c r="C122" s="28"/>
      <c r="D122" s="28"/>
      <c r="E122">
        <f t="shared" si="9"/>
        <v>0.25</v>
      </c>
      <c r="F122">
        <f t="shared" si="11"/>
        <v>-0.25</v>
      </c>
      <c r="G122">
        <f t="shared" si="12"/>
        <v>6.25E-2</v>
      </c>
    </row>
    <row r="123" spans="1:7" x14ac:dyDescent="0.5">
      <c r="A123">
        <v>113</v>
      </c>
      <c r="B123">
        <f t="shared" si="10"/>
        <v>0</v>
      </c>
      <c r="C123" s="28"/>
      <c r="D123" s="28"/>
      <c r="E123">
        <f t="shared" si="9"/>
        <v>0.25</v>
      </c>
      <c r="F123">
        <f t="shared" si="11"/>
        <v>-0.25</v>
      </c>
      <c r="G123">
        <f t="shared" si="12"/>
        <v>6.25E-2</v>
      </c>
    </row>
    <row r="124" spans="1:7" x14ac:dyDescent="0.5">
      <c r="A124">
        <v>114</v>
      </c>
      <c r="B124">
        <f t="shared" si="10"/>
        <v>0</v>
      </c>
      <c r="C124" s="28"/>
      <c r="D124" s="28"/>
      <c r="E124">
        <f t="shared" si="9"/>
        <v>0.25</v>
      </c>
      <c r="F124">
        <f t="shared" si="11"/>
        <v>-0.25</v>
      </c>
      <c r="G124">
        <f t="shared" si="12"/>
        <v>6.25E-2</v>
      </c>
    </row>
    <row r="125" spans="1:7" x14ac:dyDescent="0.5">
      <c r="A125">
        <v>115</v>
      </c>
      <c r="B125">
        <f t="shared" si="10"/>
        <v>0</v>
      </c>
      <c r="C125" s="28"/>
      <c r="D125" s="28"/>
      <c r="E125">
        <f t="shared" si="9"/>
        <v>0.25</v>
      </c>
      <c r="F125">
        <f t="shared" si="11"/>
        <v>-0.25</v>
      </c>
      <c r="G125">
        <f t="shared" si="12"/>
        <v>6.25E-2</v>
      </c>
    </row>
    <row r="126" spans="1:7" x14ac:dyDescent="0.5">
      <c r="A126">
        <v>116</v>
      </c>
      <c r="B126">
        <f t="shared" si="10"/>
        <v>0</v>
      </c>
      <c r="C126" s="28"/>
      <c r="D126" s="28"/>
      <c r="E126">
        <f t="shared" si="9"/>
        <v>0.25</v>
      </c>
      <c r="F126">
        <f t="shared" si="11"/>
        <v>-0.25</v>
      </c>
      <c r="G126">
        <f t="shared" si="12"/>
        <v>6.25E-2</v>
      </c>
    </row>
    <row r="127" spans="1:7" x14ac:dyDescent="0.5">
      <c r="A127">
        <v>117</v>
      </c>
      <c r="B127">
        <f t="shared" si="10"/>
        <v>0</v>
      </c>
      <c r="C127" s="28"/>
      <c r="D127" s="28"/>
      <c r="E127">
        <f t="shared" si="9"/>
        <v>0.25</v>
      </c>
      <c r="F127">
        <f t="shared" si="11"/>
        <v>-0.25</v>
      </c>
      <c r="G127">
        <f t="shared" si="12"/>
        <v>6.25E-2</v>
      </c>
    </row>
    <row r="128" spans="1:7" x14ac:dyDescent="0.5">
      <c r="A128">
        <v>118</v>
      </c>
      <c r="B128">
        <f t="shared" si="10"/>
        <v>0</v>
      </c>
      <c r="C128" s="28"/>
      <c r="D128" s="28"/>
      <c r="E128">
        <f t="shared" si="9"/>
        <v>0.25</v>
      </c>
      <c r="F128">
        <f t="shared" si="11"/>
        <v>-0.25</v>
      </c>
      <c r="G128">
        <f t="shared" si="12"/>
        <v>6.25E-2</v>
      </c>
    </row>
    <row r="129" spans="1:7" x14ac:dyDescent="0.5">
      <c r="A129">
        <v>119</v>
      </c>
      <c r="B129">
        <f t="shared" si="10"/>
        <v>0</v>
      </c>
      <c r="C129" s="28"/>
      <c r="D129" s="28"/>
      <c r="E129">
        <f t="shared" si="9"/>
        <v>0.25</v>
      </c>
      <c r="F129">
        <f t="shared" si="11"/>
        <v>-0.25</v>
      </c>
      <c r="G129">
        <f t="shared" si="12"/>
        <v>6.25E-2</v>
      </c>
    </row>
    <row r="130" spans="1:7" x14ac:dyDescent="0.5">
      <c r="A130">
        <v>120</v>
      </c>
      <c r="B130">
        <f t="shared" si="10"/>
        <v>0</v>
      </c>
      <c r="C130" s="28"/>
      <c r="D130" s="28"/>
      <c r="E130">
        <f t="shared" si="9"/>
        <v>0.25</v>
      </c>
      <c r="F130">
        <f t="shared" si="11"/>
        <v>-0.25</v>
      </c>
      <c r="G130">
        <f t="shared" si="12"/>
        <v>6.25E-2</v>
      </c>
    </row>
    <row r="131" spans="1:7" x14ac:dyDescent="0.5">
      <c r="A131">
        <v>121</v>
      </c>
      <c r="B131">
        <f t="shared" si="10"/>
        <v>0</v>
      </c>
      <c r="C131" s="28"/>
      <c r="D131" s="28"/>
      <c r="E131">
        <f t="shared" si="9"/>
        <v>0.25</v>
      </c>
      <c r="F131">
        <f t="shared" si="11"/>
        <v>-0.25</v>
      </c>
      <c r="G131">
        <f t="shared" si="12"/>
        <v>6.25E-2</v>
      </c>
    </row>
    <row r="132" spans="1:7" x14ac:dyDescent="0.5">
      <c r="A132">
        <v>122</v>
      </c>
      <c r="B132">
        <f t="shared" si="10"/>
        <v>0</v>
      </c>
      <c r="C132" s="28"/>
      <c r="D132" s="28"/>
      <c r="E132">
        <f t="shared" si="9"/>
        <v>0.25</v>
      </c>
      <c r="F132">
        <f t="shared" si="11"/>
        <v>-0.25</v>
      </c>
      <c r="G132">
        <f t="shared" si="12"/>
        <v>6.25E-2</v>
      </c>
    </row>
    <row r="133" spans="1:7" x14ac:dyDescent="0.5">
      <c r="A133">
        <v>123</v>
      </c>
      <c r="B133">
        <f t="shared" si="10"/>
        <v>0</v>
      </c>
      <c r="C133" s="28"/>
      <c r="D133" s="28"/>
      <c r="E133">
        <f t="shared" si="9"/>
        <v>0.25</v>
      </c>
      <c r="F133">
        <f t="shared" si="11"/>
        <v>-0.25</v>
      </c>
      <c r="G133">
        <f t="shared" si="12"/>
        <v>6.25E-2</v>
      </c>
    </row>
    <row r="134" spans="1:7" x14ac:dyDescent="0.5">
      <c r="A134">
        <v>124</v>
      </c>
      <c r="B134">
        <f t="shared" si="10"/>
        <v>0</v>
      </c>
      <c r="C134" s="28"/>
      <c r="D134" s="28"/>
      <c r="E134">
        <f t="shared" si="9"/>
        <v>0.25</v>
      </c>
      <c r="F134">
        <f t="shared" si="11"/>
        <v>-0.25</v>
      </c>
      <c r="G134">
        <f t="shared" si="12"/>
        <v>6.25E-2</v>
      </c>
    </row>
    <row r="135" spans="1:7" x14ac:dyDescent="0.5">
      <c r="A135">
        <v>125</v>
      </c>
      <c r="B135">
        <f t="shared" si="10"/>
        <v>0</v>
      </c>
      <c r="C135" s="28"/>
      <c r="D135" s="28"/>
      <c r="E135">
        <f t="shared" si="9"/>
        <v>0.25</v>
      </c>
      <c r="F135">
        <f t="shared" si="11"/>
        <v>-0.25</v>
      </c>
      <c r="G135">
        <f t="shared" si="12"/>
        <v>6.25E-2</v>
      </c>
    </row>
    <row r="136" spans="1:7" x14ac:dyDescent="0.5">
      <c r="A136">
        <v>126</v>
      </c>
      <c r="B136">
        <f t="shared" si="10"/>
        <v>0</v>
      </c>
      <c r="C136" s="28"/>
      <c r="D136" s="28"/>
      <c r="E136">
        <f t="shared" si="9"/>
        <v>0.25</v>
      </c>
      <c r="F136">
        <f t="shared" si="11"/>
        <v>-0.25</v>
      </c>
      <c r="G136">
        <f t="shared" si="12"/>
        <v>6.25E-2</v>
      </c>
    </row>
    <row r="137" spans="1:7" x14ac:dyDescent="0.5">
      <c r="A137">
        <v>127</v>
      </c>
      <c r="B137">
        <f t="shared" si="10"/>
        <v>0</v>
      </c>
      <c r="C137" s="28"/>
      <c r="D137" s="28"/>
      <c r="E137">
        <f t="shared" si="9"/>
        <v>0.25</v>
      </c>
      <c r="F137">
        <f t="shared" si="11"/>
        <v>-0.25</v>
      </c>
      <c r="G137">
        <f t="shared" si="12"/>
        <v>6.25E-2</v>
      </c>
    </row>
    <row r="138" spans="1:7" x14ac:dyDescent="0.5">
      <c r="A138">
        <v>128</v>
      </c>
      <c r="B138">
        <f t="shared" si="10"/>
        <v>0</v>
      </c>
      <c r="C138" s="28"/>
      <c r="D138" s="28"/>
      <c r="E138">
        <f t="shared" si="9"/>
        <v>0.25</v>
      </c>
      <c r="F138">
        <f t="shared" si="11"/>
        <v>-0.25</v>
      </c>
      <c r="G138">
        <f t="shared" si="12"/>
        <v>6.25E-2</v>
      </c>
    </row>
    <row r="139" spans="1:7" x14ac:dyDescent="0.5">
      <c r="A139">
        <v>129</v>
      </c>
      <c r="B139">
        <f t="shared" si="10"/>
        <v>0</v>
      </c>
      <c r="C139" s="28"/>
      <c r="D139" s="28"/>
      <c r="E139">
        <f t="shared" ref="E139:E202" si="13">BaseAdjust+(ampl1*EXP(-gamma1*C139)+ampl2*EXP(-gamma2*C139)+ampl3*EXP(-gamma3*C139))^2</f>
        <v>0.25</v>
      </c>
      <c r="F139">
        <f t="shared" si="11"/>
        <v>-0.25</v>
      </c>
      <c r="G139">
        <f t="shared" si="12"/>
        <v>6.25E-2</v>
      </c>
    </row>
    <row r="140" spans="1:7" x14ac:dyDescent="0.5">
      <c r="A140">
        <v>130</v>
      </c>
      <c r="B140">
        <f t="shared" ref="B140:B203" si="14">C140/1000</f>
        <v>0</v>
      </c>
      <c r="C140" s="28"/>
      <c r="D140" s="28"/>
      <c r="E140">
        <f t="shared" si="13"/>
        <v>0.25</v>
      </c>
      <c r="F140">
        <f t="shared" ref="F140:F203" si="15">D140-E140</f>
        <v>-0.25</v>
      </c>
      <c r="G140">
        <f t="shared" ref="G140:G203" si="16">F140^2</f>
        <v>6.25E-2</v>
      </c>
    </row>
    <row r="141" spans="1:7" x14ac:dyDescent="0.5">
      <c r="A141">
        <v>131</v>
      </c>
      <c r="B141">
        <f t="shared" si="14"/>
        <v>0</v>
      </c>
      <c r="C141" s="28"/>
      <c r="D141" s="28"/>
      <c r="E141">
        <f t="shared" si="13"/>
        <v>0.25</v>
      </c>
      <c r="F141">
        <f t="shared" si="15"/>
        <v>-0.25</v>
      </c>
      <c r="G141">
        <f t="shared" si="16"/>
        <v>6.25E-2</v>
      </c>
    </row>
    <row r="142" spans="1:7" x14ac:dyDescent="0.5">
      <c r="A142">
        <v>132</v>
      </c>
      <c r="B142">
        <f t="shared" si="14"/>
        <v>0</v>
      </c>
      <c r="C142" s="28"/>
      <c r="D142" s="28"/>
      <c r="E142">
        <f t="shared" si="13"/>
        <v>0.25</v>
      </c>
      <c r="F142">
        <f t="shared" si="15"/>
        <v>-0.25</v>
      </c>
      <c r="G142">
        <f t="shared" si="16"/>
        <v>6.25E-2</v>
      </c>
    </row>
    <row r="143" spans="1:7" x14ac:dyDescent="0.5">
      <c r="A143">
        <v>133</v>
      </c>
      <c r="B143">
        <f t="shared" si="14"/>
        <v>0</v>
      </c>
      <c r="C143" s="28"/>
      <c r="D143" s="28"/>
      <c r="E143">
        <f t="shared" si="13"/>
        <v>0.25</v>
      </c>
      <c r="F143">
        <f t="shared" si="15"/>
        <v>-0.25</v>
      </c>
      <c r="G143">
        <f t="shared" si="16"/>
        <v>6.25E-2</v>
      </c>
    </row>
    <row r="144" spans="1:7" x14ac:dyDescent="0.5">
      <c r="A144">
        <v>134</v>
      </c>
      <c r="B144">
        <f t="shared" si="14"/>
        <v>0</v>
      </c>
      <c r="C144" s="28"/>
      <c r="D144" s="28"/>
      <c r="E144">
        <f t="shared" si="13"/>
        <v>0.25</v>
      </c>
      <c r="F144">
        <f t="shared" si="15"/>
        <v>-0.25</v>
      </c>
      <c r="G144">
        <f t="shared" si="16"/>
        <v>6.25E-2</v>
      </c>
    </row>
    <row r="145" spans="1:7" x14ac:dyDescent="0.5">
      <c r="A145">
        <v>135</v>
      </c>
      <c r="B145">
        <f t="shared" si="14"/>
        <v>0</v>
      </c>
      <c r="C145" s="28"/>
      <c r="D145" s="28"/>
      <c r="E145">
        <f t="shared" si="13"/>
        <v>0.25</v>
      </c>
      <c r="F145">
        <f t="shared" si="15"/>
        <v>-0.25</v>
      </c>
      <c r="G145">
        <f t="shared" si="16"/>
        <v>6.25E-2</v>
      </c>
    </row>
    <row r="146" spans="1:7" x14ac:dyDescent="0.5">
      <c r="A146">
        <v>136</v>
      </c>
      <c r="B146">
        <f t="shared" si="14"/>
        <v>0</v>
      </c>
      <c r="C146" s="28"/>
      <c r="D146" s="28"/>
      <c r="E146">
        <f t="shared" si="13"/>
        <v>0.25</v>
      </c>
      <c r="F146">
        <f t="shared" si="15"/>
        <v>-0.25</v>
      </c>
      <c r="G146">
        <f t="shared" si="16"/>
        <v>6.25E-2</v>
      </c>
    </row>
    <row r="147" spans="1:7" x14ac:dyDescent="0.5">
      <c r="A147">
        <v>137</v>
      </c>
      <c r="B147">
        <f t="shared" si="14"/>
        <v>0</v>
      </c>
      <c r="C147" s="28"/>
      <c r="D147" s="28"/>
      <c r="E147">
        <f t="shared" si="13"/>
        <v>0.25</v>
      </c>
      <c r="F147">
        <f t="shared" si="15"/>
        <v>-0.25</v>
      </c>
      <c r="G147">
        <f t="shared" si="16"/>
        <v>6.25E-2</v>
      </c>
    </row>
    <row r="148" spans="1:7" x14ac:dyDescent="0.5">
      <c r="A148">
        <v>138</v>
      </c>
      <c r="B148">
        <f t="shared" si="14"/>
        <v>0</v>
      </c>
      <c r="C148" s="28"/>
      <c r="D148" s="28"/>
      <c r="E148">
        <f t="shared" si="13"/>
        <v>0.25</v>
      </c>
      <c r="F148">
        <f t="shared" si="15"/>
        <v>-0.25</v>
      </c>
      <c r="G148">
        <f t="shared" si="16"/>
        <v>6.25E-2</v>
      </c>
    </row>
    <row r="149" spans="1:7" x14ac:dyDescent="0.5">
      <c r="A149">
        <v>139</v>
      </c>
      <c r="B149">
        <f t="shared" si="14"/>
        <v>0</v>
      </c>
      <c r="C149" s="28"/>
      <c r="D149" s="28"/>
      <c r="E149">
        <f t="shared" si="13"/>
        <v>0.25</v>
      </c>
      <c r="F149">
        <f t="shared" si="15"/>
        <v>-0.25</v>
      </c>
      <c r="G149">
        <f t="shared" si="16"/>
        <v>6.25E-2</v>
      </c>
    </row>
    <row r="150" spans="1:7" x14ac:dyDescent="0.5">
      <c r="A150">
        <v>140</v>
      </c>
      <c r="B150">
        <f t="shared" si="14"/>
        <v>0</v>
      </c>
      <c r="C150" s="28"/>
      <c r="D150" s="28"/>
      <c r="E150">
        <f t="shared" si="13"/>
        <v>0.25</v>
      </c>
      <c r="F150">
        <f t="shared" si="15"/>
        <v>-0.25</v>
      </c>
      <c r="G150">
        <f t="shared" si="16"/>
        <v>6.25E-2</v>
      </c>
    </row>
    <row r="151" spans="1:7" x14ac:dyDescent="0.5">
      <c r="A151">
        <v>141</v>
      </c>
      <c r="B151">
        <f t="shared" si="14"/>
        <v>0</v>
      </c>
      <c r="C151" s="28"/>
      <c r="D151" s="28"/>
      <c r="E151">
        <f t="shared" si="13"/>
        <v>0.25</v>
      </c>
      <c r="F151">
        <f t="shared" si="15"/>
        <v>-0.25</v>
      </c>
      <c r="G151">
        <f t="shared" si="16"/>
        <v>6.25E-2</v>
      </c>
    </row>
    <row r="152" spans="1:7" x14ac:dyDescent="0.5">
      <c r="A152">
        <v>142</v>
      </c>
      <c r="B152">
        <f t="shared" si="14"/>
        <v>0</v>
      </c>
      <c r="C152" s="28"/>
      <c r="D152" s="28"/>
      <c r="E152">
        <f t="shared" si="13"/>
        <v>0.25</v>
      </c>
      <c r="F152">
        <f t="shared" si="15"/>
        <v>-0.25</v>
      </c>
      <c r="G152">
        <f t="shared" si="16"/>
        <v>6.25E-2</v>
      </c>
    </row>
    <row r="153" spans="1:7" x14ac:dyDescent="0.5">
      <c r="A153">
        <v>143</v>
      </c>
      <c r="B153">
        <f t="shared" si="14"/>
        <v>0</v>
      </c>
      <c r="C153" s="28"/>
      <c r="D153" s="28"/>
      <c r="E153">
        <f t="shared" si="13"/>
        <v>0.25</v>
      </c>
      <c r="F153">
        <f t="shared" si="15"/>
        <v>-0.25</v>
      </c>
      <c r="G153">
        <f t="shared" si="16"/>
        <v>6.25E-2</v>
      </c>
    </row>
    <row r="154" spans="1:7" x14ac:dyDescent="0.5">
      <c r="A154">
        <v>144</v>
      </c>
      <c r="B154">
        <f t="shared" si="14"/>
        <v>0</v>
      </c>
      <c r="C154" s="28"/>
      <c r="D154" s="28"/>
      <c r="E154">
        <f t="shared" si="13"/>
        <v>0.25</v>
      </c>
      <c r="F154">
        <f t="shared" si="15"/>
        <v>-0.25</v>
      </c>
      <c r="G154">
        <f t="shared" si="16"/>
        <v>6.25E-2</v>
      </c>
    </row>
    <row r="155" spans="1:7" x14ac:dyDescent="0.5">
      <c r="A155">
        <v>145</v>
      </c>
      <c r="B155">
        <f t="shared" si="14"/>
        <v>0</v>
      </c>
      <c r="C155" s="28"/>
      <c r="D155" s="28"/>
      <c r="E155">
        <f t="shared" si="13"/>
        <v>0.25</v>
      </c>
      <c r="F155">
        <f t="shared" si="15"/>
        <v>-0.25</v>
      </c>
      <c r="G155">
        <f t="shared" si="16"/>
        <v>6.25E-2</v>
      </c>
    </row>
    <row r="156" spans="1:7" x14ac:dyDescent="0.5">
      <c r="A156">
        <v>146</v>
      </c>
      <c r="B156">
        <f t="shared" si="14"/>
        <v>0</v>
      </c>
      <c r="C156" s="28"/>
      <c r="D156" s="28"/>
      <c r="E156">
        <f t="shared" si="13"/>
        <v>0.25</v>
      </c>
      <c r="F156">
        <f t="shared" si="15"/>
        <v>-0.25</v>
      </c>
      <c r="G156">
        <f t="shared" si="16"/>
        <v>6.25E-2</v>
      </c>
    </row>
    <row r="157" spans="1:7" x14ac:dyDescent="0.5">
      <c r="A157">
        <v>147</v>
      </c>
      <c r="B157">
        <f t="shared" si="14"/>
        <v>0</v>
      </c>
      <c r="C157" s="28"/>
      <c r="D157" s="28"/>
      <c r="E157">
        <f t="shared" si="13"/>
        <v>0.25</v>
      </c>
      <c r="F157">
        <f t="shared" si="15"/>
        <v>-0.25</v>
      </c>
      <c r="G157">
        <f t="shared" si="16"/>
        <v>6.25E-2</v>
      </c>
    </row>
    <row r="158" spans="1:7" x14ac:dyDescent="0.5">
      <c r="A158">
        <v>148</v>
      </c>
      <c r="B158">
        <f t="shared" si="14"/>
        <v>0</v>
      </c>
      <c r="C158" s="28"/>
      <c r="D158" s="28"/>
      <c r="E158">
        <f t="shared" si="13"/>
        <v>0.25</v>
      </c>
      <c r="F158">
        <f t="shared" si="15"/>
        <v>-0.25</v>
      </c>
      <c r="G158">
        <f t="shared" si="16"/>
        <v>6.25E-2</v>
      </c>
    </row>
    <row r="159" spans="1:7" x14ac:dyDescent="0.5">
      <c r="A159">
        <v>149</v>
      </c>
      <c r="B159">
        <f t="shared" si="14"/>
        <v>0</v>
      </c>
      <c r="C159" s="28"/>
      <c r="D159" s="28"/>
      <c r="E159">
        <f t="shared" si="13"/>
        <v>0.25</v>
      </c>
      <c r="F159">
        <f t="shared" si="15"/>
        <v>-0.25</v>
      </c>
      <c r="G159">
        <f t="shared" si="16"/>
        <v>6.25E-2</v>
      </c>
    </row>
    <row r="160" spans="1:7" x14ac:dyDescent="0.5">
      <c r="A160">
        <v>150</v>
      </c>
      <c r="B160">
        <f t="shared" si="14"/>
        <v>0</v>
      </c>
      <c r="C160" s="28"/>
      <c r="D160" s="28"/>
      <c r="E160">
        <f t="shared" si="13"/>
        <v>0.25</v>
      </c>
      <c r="F160">
        <f t="shared" si="15"/>
        <v>-0.25</v>
      </c>
      <c r="G160">
        <f t="shared" si="16"/>
        <v>6.25E-2</v>
      </c>
    </row>
    <row r="161" spans="1:7" x14ac:dyDescent="0.5">
      <c r="A161">
        <v>151</v>
      </c>
      <c r="B161">
        <f t="shared" si="14"/>
        <v>0</v>
      </c>
      <c r="C161" s="28"/>
      <c r="D161" s="28"/>
      <c r="E161">
        <f t="shared" si="13"/>
        <v>0.25</v>
      </c>
      <c r="F161">
        <f t="shared" si="15"/>
        <v>-0.25</v>
      </c>
      <c r="G161">
        <f t="shared" si="16"/>
        <v>6.25E-2</v>
      </c>
    </row>
    <row r="162" spans="1:7" x14ac:dyDescent="0.5">
      <c r="A162">
        <v>152</v>
      </c>
      <c r="B162">
        <f t="shared" si="14"/>
        <v>0</v>
      </c>
      <c r="C162" s="28"/>
      <c r="D162" s="28"/>
      <c r="E162">
        <f t="shared" si="13"/>
        <v>0.25</v>
      </c>
      <c r="F162">
        <f t="shared" si="15"/>
        <v>-0.25</v>
      </c>
      <c r="G162">
        <f t="shared" si="16"/>
        <v>6.25E-2</v>
      </c>
    </row>
    <row r="163" spans="1:7" x14ac:dyDescent="0.5">
      <c r="A163">
        <v>153</v>
      </c>
      <c r="B163">
        <f t="shared" si="14"/>
        <v>0</v>
      </c>
      <c r="C163" s="28"/>
      <c r="D163" s="28"/>
      <c r="E163">
        <f t="shared" si="13"/>
        <v>0.25</v>
      </c>
      <c r="F163">
        <f t="shared" si="15"/>
        <v>-0.25</v>
      </c>
      <c r="G163">
        <f t="shared" si="16"/>
        <v>6.25E-2</v>
      </c>
    </row>
    <row r="164" spans="1:7" x14ac:dyDescent="0.5">
      <c r="A164">
        <v>154</v>
      </c>
      <c r="B164">
        <f t="shared" si="14"/>
        <v>0</v>
      </c>
      <c r="C164" s="28"/>
      <c r="D164" s="28"/>
      <c r="E164">
        <f t="shared" si="13"/>
        <v>0.25</v>
      </c>
      <c r="F164">
        <f t="shared" si="15"/>
        <v>-0.25</v>
      </c>
      <c r="G164">
        <f t="shared" si="16"/>
        <v>6.25E-2</v>
      </c>
    </row>
    <row r="165" spans="1:7" x14ac:dyDescent="0.5">
      <c r="A165">
        <v>155</v>
      </c>
      <c r="B165">
        <f t="shared" si="14"/>
        <v>0</v>
      </c>
      <c r="C165" s="28"/>
      <c r="D165" s="28"/>
      <c r="E165">
        <f t="shared" si="13"/>
        <v>0.25</v>
      </c>
      <c r="F165">
        <f t="shared" si="15"/>
        <v>-0.25</v>
      </c>
      <c r="G165">
        <f t="shared" si="16"/>
        <v>6.25E-2</v>
      </c>
    </row>
    <row r="166" spans="1:7" x14ac:dyDescent="0.5">
      <c r="A166">
        <v>156</v>
      </c>
      <c r="B166">
        <f t="shared" si="14"/>
        <v>0</v>
      </c>
      <c r="C166" s="28"/>
      <c r="D166" s="28"/>
      <c r="E166">
        <f t="shared" si="13"/>
        <v>0.25</v>
      </c>
      <c r="F166">
        <f t="shared" si="15"/>
        <v>-0.25</v>
      </c>
      <c r="G166">
        <f t="shared" si="16"/>
        <v>6.25E-2</v>
      </c>
    </row>
    <row r="167" spans="1:7" x14ac:dyDescent="0.5">
      <c r="A167">
        <v>157</v>
      </c>
      <c r="B167">
        <f t="shared" si="14"/>
        <v>0</v>
      </c>
      <c r="C167" s="28"/>
      <c r="D167" s="28"/>
      <c r="E167">
        <f t="shared" si="13"/>
        <v>0.25</v>
      </c>
      <c r="F167">
        <f t="shared" si="15"/>
        <v>-0.25</v>
      </c>
      <c r="G167">
        <f t="shared" si="16"/>
        <v>6.25E-2</v>
      </c>
    </row>
    <row r="168" spans="1:7" x14ac:dyDescent="0.5">
      <c r="A168">
        <v>158</v>
      </c>
      <c r="B168">
        <f t="shared" si="14"/>
        <v>0</v>
      </c>
      <c r="C168" s="28"/>
      <c r="D168" s="28"/>
      <c r="E168">
        <f t="shared" si="13"/>
        <v>0.25</v>
      </c>
      <c r="F168">
        <f t="shared" si="15"/>
        <v>-0.25</v>
      </c>
      <c r="G168">
        <f t="shared" si="16"/>
        <v>6.25E-2</v>
      </c>
    </row>
    <row r="169" spans="1:7" x14ac:dyDescent="0.5">
      <c r="A169">
        <v>159</v>
      </c>
      <c r="B169">
        <f t="shared" si="14"/>
        <v>0</v>
      </c>
      <c r="C169" s="28"/>
      <c r="D169" s="28"/>
      <c r="E169">
        <f t="shared" si="13"/>
        <v>0.25</v>
      </c>
      <c r="F169">
        <f t="shared" si="15"/>
        <v>-0.25</v>
      </c>
      <c r="G169">
        <f t="shared" si="16"/>
        <v>6.25E-2</v>
      </c>
    </row>
    <row r="170" spans="1:7" x14ac:dyDescent="0.5">
      <c r="A170">
        <v>160</v>
      </c>
      <c r="B170">
        <f t="shared" si="14"/>
        <v>0</v>
      </c>
      <c r="C170" s="28"/>
      <c r="D170" s="28"/>
      <c r="E170">
        <f t="shared" si="13"/>
        <v>0.25</v>
      </c>
      <c r="F170">
        <f t="shared" si="15"/>
        <v>-0.25</v>
      </c>
      <c r="G170">
        <f t="shared" si="16"/>
        <v>6.25E-2</v>
      </c>
    </row>
    <row r="171" spans="1:7" x14ac:dyDescent="0.5">
      <c r="A171">
        <v>161</v>
      </c>
      <c r="B171">
        <f t="shared" si="14"/>
        <v>0</v>
      </c>
      <c r="C171" s="28"/>
      <c r="D171" s="28"/>
      <c r="E171">
        <f t="shared" si="13"/>
        <v>0.25</v>
      </c>
      <c r="F171">
        <f t="shared" si="15"/>
        <v>-0.25</v>
      </c>
      <c r="G171">
        <f t="shared" si="16"/>
        <v>6.25E-2</v>
      </c>
    </row>
    <row r="172" spans="1:7" x14ac:dyDescent="0.5">
      <c r="A172">
        <v>162</v>
      </c>
      <c r="B172">
        <f t="shared" si="14"/>
        <v>0</v>
      </c>
      <c r="C172" s="28"/>
      <c r="D172" s="28"/>
      <c r="E172">
        <f t="shared" si="13"/>
        <v>0.25</v>
      </c>
      <c r="F172">
        <f t="shared" si="15"/>
        <v>-0.25</v>
      </c>
      <c r="G172">
        <f t="shared" si="16"/>
        <v>6.25E-2</v>
      </c>
    </row>
    <row r="173" spans="1:7" x14ac:dyDescent="0.5">
      <c r="A173">
        <v>163</v>
      </c>
      <c r="B173">
        <f t="shared" si="14"/>
        <v>0</v>
      </c>
      <c r="C173" s="28"/>
      <c r="D173" s="28"/>
      <c r="E173">
        <f t="shared" si="13"/>
        <v>0.25</v>
      </c>
      <c r="F173">
        <f t="shared" si="15"/>
        <v>-0.25</v>
      </c>
      <c r="G173">
        <f t="shared" si="16"/>
        <v>6.25E-2</v>
      </c>
    </row>
    <row r="174" spans="1:7" x14ac:dyDescent="0.5">
      <c r="A174">
        <v>164</v>
      </c>
      <c r="B174">
        <f t="shared" si="14"/>
        <v>0</v>
      </c>
      <c r="C174" s="28"/>
      <c r="D174" s="28"/>
      <c r="E174">
        <f t="shared" si="13"/>
        <v>0.25</v>
      </c>
      <c r="F174">
        <f t="shared" si="15"/>
        <v>-0.25</v>
      </c>
      <c r="G174">
        <f t="shared" si="16"/>
        <v>6.25E-2</v>
      </c>
    </row>
    <row r="175" spans="1:7" x14ac:dyDescent="0.5">
      <c r="A175">
        <v>165</v>
      </c>
      <c r="B175">
        <f t="shared" si="14"/>
        <v>0</v>
      </c>
      <c r="C175" s="28"/>
      <c r="D175" s="28"/>
      <c r="E175">
        <f t="shared" si="13"/>
        <v>0.25</v>
      </c>
      <c r="F175">
        <f t="shared" si="15"/>
        <v>-0.25</v>
      </c>
      <c r="G175">
        <f t="shared" si="16"/>
        <v>6.25E-2</v>
      </c>
    </row>
    <row r="176" spans="1:7" x14ac:dyDescent="0.5">
      <c r="A176">
        <v>166</v>
      </c>
      <c r="B176">
        <f t="shared" si="14"/>
        <v>0</v>
      </c>
      <c r="C176" s="28"/>
      <c r="D176" s="28"/>
      <c r="E176">
        <f t="shared" si="13"/>
        <v>0.25</v>
      </c>
      <c r="F176">
        <f t="shared" si="15"/>
        <v>-0.25</v>
      </c>
      <c r="G176">
        <f t="shared" si="16"/>
        <v>6.25E-2</v>
      </c>
    </row>
    <row r="177" spans="1:7" x14ac:dyDescent="0.5">
      <c r="A177">
        <v>167</v>
      </c>
      <c r="B177">
        <f t="shared" si="14"/>
        <v>0</v>
      </c>
      <c r="C177" s="28"/>
      <c r="D177" s="28"/>
      <c r="E177">
        <f t="shared" si="13"/>
        <v>0.25</v>
      </c>
      <c r="F177">
        <f t="shared" si="15"/>
        <v>-0.25</v>
      </c>
      <c r="G177">
        <f t="shared" si="16"/>
        <v>6.25E-2</v>
      </c>
    </row>
    <row r="178" spans="1:7" x14ac:dyDescent="0.5">
      <c r="A178">
        <v>168</v>
      </c>
      <c r="B178">
        <f t="shared" si="14"/>
        <v>0</v>
      </c>
      <c r="C178" s="28"/>
      <c r="D178" s="28"/>
      <c r="E178">
        <f t="shared" si="13"/>
        <v>0.25</v>
      </c>
      <c r="F178">
        <f t="shared" si="15"/>
        <v>-0.25</v>
      </c>
      <c r="G178">
        <f t="shared" si="16"/>
        <v>6.25E-2</v>
      </c>
    </row>
    <row r="179" spans="1:7" x14ac:dyDescent="0.5">
      <c r="A179">
        <v>169</v>
      </c>
      <c r="B179">
        <f t="shared" si="14"/>
        <v>0</v>
      </c>
      <c r="C179" s="28"/>
      <c r="D179" s="28"/>
      <c r="E179">
        <f t="shared" si="13"/>
        <v>0.25</v>
      </c>
      <c r="F179">
        <f t="shared" si="15"/>
        <v>-0.25</v>
      </c>
      <c r="G179">
        <f t="shared" si="16"/>
        <v>6.25E-2</v>
      </c>
    </row>
    <row r="180" spans="1:7" x14ac:dyDescent="0.5">
      <c r="A180">
        <v>170</v>
      </c>
      <c r="B180">
        <f t="shared" si="14"/>
        <v>0</v>
      </c>
      <c r="C180" s="28"/>
      <c r="D180" s="28"/>
      <c r="E180">
        <f t="shared" si="13"/>
        <v>0.25</v>
      </c>
      <c r="F180">
        <f t="shared" si="15"/>
        <v>-0.25</v>
      </c>
      <c r="G180">
        <f t="shared" si="16"/>
        <v>6.25E-2</v>
      </c>
    </row>
    <row r="181" spans="1:7" x14ac:dyDescent="0.5">
      <c r="A181">
        <v>171</v>
      </c>
      <c r="B181">
        <f t="shared" si="14"/>
        <v>0</v>
      </c>
      <c r="C181" s="28"/>
      <c r="D181" s="28"/>
      <c r="E181">
        <f t="shared" si="13"/>
        <v>0.25</v>
      </c>
      <c r="F181">
        <f t="shared" si="15"/>
        <v>-0.25</v>
      </c>
      <c r="G181">
        <f t="shared" si="16"/>
        <v>6.25E-2</v>
      </c>
    </row>
    <row r="182" spans="1:7" x14ac:dyDescent="0.5">
      <c r="A182">
        <v>172</v>
      </c>
      <c r="B182">
        <f t="shared" si="14"/>
        <v>0</v>
      </c>
      <c r="C182" s="28"/>
      <c r="D182" s="28"/>
      <c r="E182">
        <f t="shared" si="13"/>
        <v>0.25</v>
      </c>
      <c r="F182">
        <f t="shared" si="15"/>
        <v>-0.25</v>
      </c>
      <c r="G182">
        <f t="shared" si="16"/>
        <v>6.25E-2</v>
      </c>
    </row>
    <row r="183" spans="1:7" x14ac:dyDescent="0.5">
      <c r="A183">
        <v>173</v>
      </c>
      <c r="B183">
        <f t="shared" si="14"/>
        <v>0</v>
      </c>
      <c r="C183" s="28"/>
      <c r="D183" s="28"/>
      <c r="E183">
        <f t="shared" si="13"/>
        <v>0.25</v>
      </c>
      <c r="F183">
        <f t="shared" si="15"/>
        <v>-0.25</v>
      </c>
      <c r="G183">
        <f t="shared" si="16"/>
        <v>6.25E-2</v>
      </c>
    </row>
    <row r="184" spans="1:7" x14ac:dyDescent="0.5">
      <c r="A184">
        <v>174</v>
      </c>
      <c r="B184">
        <f t="shared" si="14"/>
        <v>0</v>
      </c>
      <c r="C184" s="28"/>
      <c r="D184" s="28"/>
      <c r="E184">
        <f t="shared" si="13"/>
        <v>0.25</v>
      </c>
      <c r="F184">
        <f t="shared" si="15"/>
        <v>-0.25</v>
      </c>
      <c r="G184">
        <f t="shared" si="16"/>
        <v>6.25E-2</v>
      </c>
    </row>
    <row r="185" spans="1:7" x14ac:dyDescent="0.5">
      <c r="A185">
        <v>175</v>
      </c>
      <c r="B185">
        <f t="shared" si="14"/>
        <v>0</v>
      </c>
      <c r="C185" s="28"/>
      <c r="D185" s="28"/>
      <c r="E185">
        <f t="shared" si="13"/>
        <v>0.25</v>
      </c>
      <c r="F185">
        <f t="shared" si="15"/>
        <v>-0.25</v>
      </c>
      <c r="G185">
        <f t="shared" si="16"/>
        <v>6.25E-2</v>
      </c>
    </row>
    <row r="186" spans="1:7" x14ac:dyDescent="0.5">
      <c r="A186">
        <v>176</v>
      </c>
      <c r="B186">
        <f t="shared" si="14"/>
        <v>0</v>
      </c>
      <c r="C186" s="28"/>
      <c r="D186" s="28"/>
      <c r="E186">
        <f t="shared" si="13"/>
        <v>0.25</v>
      </c>
      <c r="F186">
        <f t="shared" si="15"/>
        <v>-0.25</v>
      </c>
      <c r="G186">
        <f t="shared" si="16"/>
        <v>6.25E-2</v>
      </c>
    </row>
    <row r="187" spans="1:7" x14ac:dyDescent="0.5">
      <c r="A187">
        <v>177</v>
      </c>
      <c r="B187">
        <f t="shared" si="14"/>
        <v>0</v>
      </c>
      <c r="C187" s="28"/>
      <c r="D187" s="28"/>
      <c r="E187">
        <f t="shared" si="13"/>
        <v>0.25</v>
      </c>
      <c r="F187">
        <f t="shared" si="15"/>
        <v>-0.25</v>
      </c>
      <c r="G187">
        <f t="shared" si="16"/>
        <v>6.25E-2</v>
      </c>
    </row>
    <row r="188" spans="1:7" x14ac:dyDescent="0.5">
      <c r="A188">
        <v>178</v>
      </c>
      <c r="B188">
        <f t="shared" si="14"/>
        <v>0</v>
      </c>
      <c r="C188" s="28"/>
      <c r="D188" s="28"/>
      <c r="E188">
        <f t="shared" si="13"/>
        <v>0.25</v>
      </c>
      <c r="F188">
        <f t="shared" si="15"/>
        <v>-0.25</v>
      </c>
      <c r="G188">
        <f t="shared" si="16"/>
        <v>6.25E-2</v>
      </c>
    </row>
    <row r="189" spans="1:7" x14ac:dyDescent="0.5">
      <c r="A189">
        <v>179</v>
      </c>
      <c r="B189">
        <f t="shared" si="14"/>
        <v>0</v>
      </c>
      <c r="C189" s="28"/>
      <c r="D189" s="28"/>
      <c r="E189">
        <f t="shared" si="13"/>
        <v>0.25</v>
      </c>
      <c r="F189">
        <f t="shared" si="15"/>
        <v>-0.25</v>
      </c>
      <c r="G189">
        <f t="shared" si="16"/>
        <v>6.25E-2</v>
      </c>
    </row>
    <row r="190" spans="1:7" x14ac:dyDescent="0.5">
      <c r="A190">
        <v>180</v>
      </c>
      <c r="B190">
        <f t="shared" si="14"/>
        <v>0</v>
      </c>
      <c r="C190" s="28"/>
      <c r="D190" s="28"/>
      <c r="E190">
        <f t="shared" si="13"/>
        <v>0.25</v>
      </c>
      <c r="F190">
        <f t="shared" si="15"/>
        <v>-0.25</v>
      </c>
      <c r="G190">
        <f t="shared" si="16"/>
        <v>6.25E-2</v>
      </c>
    </row>
    <row r="191" spans="1:7" x14ac:dyDescent="0.5">
      <c r="A191">
        <v>181</v>
      </c>
      <c r="B191">
        <f t="shared" si="14"/>
        <v>0</v>
      </c>
      <c r="C191" s="28"/>
      <c r="D191" s="28"/>
      <c r="E191">
        <f t="shared" si="13"/>
        <v>0.25</v>
      </c>
      <c r="F191">
        <f t="shared" si="15"/>
        <v>-0.25</v>
      </c>
      <c r="G191">
        <f t="shared" si="16"/>
        <v>6.25E-2</v>
      </c>
    </row>
    <row r="192" spans="1:7" x14ac:dyDescent="0.5">
      <c r="A192">
        <v>182</v>
      </c>
      <c r="B192">
        <f t="shared" si="14"/>
        <v>0</v>
      </c>
      <c r="C192" s="28"/>
      <c r="D192" s="28"/>
      <c r="E192">
        <f t="shared" si="13"/>
        <v>0.25</v>
      </c>
      <c r="F192">
        <f t="shared" si="15"/>
        <v>-0.25</v>
      </c>
      <c r="G192">
        <f t="shared" si="16"/>
        <v>6.25E-2</v>
      </c>
    </row>
    <row r="193" spans="1:7" x14ac:dyDescent="0.5">
      <c r="A193">
        <v>183</v>
      </c>
      <c r="B193">
        <f t="shared" si="14"/>
        <v>0</v>
      </c>
      <c r="C193" s="28"/>
      <c r="D193" s="28"/>
      <c r="E193">
        <f t="shared" si="13"/>
        <v>0.25</v>
      </c>
      <c r="F193">
        <f t="shared" si="15"/>
        <v>-0.25</v>
      </c>
      <c r="G193">
        <f t="shared" si="16"/>
        <v>6.25E-2</v>
      </c>
    </row>
    <row r="194" spans="1:7" x14ac:dyDescent="0.5">
      <c r="A194">
        <v>184</v>
      </c>
      <c r="B194">
        <f t="shared" si="14"/>
        <v>0</v>
      </c>
      <c r="C194" s="28"/>
      <c r="D194" s="28"/>
      <c r="E194">
        <f t="shared" si="13"/>
        <v>0.25</v>
      </c>
      <c r="F194">
        <f t="shared" si="15"/>
        <v>-0.25</v>
      </c>
      <c r="G194">
        <f t="shared" si="16"/>
        <v>6.25E-2</v>
      </c>
    </row>
    <row r="195" spans="1:7" x14ac:dyDescent="0.5">
      <c r="A195">
        <v>185</v>
      </c>
      <c r="B195">
        <f t="shared" si="14"/>
        <v>0</v>
      </c>
      <c r="C195" s="28"/>
      <c r="D195" s="28"/>
      <c r="E195">
        <f t="shared" si="13"/>
        <v>0.25</v>
      </c>
      <c r="F195">
        <f t="shared" si="15"/>
        <v>-0.25</v>
      </c>
      <c r="G195">
        <f t="shared" si="16"/>
        <v>6.25E-2</v>
      </c>
    </row>
    <row r="196" spans="1:7" x14ac:dyDescent="0.5">
      <c r="A196">
        <v>186</v>
      </c>
      <c r="B196">
        <f t="shared" si="14"/>
        <v>0</v>
      </c>
      <c r="C196" s="28"/>
      <c r="D196" s="28"/>
      <c r="E196">
        <f t="shared" si="13"/>
        <v>0.25</v>
      </c>
      <c r="F196">
        <f t="shared" si="15"/>
        <v>-0.25</v>
      </c>
      <c r="G196">
        <f t="shared" si="16"/>
        <v>6.25E-2</v>
      </c>
    </row>
    <row r="197" spans="1:7" x14ac:dyDescent="0.5">
      <c r="A197">
        <v>187</v>
      </c>
      <c r="B197">
        <f t="shared" si="14"/>
        <v>0</v>
      </c>
      <c r="C197" s="28"/>
      <c r="D197" s="28"/>
      <c r="E197">
        <f t="shared" si="13"/>
        <v>0.25</v>
      </c>
      <c r="F197">
        <f t="shared" si="15"/>
        <v>-0.25</v>
      </c>
      <c r="G197">
        <f t="shared" si="16"/>
        <v>6.25E-2</v>
      </c>
    </row>
    <row r="198" spans="1:7" x14ac:dyDescent="0.5">
      <c r="A198">
        <v>188</v>
      </c>
      <c r="B198">
        <f t="shared" si="14"/>
        <v>0</v>
      </c>
      <c r="C198" s="28"/>
      <c r="D198" s="28"/>
      <c r="E198">
        <f t="shared" si="13"/>
        <v>0.25</v>
      </c>
      <c r="F198">
        <f t="shared" si="15"/>
        <v>-0.25</v>
      </c>
      <c r="G198">
        <f t="shared" si="16"/>
        <v>6.25E-2</v>
      </c>
    </row>
    <row r="199" spans="1:7" x14ac:dyDescent="0.5">
      <c r="A199">
        <v>189</v>
      </c>
      <c r="B199">
        <f t="shared" si="14"/>
        <v>0</v>
      </c>
      <c r="C199" s="28"/>
      <c r="D199" s="28"/>
      <c r="E199">
        <f t="shared" si="13"/>
        <v>0.25</v>
      </c>
      <c r="F199">
        <f t="shared" si="15"/>
        <v>-0.25</v>
      </c>
      <c r="G199">
        <f t="shared" si="16"/>
        <v>6.25E-2</v>
      </c>
    </row>
    <row r="200" spans="1:7" x14ac:dyDescent="0.5">
      <c r="A200">
        <v>190</v>
      </c>
      <c r="B200">
        <f t="shared" si="14"/>
        <v>0</v>
      </c>
      <c r="C200" s="28"/>
      <c r="D200" s="28"/>
      <c r="E200">
        <f t="shared" si="13"/>
        <v>0.25</v>
      </c>
      <c r="F200">
        <f t="shared" si="15"/>
        <v>-0.25</v>
      </c>
      <c r="G200">
        <f t="shared" si="16"/>
        <v>6.25E-2</v>
      </c>
    </row>
    <row r="201" spans="1:7" x14ac:dyDescent="0.5">
      <c r="A201">
        <v>191</v>
      </c>
      <c r="B201">
        <f t="shared" si="14"/>
        <v>0</v>
      </c>
      <c r="C201" s="28"/>
      <c r="D201" s="28"/>
      <c r="E201">
        <f t="shared" si="13"/>
        <v>0.25</v>
      </c>
      <c r="F201">
        <f t="shared" si="15"/>
        <v>-0.25</v>
      </c>
      <c r="G201">
        <f t="shared" si="16"/>
        <v>6.25E-2</v>
      </c>
    </row>
    <row r="202" spans="1:7" x14ac:dyDescent="0.5">
      <c r="A202">
        <v>192</v>
      </c>
      <c r="B202">
        <f t="shared" si="14"/>
        <v>0</v>
      </c>
      <c r="C202" s="28"/>
      <c r="D202" s="28"/>
      <c r="E202">
        <f t="shared" si="13"/>
        <v>0.25</v>
      </c>
      <c r="F202">
        <f t="shared" si="15"/>
        <v>-0.25</v>
      </c>
      <c r="G202">
        <f t="shared" si="16"/>
        <v>6.25E-2</v>
      </c>
    </row>
    <row r="203" spans="1:7" x14ac:dyDescent="0.5">
      <c r="A203">
        <v>193</v>
      </c>
      <c r="B203">
        <f t="shared" si="14"/>
        <v>0</v>
      </c>
      <c r="C203" s="28"/>
      <c r="D203" s="28"/>
      <c r="E203">
        <f t="shared" ref="E203:E266" si="17">BaseAdjust+(ampl1*EXP(-gamma1*C203)+ampl2*EXP(-gamma2*C203)+ampl3*EXP(-gamma3*C203))^2</f>
        <v>0.25</v>
      </c>
      <c r="F203">
        <f t="shared" si="15"/>
        <v>-0.25</v>
      </c>
      <c r="G203">
        <f t="shared" si="16"/>
        <v>6.25E-2</v>
      </c>
    </row>
    <row r="204" spans="1:7" x14ac:dyDescent="0.5">
      <c r="A204">
        <v>194</v>
      </c>
      <c r="B204">
        <f t="shared" ref="B204:B267" si="18">C204/1000</f>
        <v>0</v>
      </c>
      <c r="C204" s="28"/>
      <c r="D204" s="28"/>
      <c r="E204">
        <f t="shared" si="17"/>
        <v>0.25</v>
      </c>
      <c r="F204">
        <f t="shared" ref="F204:F267" si="19">D204-E204</f>
        <v>-0.25</v>
      </c>
      <c r="G204">
        <f t="shared" ref="G204:G267" si="20">F204^2</f>
        <v>6.25E-2</v>
      </c>
    </row>
    <row r="205" spans="1:7" x14ac:dyDescent="0.5">
      <c r="A205">
        <v>195</v>
      </c>
      <c r="B205">
        <f t="shared" si="18"/>
        <v>0</v>
      </c>
      <c r="C205" s="28"/>
      <c r="D205" s="28"/>
      <c r="E205">
        <f t="shared" si="17"/>
        <v>0.25</v>
      </c>
      <c r="F205">
        <f t="shared" si="19"/>
        <v>-0.25</v>
      </c>
      <c r="G205">
        <f t="shared" si="20"/>
        <v>6.25E-2</v>
      </c>
    </row>
    <row r="206" spans="1:7" x14ac:dyDescent="0.5">
      <c r="A206">
        <v>196</v>
      </c>
      <c r="B206">
        <f t="shared" si="18"/>
        <v>0</v>
      </c>
      <c r="C206" s="28"/>
      <c r="D206" s="28"/>
      <c r="E206">
        <f t="shared" si="17"/>
        <v>0.25</v>
      </c>
      <c r="F206">
        <f t="shared" si="19"/>
        <v>-0.25</v>
      </c>
      <c r="G206">
        <f t="shared" si="20"/>
        <v>6.25E-2</v>
      </c>
    </row>
    <row r="207" spans="1:7" x14ac:dyDescent="0.5">
      <c r="A207">
        <v>197</v>
      </c>
      <c r="B207">
        <f t="shared" si="18"/>
        <v>0</v>
      </c>
      <c r="C207" s="28"/>
      <c r="D207" s="28"/>
      <c r="E207">
        <f t="shared" si="17"/>
        <v>0.25</v>
      </c>
      <c r="F207">
        <f t="shared" si="19"/>
        <v>-0.25</v>
      </c>
      <c r="G207">
        <f t="shared" si="20"/>
        <v>6.25E-2</v>
      </c>
    </row>
    <row r="208" spans="1:7" x14ac:dyDescent="0.5">
      <c r="A208">
        <v>198</v>
      </c>
      <c r="B208">
        <f t="shared" si="18"/>
        <v>0</v>
      </c>
      <c r="C208" s="28"/>
      <c r="D208" s="28"/>
      <c r="E208">
        <f t="shared" si="17"/>
        <v>0.25</v>
      </c>
      <c r="F208">
        <f t="shared" si="19"/>
        <v>-0.25</v>
      </c>
      <c r="G208">
        <f t="shared" si="20"/>
        <v>6.25E-2</v>
      </c>
    </row>
    <row r="209" spans="1:7" x14ac:dyDescent="0.5">
      <c r="A209">
        <v>199</v>
      </c>
      <c r="B209">
        <f t="shared" si="18"/>
        <v>0</v>
      </c>
      <c r="C209" s="28"/>
      <c r="D209" s="28"/>
      <c r="E209">
        <f t="shared" si="17"/>
        <v>0.25</v>
      </c>
      <c r="F209">
        <f t="shared" si="19"/>
        <v>-0.25</v>
      </c>
      <c r="G209">
        <f t="shared" si="20"/>
        <v>6.25E-2</v>
      </c>
    </row>
    <row r="210" spans="1:7" x14ac:dyDescent="0.5">
      <c r="A210">
        <v>200</v>
      </c>
      <c r="B210">
        <f t="shared" si="18"/>
        <v>0</v>
      </c>
      <c r="C210" s="28"/>
      <c r="D210" s="28"/>
      <c r="E210">
        <f t="shared" si="17"/>
        <v>0.25</v>
      </c>
      <c r="F210">
        <f t="shared" si="19"/>
        <v>-0.25</v>
      </c>
      <c r="G210">
        <f t="shared" si="20"/>
        <v>6.25E-2</v>
      </c>
    </row>
    <row r="211" spans="1:7" x14ac:dyDescent="0.5">
      <c r="A211">
        <v>201</v>
      </c>
      <c r="B211">
        <f t="shared" si="18"/>
        <v>0</v>
      </c>
      <c r="C211" s="28"/>
      <c r="D211" s="28"/>
      <c r="E211">
        <f t="shared" si="17"/>
        <v>0.25</v>
      </c>
      <c r="F211">
        <f t="shared" si="19"/>
        <v>-0.25</v>
      </c>
      <c r="G211">
        <f t="shared" si="20"/>
        <v>6.25E-2</v>
      </c>
    </row>
    <row r="212" spans="1:7" x14ac:dyDescent="0.5">
      <c r="A212">
        <v>202</v>
      </c>
      <c r="B212">
        <f t="shared" si="18"/>
        <v>0</v>
      </c>
      <c r="C212" s="28"/>
      <c r="D212" s="28"/>
      <c r="E212">
        <f t="shared" si="17"/>
        <v>0.25</v>
      </c>
      <c r="F212">
        <f t="shared" si="19"/>
        <v>-0.25</v>
      </c>
      <c r="G212">
        <f t="shared" si="20"/>
        <v>6.25E-2</v>
      </c>
    </row>
    <row r="213" spans="1:7" x14ac:dyDescent="0.5">
      <c r="A213">
        <v>203</v>
      </c>
      <c r="B213">
        <f t="shared" si="18"/>
        <v>0</v>
      </c>
      <c r="C213" s="28"/>
      <c r="D213" s="28"/>
      <c r="E213">
        <f t="shared" si="17"/>
        <v>0.25</v>
      </c>
      <c r="F213">
        <f t="shared" si="19"/>
        <v>-0.25</v>
      </c>
      <c r="G213">
        <f t="shared" si="20"/>
        <v>6.25E-2</v>
      </c>
    </row>
    <row r="214" spans="1:7" x14ac:dyDescent="0.5">
      <c r="A214">
        <v>204</v>
      </c>
      <c r="B214">
        <f t="shared" si="18"/>
        <v>0</v>
      </c>
      <c r="C214" s="28"/>
      <c r="D214" s="28"/>
      <c r="E214">
        <f t="shared" si="17"/>
        <v>0.25</v>
      </c>
      <c r="F214">
        <f t="shared" si="19"/>
        <v>-0.25</v>
      </c>
      <c r="G214">
        <f t="shared" si="20"/>
        <v>6.25E-2</v>
      </c>
    </row>
    <row r="215" spans="1:7" x14ac:dyDescent="0.5">
      <c r="A215">
        <v>205</v>
      </c>
      <c r="B215">
        <f t="shared" si="18"/>
        <v>0</v>
      </c>
      <c r="C215" s="28"/>
      <c r="D215" s="28"/>
      <c r="E215">
        <f t="shared" si="17"/>
        <v>0.25</v>
      </c>
      <c r="F215">
        <f t="shared" si="19"/>
        <v>-0.25</v>
      </c>
      <c r="G215">
        <f t="shared" si="20"/>
        <v>6.25E-2</v>
      </c>
    </row>
    <row r="216" spans="1:7" x14ac:dyDescent="0.5">
      <c r="A216">
        <v>206</v>
      </c>
      <c r="B216">
        <f t="shared" si="18"/>
        <v>0</v>
      </c>
      <c r="C216" s="28"/>
      <c r="D216" s="28"/>
      <c r="E216">
        <f t="shared" si="17"/>
        <v>0.25</v>
      </c>
      <c r="F216">
        <f t="shared" si="19"/>
        <v>-0.25</v>
      </c>
      <c r="G216">
        <f t="shared" si="20"/>
        <v>6.25E-2</v>
      </c>
    </row>
    <row r="217" spans="1:7" x14ac:dyDescent="0.5">
      <c r="A217">
        <v>207</v>
      </c>
      <c r="B217">
        <f t="shared" si="18"/>
        <v>0</v>
      </c>
      <c r="C217" s="28"/>
      <c r="D217" s="28"/>
      <c r="E217">
        <f t="shared" si="17"/>
        <v>0.25</v>
      </c>
      <c r="F217">
        <f t="shared" si="19"/>
        <v>-0.25</v>
      </c>
      <c r="G217">
        <f t="shared" si="20"/>
        <v>6.25E-2</v>
      </c>
    </row>
    <row r="218" spans="1:7" x14ac:dyDescent="0.5">
      <c r="A218">
        <v>208</v>
      </c>
      <c r="B218">
        <f t="shared" si="18"/>
        <v>0</v>
      </c>
      <c r="C218" s="28"/>
      <c r="D218" s="28"/>
      <c r="E218">
        <f t="shared" si="17"/>
        <v>0.25</v>
      </c>
      <c r="F218">
        <f t="shared" si="19"/>
        <v>-0.25</v>
      </c>
      <c r="G218">
        <f t="shared" si="20"/>
        <v>6.25E-2</v>
      </c>
    </row>
    <row r="219" spans="1:7" x14ac:dyDescent="0.5">
      <c r="A219">
        <v>209</v>
      </c>
      <c r="B219">
        <f t="shared" si="18"/>
        <v>0</v>
      </c>
      <c r="C219" s="28"/>
      <c r="D219" s="28"/>
      <c r="E219">
        <f t="shared" si="17"/>
        <v>0.25</v>
      </c>
      <c r="F219">
        <f t="shared" si="19"/>
        <v>-0.25</v>
      </c>
      <c r="G219">
        <f t="shared" si="20"/>
        <v>6.25E-2</v>
      </c>
    </row>
    <row r="220" spans="1:7" x14ac:dyDescent="0.5">
      <c r="A220">
        <v>210</v>
      </c>
      <c r="B220">
        <f t="shared" si="18"/>
        <v>0</v>
      </c>
      <c r="C220" s="28"/>
      <c r="D220" s="28"/>
      <c r="E220">
        <f t="shared" si="17"/>
        <v>0.25</v>
      </c>
      <c r="F220">
        <f t="shared" si="19"/>
        <v>-0.25</v>
      </c>
      <c r="G220">
        <f t="shared" si="20"/>
        <v>6.25E-2</v>
      </c>
    </row>
    <row r="221" spans="1:7" x14ac:dyDescent="0.5">
      <c r="A221">
        <v>211</v>
      </c>
      <c r="B221">
        <f t="shared" si="18"/>
        <v>0</v>
      </c>
      <c r="C221" s="28"/>
      <c r="D221" s="28"/>
      <c r="E221">
        <f t="shared" si="17"/>
        <v>0.25</v>
      </c>
      <c r="F221">
        <f t="shared" si="19"/>
        <v>-0.25</v>
      </c>
      <c r="G221">
        <f t="shared" si="20"/>
        <v>6.25E-2</v>
      </c>
    </row>
    <row r="222" spans="1:7" x14ac:dyDescent="0.5">
      <c r="A222">
        <v>212</v>
      </c>
      <c r="B222">
        <f t="shared" si="18"/>
        <v>0</v>
      </c>
      <c r="C222" s="28"/>
      <c r="D222" s="28"/>
      <c r="E222">
        <f t="shared" si="17"/>
        <v>0.25</v>
      </c>
      <c r="F222">
        <f t="shared" si="19"/>
        <v>-0.25</v>
      </c>
      <c r="G222">
        <f t="shared" si="20"/>
        <v>6.25E-2</v>
      </c>
    </row>
    <row r="223" spans="1:7" x14ac:dyDescent="0.5">
      <c r="A223">
        <v>213</v>
      </c>
      <c r="B223">
        <f t="shared" si="18"/>
        <v>0</v>
      </c>
      <c r="C223" s="28"/>
      <c r="D223" s="28"/>
      <c r="E223">
        <f t="shared" si="17"/>
        <v>0.25</v>
      </c>
      <c r="F223">
        <f t="shared" si="19"/>
        <v>-0.25</v>
      </c>
      <c r="G223">
        <f t="shared" si="20"/>
        <v>6.25E-2</v>
      </c>
    </row>
    <row r="224" spans="1:7" x14ac:dyDescent="0.5">
      <c r="A224">
        <v>214</v>
      </c>
      <c r="B224">
        <f t="shared" si="18"/>
        <v>0</v>
      </c>
      <c r="C224" s="28"/>
      <c r="D224" s="28"/>
      <c r="E224">
        <f t="shared" si="17"/>
        <v>0.25</v>
      </c>
      <c r="F224">
        <f t="shared" si="19"/>
        <v>-0.25</v>
      </c>
      <c r="G224">
        <f t="shared" si="20"/>
        <v>6.25E-2</v>
      </c>
    </row>
    <row r="225" spans="1:7" x14ac:dyDescent="0.5">
      <c r="A225">
        <v>215</v>
      </c>
      <c r="B225">
        <f t="shared" si="18"/>
        <v>0</v>
      </c>
      <c r="C225" s="28"/>
      <c r="D225" s="28"/>
      <c r="E225">
        <f t="shared" si="17"/>
        <v>0.25</v>
      </c>
      <c r="F225">
        <f t="shared" si="19"/>
        <v>-0.25</v>
      </c>
      <c r="G225">
        <f t="shared" si="20"/>
        <v>6.25E-2</v>
      </c>
    </row>
    <row r="226" spans="1:7" x14ac:dyDescent="0.5">
      <c r="A226">
        <v>216</v>
      </c>
      <c r="B226">
        <f t="shared" si="18"/>
        <v>0</v>
      </c>
      <c r="C226" s="28"/>
      <c r="D226" s="28"/>
      <c r="E226">
        <f t="shared" si="17"/>
        <v>0.25</v>
      </c>
      <c r="F226">
        <f t="shared" si="19"/>
        <v>-0.25</v>
      </c>
      <c r="G226">
        <f t="shared" si="20"/>
        <v>6.25E-2</v>
      </c>
    </row>
    <row r="227" spans="1:7" x14ac:dyDescent="0.5">
      <c r="A227">
        <v>217</v>
      </c>
      <c r="B227">
        <f t="shared" si="18"/>
        <v>0</v>
      </c>
      <c r="C227" s="28"/>
      <c r="D227" s="28"/>
      <c r="E227">
        <f t="shared" si="17"/>
        <v>0.25</v>
      </c>
      <c r="F227">
        <f t="shared" si="19"/>
        <v>-0.25</v>
      </c>
      <c r="G227">
        <f t="shared" si="20"/>
        <v>6.25E-2</v>
      </c>
    </row>
    <row r="228" spans="1:7" x14ac:dyDescent="0.5">
      <c r="A228">
        <v>218</v>
      </c>
      <c r="B228">
        <f t="shared" si="18"/>
        <v>0</v>
      </c>
      <c r="C228" s="28"/>
      <c r="D228" s="28"/>
      <c r="E228">
        <f t="shared" si="17"/>
        <v>0.25</v>
      </c>
      <c r="F228">
        <f t="shared" si="19"/>
        <v>-0.25</v>
      </c>
      <c r="G228">
        <f t="shared" si="20"/>
        <v>6.25E-2</v>
      </c>
    </row>
    <row r="229" spans="1:7" x14ac:dyDescent="0.5">
      <c r="A229">
        <v>219</v>
      </c>
      <c r="B229">
        <f t="shared" si="18"/>
        <v>0</v>
      </c>
      <c r="C229" s="28"/>
      <c r="D229" s="28"/>
      <c r="E229">
        <f t="shared" si="17"/>
        <v>0.25</v>
      </c>
      <c r="F229">
        <f t="shared" si="19"/>
        <v>-0.25</v>
      </c>
      <c r="G229">
        <f t="shared" si="20"/>
        <v>6.25E-2</v>
      </c>
    </row>
    <row r="230" spans="1:7" x14ac:dyDescent="0.5">
      <c r="A230">
        <v>220</v>
      </c>
      <c r="B230">
        <f t="shared" si="18"/>
        <v>0</v>
      </c>
      <c r="C230" s="28"/>
      <c r="D230" s="28"/>
      <c r="E230">
        <f t="shared" si="17"/>
        <v>0.25</v>
      </c>
      <c r="F230">
        <f t="shared" si="19"/>
        <v>-0.25</v>
      </c>
      <c r="G230">
        <f t="shared" si="20"/>
        <v>6.25E-2</v>
      </c>
    </row>
    <row r="231" spans="1:7" x14ac:dyDescent="0.5">
      <c r="A231">
        <v>221</v>
      </c>
      <c r="B231">
        <f t="shared" si="18"/>
        <v>0</v>
      </c>
      <c r="C231" s="28"/>
      <c r="D231" s="28"/>
      <c r="E231">
        <f t="shared" si="17"/>
        <v>0.25</v>
      </c>
      <c r="F231">
        <f t="shared" si="19"/>
        <v>-0.25</v>
      </c>
      <c r="G231">
        <f t="shared" si="20"/>
        <v>6.25E-2</v>
      </c>
    </row>
    <row r="232" spans="1:7" x14ac:dyDescent="0.5">
      <c r="A232">
        <v>222</v>
      </c>
      <c r="B232">
        <f t="shared" si="18"/>
        <v>0</v>
      </c>
      <c r="C232" s="28"/>
      <c r="D232" s="28"/>
      <c r="E232">
        <f t="shared" si="17"/>
        <v>0.25</v>
      </c>
      <c r="F232">
        <f t="shared" si="19"/>
        <v>-0.25</v>
      </c>
      <c r="G232">
        <f t="shared" si="20"/>
        <v>6.25E-2</v>
      </c>
    </row>
    <row r="233" spans="1:7" x14ac:dyDescent="0.5">
      <c r="A233">
        <v>223</v>
      </c>
      <c r="B233">
        <f t="shared" si="18"/>
        <v>0</v>
      </c>
      <c r="C233" s="28"/>
      <c r="D233" s="28"/>
      <c r="E233">
        <f t="shared" si="17"/>
        <v>0.25</v>
      </c>
      <c r="F233">
        <f t="shared" si="19"/>
        <v>-0.25</v>
      </c>
      <c r="G233">
        <f t="shared" si="20"/>
        <v>6.25E-2</v>
      </c>
    </row>
    <row r="234" spans="1:7" x14ac:dyDescent="0.5">
      <c r="A234">
        <v>224</v>
      </c>
      <c r="B234">
        <f t="shared" si="18"/>
        <v>0</v>
      </c>
      <c r="C234" s="28"/>
      <c r="D234" s="28"/>
      <c r="E234">
        <f t="shared" si="17"/>
        <v>0.25</v>
      </c>
      <c r="F234">
        <f t="shared" si="19"/>
        <v>-0.25</v>
      </c>
      <c r="G234">
        <f t="shared" si="20"/>
        <v>6.25E-2</v>
      </c>
    </row>
    <row r="235" spans="1:7" x14ac:dyDescent="0.5">
      <c r="A235">
        <v>225</v>
      </c>
      <c r="B235">
        <f t="shared" si="18"/>
        <v>0</v>
      </c>
      <c r="C235" s="28"/>
      <c r="D235" s="28"/>
      <c r="E235">
        <f t="shared" si="17"/>
        <v>0.25</v>
      </c>
      <c r="F235">
        <f t="shared" si="19"/>
        <v>-0.25</v>
      </c>
      <c r="G235">
        <f t="shared" si="20"/>
        <v>6.25E-2</v>
      </c>
    </row>
    <row r="236" spans="1:7" x14ac:dyDescent="0.5">
      <c r="A236">
        <v>226</v>
      </c>
      <c r="B236">
        <f t="shared" si="18"/>
        <v>0</v>
      </c>
      <c r="C236" s="28"/>
      <c r="D236" s="28"/>
      <c r="E236">
        <f t="shared" si="17"/>
        <v>0.25</v>
      </c>
      <c r="F236">
        <f t="shared" si="19"/>
        <v>-0.25</v>
      </c>
      <c r="G236">
        <f t="shared" si="20"/>
        <v>6.25E-2</v>
      </c>
    </row>
    <row r="237" spans="1:7" x14ac:dyDescent="0.5">
      <c r="A237">
        <v>227</v>
      </c>
      <c r="B237">
        <f t="shared" si="18"/>
        <v>0</v>
      </c>
      <c r="C237" s="28"/>
      <c r="D237" s="28"/>
      <c r="E237">
        <f t="shared" si="17"/>
        <v>0.25</v>
      </c>
      <c r="F237">
        <f t="shared" si="19"/>
        <v>-0.25</v>
      </c>
      <c r="G237">
        <f t="shared" si="20"/>
        <v>6.25E-2</v>
      </c>
    </row>
    <row r="238" spans="1:7" x14ac:dyDescent="0.5">
      <c r="A238">
        <v>228</v>
      </c>
      <c r="B238">
        <f t="shared" si="18"/>
        <v>0</v>
      </c>
      <c r="C238" s="28"/>
      <c r="D238" s="28"/>
      <c r="E238">
        <f t="shared" si="17"/>
        <v>0.25</v>
      </c>
      <c r="F238">
        <f t="shared" si="19"/>
        <v>-0.25</v>
      </c>
      <c r="G238">
        <f t="shared" si="20"/>
        <v>6.25E-2</v>
      </c>
    </row>
    <row r="239" spans="1:7" x14ac:dyDescent="0.5">
      <c r="A239">
        <v>229</v>
      </c>
      <c r="B239">
        <f t="shared" si="18"/>
        <v>0</v>
      </c>
      <c r="C239" s="28"/>
      <c r="D239" s="28"/>
      <c r="E239">
        <f t="shared" si="17"/>
        <v>0.25</v>
      </c>
      <c r="F239">
        <f t="shared" si="19"/>
        <v>-0.25</v>
      </c>
      <c r="G239">
        <f t="shared" si="20"/>
        <v>6.25E-2</v>
      </c>
    </row>
    <row r="240" spans="1:7" x14ac:dyDescent="0.5">
      <c r="A240">
        <v>230</v>
      </c>
      <c r="B240">
        <f t="shared" si="18"/>
        <v>0</v>
      </c>
      <c r="C240" s="28"/>
      <c r="D240" s="28"/>
      <c r="E240">
        <f t="shared" si="17"/>
        <v>0.25</v>
      </c>
      <c r="F240">
        <f t="shared" si="19"/>
        <v>-0.25</v>
      </c>
      <c r="G240">
        <f t="shared" si="20"/>
        <v>6.25E-2</v>
      </c>
    </row>
    <row r="241" spans="1:7" x14ac:dyDescent="0.5">
      <c r="A241">
        <v>231</v>
      </c>
      <c r="B241">
        <f t="shared" si="18"/>
        <v>0</v>
      </c>
      <c r="C241" s="28"/>
      <c r="D241" s="28"/>
      <c r="E241">
        <f t="shared" si="17"/>
        <v>0.25</v>
      </c>
      <c r="F241">
        <f t="shared" si="19"/>
        <v>-0.25</v>
      </c>
      <c r="G241">
        <f t="shared" si="20"/>
        <v>6.25E-2</v>
      </c>
    </row>
    <row r="242" spans="1:7" x14ac:dyDescent="0.5">
      <c r="A242">
        <v>232</v>
      </c>
      <c r="B242">
        <f t="shared" si="18"/>
        <v>0</v>
      </c>
      <c r="C242" s="28"/>
      <c r="D242" s="28"/>
      <c r="E242">
        <f t="shared" si="17"/>
        <v>0.25</v>
      </c>
      <c r="F242">
        <f t="shared" si="19"/>
        <v>-0.25</v>
      </c>
      <c r="G242">
        <f t="shared" si="20"/>
        <v>6.25E-2</v>
      </c>
    </row>
    <row r="243" spans="1:7" x14ac:dyDescent="0.5">
      <c r="A243">
        <v>233</v>
      </c>
      <c r="B243">
        <f t="shared" si="18"/>
        <v>0</v>
      </c>
      <c r="C243" s="28"/>
      <c r="D243" s="28"/>
      <c r="E243">
        <f t="shared" si="17"/>
        <v>0.25</v>
      </c>
      <c r="F243">
        <f t="shared" si="19"/>
        <v>-0.25</v>
      </c>
      <c r="G243">
        <f t="shared" si="20"/>
        <v>6.25E-2</v>
      </c>
    </row>
    <row r="244" spans="1:7" x14ac:dyDescent="0.5">
      <c r="A244">
        <v>234</v>
      </c>
      <c r="B244">
        <f t="shared" si="18"/>
        <v>0</v>
      </c>
      <c r="C244" s="28"/>
      <c r="D244" s="28"/>
      <c r="E244">
        <f t="shared" si="17"/>
        <v>0.25</v>
      </c>
      <c r="F244">
        <f t="shared" si="19"/>
        <v>-0.25</v>
      </c>
      <c r="G244">
        <f t="shared" si="20"/>
        <v>6.25E-2</v>
      </c>
    </row>
    <row r="245" spans="1:7" x14ac:dyDescent="0.5">
      <c r="A245">
        <v>235</v>
      </c>
      <c r="B245">
        <f t="shared" si="18"/>
        <v>0</v>
      </c>
      <c r="C245" s="28"/>
      <c r="D245" s="28"/>
      <c r="E245">
        <f t="shared" si="17"/>
        <v>0.25</v>
      </c>
      <c r="F245">
        <f t="shared" si="19"/>
        <v>-0.25</v>
      </c>
      <c r="G245">
        <f t="shared" si="20"/>
        <v>6.25E-2</v>
      </c>
    </row>
    <row r="246" spans="1:7" x14ac:dyDescent="0.5">
      <c r="A246">
        <v>236</v>
      </c>
      <c r="B246">
        <f t="shared" si="18"/>
        <v>0</v>
      </c>
      <c r="C246" s="28"/>
      <c r="D246" s="28"/>
      <c r="E246">
        <f t="shared" si="17"/>
        <v>0.25</v>
      </c>
      <c r="F246">
        <f t="shared" si="19"/>
        <v>-0.25</v>
      </c>
      <c r="G246">
        <f t="shared" si="20"/>
        <v>6.25E-2</v>
      </c>
    </row>
    <row r="247" spans="1:7" x14ac:dyDescent="0.5">
      <c r="A247">
        <v>237</v>
      </c>
      <c r="B247">
        <f t="shared" si="18"/>
        <v>0</v>
      </c>
      <c r="C247" s="28"/>
      <c r="D247" s="28"/>
      <c r="E247">
        <f t="shared" si="17"/>
        <v>0.25</v>
      </c>
      <c r="F247">
        <f t="shared" si="19"/>
        <v>-0.25</v>
      </c>
      <c r="G247">
        <f t="shared" si="20"/>
        <v>6.25E-2</v>
      </c>
    </row>
    <row r="248" spans="1:7" x14ac:dyDescent="0.5">
      <c r="A248">
        <v>238</v>
      </c>
      <c r="B248">
        <f t="shared" si="18"/>
        <v>0</v>
      </c>
      <c r="C248" s="28"/>
      <c r="D248" s="28"/>
      <c r="E248">
        <f t="shared" si="17"/>
        <v>0.25</v>
      </c>
      <c r="F248">
        <f t="shared" si="19"/>
        <v>-0.25</v>
      </c>
      <c r="G248">
        <f t="shared" si="20"/>
        <v>6.25E-2</v>
      </c>
    </row>
    <row r="249" spans="1:7" x14ac:dyDescent="0.5">
      <c r="A249">
        <v>239</v>
      </c>
      <c r="B249">
        <f t="shared" si="18"/>
        <v>0</v>
      </c>
      <c r="C249" s="28"/>
      <c r="D249" s="28"/>
      <c r="E249">
        <f t="shared" si="17"/>
        <v>0.25</v>
      </c>
      <c r="F249">
        <f t="shared" si="19"/>
        <v>-0.25</v>
      </c>
      <c r="G249">
        <f t="shared" si="20"/>
        <v>6.25E-2</v>
      </c>
    </row>
    <row r="250" spans="1:7" x14ac:dyDescent="0.5">
      <c r="A250">
        <v>240</v>
      </c>
      <c r="B250">
        <f t="shared" si="18"/>
        <v>0</v>
      </c>
      <c r="C250" s="28"/>
      <c r="D250" s="28"/>
      <c r="E250">
        <f t="shared" si="17"/>
        <v>0.25</v>
      </c>
      <c r="F250">
        <f t="shared" si="19"/>
        <v>-0.25</v>
      </c>
      <c r="G250">
        <f t="shared" si="20"/>
        <v>6.25E-2</v>
      </c>
    </row>
    <row r="251" spans="1:7" x14ac:dyDescent="0.5">
      <c r="A251">
        <v>241</v>
      </c>
      <c r="B251">
        <f t="shared" si="18"/>
        <v>0</v>
      </c>
      <c r="C251" s="28"/>
      <c r="D251" s="28"/>
      <c r="E251">
        <f t="shared" si="17"/>
        <v>0.25</v>
      </c>
      <c r="F251">
        <f t="shared" si="19"/>
        <v>-0.25</v>
      </c>
      <c r="G251">
        <f t="shared" si="20"/>
        <v>6.25E-2</v>
      </c>
    </row>
    <row r="252" spans="1:7" x14ac:dyDescent="0.5">
      <c r="A252">
        <v>242</v>
      </c>
      <c r="B252">
        <f t="shared" si="18"/>
        <v>0</v>
      </c>
      <c r="C252" s="28"/>
      <c r="D252" s="28"/>
      <c r="E252">
        <f t="shared" si="17"/>
        <v>0.25</v>
      </c>
      <c r="F252">
        <f t="shared" si="19"/>
        <v>-0.25</v>
      </c>
      <c r="G252">
        <f t="shared" si="20"/>
        <v>6.25E-2</v>
      </c>
    </row>
    <row r="253" spans="1:7" x14ac:dyDescent="0.5">
      <c r="A253">
        <v>243</v>
      </c>
      <c r="B253">
        <f t="shared" si="18"/>
        <v>0</v>
      </c>
      <c r="C253" s="28"/>
      <c r="D253" s="28"/>
      <c r="E253">
        <f t="shared" si="17"/>
        <v>0.25</v>
      </c>
      <c r="F253">
        <f t="shared" si="19"/>
        <v>-0.25</v>
      </c>
      <c r="G253">
        <f t="shared" si="20"/>
        <v>6.25E-2</v>
      </c>
    </row>
    <row r="254" spans="1:7" x14ac:dyDescent="0.5">
      <c r="A254">
        <v>244</v>
      </c>
      <c r="B254">
        <f t="shared" si="18"/>
        <v>0</v>
      </c>
      <c r="C254" s="28"/>
      <c r="D254" s="28"/>
      <c r="E254">
        <f t="shared" si="17"/>
        <v>0.25</v>
      </c>
      <c r="F254">
        <f t="shared" si="19"/>
        <v>-0.25</v>
      </c>
      <c r="G254">
        <f t="shared" si="20"/>
        <v>6.25E-2</v>
      </c>
    </row>
    <row r="255" spans="1:7" x14ac:dyDescent="0.5">
      <c r="A255">
        <v>245</v>
      </c>
      <c r="B255">
        <f t="shared" si="18"/>
        <v>0</v>
      </c>
      <c r="C255" s="28"/>
      <c r="D255" s="28"/>
      <c r="E255">
        <f t="shared" si="17"/>
        <v>0.25</v>
      </c>
      <c r="F255">
        <f t="shared" si="19"/>
        <v>-0.25</v>
      </c>
      <c r="G255">
        <f t="shared" si="20"/>
        <v>6.25E-2</v>
      </c>
    </row>
    <row r="256" spans="1:7" x14ac:dyDescent="0.5">
      <c r="A256">
        <v>246</v>
      </c>
      <c r="B256">
        <f t="shared" si="18"/>
        <v>0</v>
      </c>
      <c r="C256" s="28"/>
      <c r="D256" s="28"/>
      <c r="E256">
        <f t="shared" si="17"/>
        <v>0.25</v>
      </c>
      <c r="F256">
        <f t="shared" si="19"/>
        <v>-0.25</v>
      </c>
      <c r="G256">
        <f t="shared" si="20"/>
        <v>6.25E-2</v>
      </c>
    </row>
    <row r="257" spans="1:7" x14ac:dyDescent="0.5">
      <c r="A257">
        <v>247</v>
      </c>
      <c r="B257">
        <f t="shared" si="18"/>
        <v>0</v>
      </c>
      <c r="C257" s="28"/>
      <c r="D257" s="28"/>
      <c r="E257">
        <f t="shared" si="17"/>
        <v>0.25</v>
      </c>
      <c r="F257">
        <f t="shared" si="19"/>
        <v>-0.25</v>
      </c>
      <c r="G257">
        <f t="shared" si="20"/>
        <v>6.25E-2</v>
      </c>
    </row>
    <row r="258" spans="1:7" x14ac:dyDescent="0.5">
      <c r="A258">
        <v>248</v>
      </c>
      <c r="B258">
        <f t="shared" si="18"/>
        <v>0</v>
      </c>
      <c r="C258" s="28"/>
      <c r="D258" s="28"/>
      <c r="E258">
        <f t="shared" si="17"/>
        <v>0.25</v>
      </c>
      <c r="F258">
        <f t="shared" si="19"/>
        <v>-0.25</v>
      </c>
      <c r="G258">
        <f t="shared" si="20"/>
        <v>6.25E-2</v>
      </c>
    </row>
    <row r="259" spans="1:7" x14ac:dyDescent="0.5">
      <c r="A259">
        <v>249</v>
      </c>
      <c r="B259">
        <f t="shared" si="18"/>
        <v>0</v>
      </c>
      <c r="C259" s="28"/>
      <c r="D259" s="28"/>
      <c r="E259">
        <f t="shared" si="17"/>
        <v>0.25</v>
      </c>
      <c r="F259">
        <f t="shared" si="19"/>
        <v>-0.25</v>
      </c>
      <c r="G259">
        <f t="shared" si="20"/>
        <v>6.25E-2</v>
      </c>
    </row>
    <row r="260" spans="1:7" x14ac:dyDescent="0.5">
      <c r="A260">
        <v>250</v>
      </c>
      <c r="B260">
        <f t="shared" si="18"/>
        <v>0</v>
      </c>
      <c r="C260" s="28"/>
      <c r="D260" s="28"/>
      <c r="E260">
        <f t="shared" si="17"/>
        <v>0.25</v>
      </c>
      <c r="F260">
        <f t="shared" si="19"/>
        <v>-0.25</v>
      </c>
      <c r="G260">
        <f t="shared" si="20"/>
        <v>6.25E-2</v>
      </c>
    </row>
    <row r="261" spans="1:7" x14ac:dyDescent="0.5">
      <c r="A261">
        <v>251</v>
      </c>
      <c r="B261">
        <f t="shared" si="18"/>
        <v>0</v>
      </c>
      <c r="C261" s="28"/>
      <c r="D261" s="28"/>
      <c r="E261">
        <f t="shared" si="17"/>
        <v>0.25</v>
      </c>
      <c r="F261">
        <f t="shared" si="19"/>
        <v>-0.25</v>
      </c>
      <c r="G261">
        <f t="shared" si="20"/>
        <v>6.25E-2</v>
      </c>
    </row>
    <row r="262" spans="1:7" x14ac:dyDescent="0.5">
      <c r="A262">
        <v>252</v>
      </c>
      <c r="B262">
        <f t="shared" si="18"/>
        <v>0</v>
      </c>
      <c r="C262" s="28"/>
      <c r="D262" s="28"/>
      <c r="E262">
        <f t="shared" si="17"/>
        <v>0.25</v>
      </c>
      <c r="F262">
        <f t="shared" si="19"/>
        <v>-0.25</v>
      </c>
      <c r="G262">
        <f t="shared" si="20"/>
        <v>6.25E-2</v>
      </c>
    </row>
    <row r="263" spans="1:7" x14ac:dyDescent="0.5">
      <c r="A263">
        <v>253</v>
      </c>
      <c r="B263">
        <f t="shared" si="18"/>
        <v>0</v>
      </c>
      <c r="C263" s="28"/>
      <c r="D263" s="28"/>
      <c r="E263">
        <f t="shared" si="17"/>
        <v>0.25</v>
      </c>
      <c r="F263">
        <f t="shared" si="19"/>
        <v>-0.25</v>
      </c>
      <c r="G263">
        <f t="shared" si="20"/>
        <v>6.25E-2</v>
      </c>
    </row>
    <row r="264" spans="1:7" x14ac:dyDescent="0.5">
      <c r="A264">
        <v>254</v>
      </c>
      <c r="B264">
        <f t="shared" si="18"/>
        <v>0</v>
      </c>
      <c r="C264" s="28"/>
      <c r="D264" s="28"/>
      <c r="E264">
        <f t="shared" si="17"/>
        <v>0.25</v>
      </c>
      <c r="F264">
        <f t="shared" si="19"/>
        <v>-0.25</v>
      </c>
      <c r="G264">
        <f t="shared" si="20"/>
        <v>6.25E-2</v>
      </c>
    </row>
    <row r="265" spans="1:7" x14ac:dyDescent="0.5">
      <c r="A265">
        <v>255</v>
      </c>
      <c r="B265">
        <f t="shared" si="18"/>
        <v>0</v>
      </c>
      <c r="C265" s="28"/>
      <c r="D265" s="28"/>
      <c r="E265">
        <f t="shared" si="17"/>
        <v>0.25</v>
      </c>
      <c r="F265">
        <f t="shared" si="19"/>
        <v>-0.25</v>
      </c>
      <c r="G265">
        <f t="shared" si="20"/>
        <v>6.25E-2</v>
      </c>
    </row>
    <row r="266" spans="1:7" x14ac:dyDescent="0.5">
      <c r="A266">
        <v>256</v>
      </c>
      <c r="B266">
        <f t="shared" si="18"/>
        <v>0</v>
      </c>
      <c r="C266" s="28"/>
      <c r="D266" s="28"/>
      <c r="E266">
        <f t="shared" si="17"/>
        <v>0.25</v>
      </c>
      <c r="F266">
        <f t="shared" si="19"/>
        <v>-0.25</v>
      </c>
      <c r="G266">
        <f t="shared" si="20"/>
        <v>6.25E-2</v>
      </c>
    </row>
    <row r="267" spans="1:7" x14ac:dyDescent="0.5">
      <c r="A267">
        <v>257</v>
      </c>
      <c r="B267">
        <f t="shared" si="18"/>
        <v>0</v>
      </c>
      <c r="C267" s="28"/>
      <c r="D267" s="28"/>
      <c r="E267">
        <f t="shared" ref="E267:E330" si="21">BaseAdjust+(ampl1*EXP(-gamma1*C267)+ampl2*EXP(-gamma2*C267)+ampl3*EXP(-gamma3*C267))^2</f>
        <v>0.25</v>
      </c>
      <c r="F267">
        <f t="shared" si="19"/>
        <v>-0.25</v>
      </c>
      <c r="G267">
        <f t="shared" si="20"/>
        <v>6.25E-2</v>
      </c>
    </row>
    <row r="268" spans="1:7" x14ac:dyDescent="0.5">
      <c r="A268">
        <v>258</v>
      </c>
      <c r="B268">
        <f t="shared" ref="B268:B331" si="22">C268/1000</f>
        <v>0</v>
      </c>
      <c r="C268" s="28"/>
      <c r="D268" s="28"/>
      <c r="E268">
        <f t="shared" si="21"/>
        <v>0.25</v>
      </c>
      <c r="F268">
        <f t="shared" ref="F268:F331" si="23">D268-E268</f>
        <v>-0.25</v>
      </c>
      <c r="G268">
        <f t="shared" ref="G268:G331" si="24">F268^2</f>
        <v>6.25E-2</v>
      </c>
    </row>
    <row r="269" spans="1:7" x14ac:dyDescent="0.5">
      <c r="A269">
        <v>259</v>
      </c>
      <c r="B269">
        <f t="shared" si="22"/>
        <v>0</v>
      </c>
      <c r="C269" s="28"/>
      <c r="D269" s="28"/>
      <c r="E269">
        <f t="shared" si="21"/>
        <v>0.25</v>
      </c>
      <c r="F269">
        <f t="shared" si="23"/>
        <v>-0.25</v>
      </c>
      <c r="G269">
        <f t="shared" si="24"/>
        <v>6.25E-2</v>
      </c>
    </row>
    <row r="270" spans="1:7" x14ac:dyDescent="0.5">
      <c r="A270">
        <v>260</v>
      </c>
      <c r="B270">
        <f t="shared" si="22"/>
        <v>0</v>
      </c>
      <c r="C270" s="28"/>
      <c r="D270" s="28"/>
      <c r="E270">
        <f t="shared" si="21"/>
        <v>0.25</v>
      </c>
      <c r="F270">
        <f t="shared" si="23"/>
        <v>-0.25</v>
      </c>
      <c r="G270">
        <f t="shared" si="24"/>
        <v>6.25E-2</v>
      </c>
    </row>
    <row r="271" spans="1:7" x14ac:dyDescent="0.5">
      <c r="A271">
        <v>261</v>
      </c>
      <c r="B271">
        <f t="shared" si="22"/>
        <v>0</v>
      </c>
      <c r="C271" s="28"/>
      <c r="D271" s="28"/>
      <c r="E271">
        <f t="shared" si="21"/>
        <v>0.25</v>
      </c>
      <c r="F271">
        <f t="shared" si="23"/>
        <v>-0.25</v>
      </c>
      <c r="G271">
        <f t="shared" si="24"/>
        <v>6.25E-2</v>
      </c>
    </row>
    <row r="272" spans="1:7" x14ac:dyDescent="0.5">
      <c r="A272">
        <v>262</v>
      </c>
      <c r="B272">
        <f t="shared" si="22"/>
        <v>0</v>
      </c>
      <c r="C272" s="28"/>
      <c r="D272" s="28"/>
      <c r="E272">
        <f t="shared" si="21"/>
        <v>0.25</v>
      </c>
      <c r="F272">
        <f t="shared" si="23"/>
        <v>-0.25</v>
      </c>
      <c r="G272">
        <f t="shared" si="24"/>
        <v>6.25E-2</v>
      </c>
    </row>
    <row r="273" spans="1:7" x14ac:dyDescent="0.5">
      <c r="A273">
        <v>263</v>
      </c>
      <c r="B273">
        <f t="shared" si="22"/>
        <v>0</v>
      </c>
      <c r="C273" s="28"/>
      <c r="D273" s="28"/>
      <c r="E273">
        <f t="shared" si="21"/>
        <v>0.25</v>
      </c>
      <c r="F273">
        <f t="shared" si="23"/>
        <v>-0.25</v>
      </c>
      <c r="G273">
        <f t="shared" si="24"/>
        <v>6.25E-2</v>
      </c>
    </row>
    <row r="274" spans="1:7" x14ac:dyDescent="0.5">
      <c r="A274">
        <v>264</v>
      </c>
      <c r="B274">
        <f t="shared" si="22"/>
        <v>0</v>
      </c>
      <c r="C274" s="28"/>
      <c r="D274" s="28"/>
      <c r="E274">
        <f t="shared" si="21"/>
        <v>0.25</v>
      </c>
      <c r="F274">
        <f t="shared" si="23"/>
        <v>-0.25</v>
      </c>
      <c r="G274">
        <f t="shared" si="24"/>
        <v>6.25E-2</v>
      </c>
    </row>
    <row r="275" spans="1:7" x14ac:dyDescent="0.5">
      <c r="A275">
        <v>265</v>
      </c>
      <c r="B275">
        <f t="shared" si="22"/>
        <v>0</v>
      </c>
      <c r="C275" s="28"/>
      <c r="D275" s="28"/>
      <c r="E275">
        <f t="shared" si="21"/>
        <v>0.25</v>
      </c>
      <c r="F275">
        <f t="shared" si="23"/>
        <v>-0.25</v>
      </c>
      <c r="G275">
        <f t="shared" si="24"/>
        <v>6.25E-2</v>
      </c>
    </row>
    <row r="276" spans="1:7" x14ac:dyDescent="0.5">
      <c r="A276">
        <v>266</v>
      </c>
      <c r="B276">
        <f t="shared" si="22"/>
        <v>0</v>
      </c>
      <c r="C276" s="28"/>
      <c r="D276" s="28"/>
      <c r="E276">
        <f t="shared" si="21"/>
        <v>0.25</v>
      </c>
      <c r="F276">
        <f t="shared" si="23"/>
        <v>-0.25</v>
      </c>
      <c r="G276">
        <f t="shared" si="24"/>
        <v>6.25E-2</v>
      </c>
    </row>
    <row r="277" spans="1:7" x14ac:dyDescent="0.5">
      <c r="A277">
        <v>267</v>
      </c>
      <c r="B277">
        <f t="shared" si="22"/>
        <v>0</v>
      </c>
      <c r="C277" s="28"/>
      <c r="D277" s="28"/>
      <c r="E277">
        <f t="shared" si="21"/>
        <v>0.25</v>
      </c>
      <c r="F277">
        <f t="shared" si="23"/>
        <v>-0.25</v>
      </c>
      <c r="G277">
        <f t="shared" si="24"/>
        <v>6.25E-2</v>
      </c>
    </row>
    <row r="278" spans="1:7" x14ac:dyDescent="0.5">
      <c r="A278">
        <v>268</v>
      </c>
      <c r="B278">
        <f t="shared" si="22"/>
        <v>0</v>
      </c>
      <c r="C278" s="28"/>
      <c r="D278" s="28"/>
      <c r="E278">
        <f t="shared" si="21"/>
        <v>0.25</v>
      </c>
      <c r="F278">
        <f t="shared" si="23"/>
        <v>-0.25</v>
      </c>
      <c r="G278">
        <f t="shared" si="24"/>
        <v>6.25E-2</v>
      </c>
    </row>
    <row r="279" spans="1:7" x14ac:dyDescent="0.5">
      <c r="A279">
        <v>269</v>
      </c>
      <c r="B279">
        <f t="shared" si="22"/>
        <v>0</v>
      </c>
      <c r="C279" s="28"/>
      <c r="D279" s="28"/>
      <c r="E279">
        <f t="shared" si="21"/>
        <v>0.25</v>
      </c>
      <c r="F279">
        <f t="shared" si="23"/>
        <v>-0.25</v>
      </c>
      <c r="G279">
        <f t="shared" si="24"/>
        <v>6.25E-2</v>
      </c>
    </row>
    <row r="280" spans="1:7" x14ac:dyDescent="0.5">
      <c r="A280">
        <v>270</v>
      </c>
      <c r="B280">
        <f t="shared" si="22"/>
        <v>0</v>
      </c>
      <c r="C280" s="28"/>
      <c r="D280" s="28"/>
      <c r="E280">
        <f t="shared" si="21"/>
        <v>0.25</v>
      </c>
      <c r="F280">
        <f t="shared" si="23"/>
        <v>-0.25</v>
      </c>
      <c r="G280">
        <f t="shared" si="24"/>
        <v>6.25E-2</v>
      </c>
    </row>
    <row r="281" spans="1:7" x14ac:dyDescent="0.5">
      <c r="A281">
        <v>271</v>
      </c>
      <c r="B281">
        <f t="shared" si="22"/>
        <v>0</v>
      </c>
      <c r="C281" s="28"/>
      <c r="D281" s="28"/>
      <c r="E281">
        <f t="shared" si="21"/>
        <v>0.25</v>
      </c>
      <c r="F281">
        <f t="shared" si="23"/>
        <v>-0.25</v>
      </c>
      <c r="G281">
        <f t="shared" si="24"/>
        <v>6.25E-2</v>
      </c>
    </row>
    <row r="282" spans="1:7" x14ac:dyDescent="0.5">
      <c r="A282">
        <v>272</v>
      </c>
      <c r="B282">
        <f t="shared" si="22"/>
        <v>0</v>
      </c>
      <c r="C282" s="28"/>
      <c r="D282" s="28"/>
      <c r="E282">
        <f t="shared" si="21"/>
        <v>0.25</v>
      </c>
      <c r="F282">
        <f t="shared" si="23"/>
        <v>-0.25</v>
      </c>
      <c r="G282">
        <f t="shared" si="24"/>
        <v>6.25E-2</v>
      </c>
    </row>
    <row r="283" spans="1:7" x14ac:dyDescent="0.5">
      <c r="A283">
        <v>273</v>
      </c>
      <c r="B283">
        <f t="shared" si="22"/>
        <v>0</v>
      </c>
      <c r="C283" s="28"/>
      <c r="D283" s="28"/>
      <c r="E283">
        <f t="shared" si="21"/>
        <v>0.25</v>
      </c>
      <c r="F283">
        <f t="shared" si="23"/>
        <v>-0.25</v>
      </c>
      <c r="G283">
        <f t="shared" si="24"/>
        <v>6.25E-2</v>
      </c>
    </row>
    <row r="284" spans="1:7" x14ac:dyDescent="0.5">
      <c r="A284">
        <v>274</v>
      </c>
      <c r="B284">
        <f t="shared" si="22"/>
        <v>0</v>
      </c>
      <c r="C284" s="28"/>
      <c r="D284" s="28"/>
      <c r="E284">
        <f t="shared" si="21"/>
        <v>0.25</v>
      </c>
      <c r="F284">
        <f t="shared" si="23"/>
        <v>-0.25</v>
      </c>
      <c r="G284">
        <f t="shared" si="24"/>
        <v>6.25E-2</v>
      </c>
    </row>
    <row r="285" spans="1:7" x14ac:dyDescent="0.5">
      <c r="A285">
        <v>275</v>
      </c>
      <c r="B285">
        <f t="shared" si="22"/>
        <v>0</v>
      </c>
      <c r="C285" s="28"/>
      <c r="D285" s="28"/>
      <c r="E285">
        <f t="shared" si="21"/>
        <v>0.25</v>
      </c>
      <c r="F285">
        <f t="shared" si="23"/>
        <v>-0.25</v>
      </c>
      <c r="G285">
        <f t="shared" si="24"/>
        <v>6.25E-2</v>
      </c>
    </row>
    <row r="286" spans="1:7" x14ac:dyDescent="0.5">
      <c r="A286">
        <v>276</v>
      </c>
      <c r="B286">
        <f t="shared" si="22"/>
        <v>0</v>
      </c>
      <c r="C286" s="28"/>
      <c r="D286" s="28"/>
      <c r="E286">
        <f t="shared" si="21"/>
        <v>0.25</v>
      </c>
      <c r="F286">
        <f t="shared" si="23"/>
        <v>-0.25</v>
      </c>
      <c r="G286">
        <f t="shared" si="24"/>
        <v>6.25E-2</v>
      </c>
    </row>
    <row r="287" spans="1:7" x14ac:dyDescent="0.5">
      <c r="A287">
        <v>277</v>
      </c>
      <c r="B287">
        <f t="shared" si="22"/>
        <v>0</v>
      </c>
      <c r="C287" s="28"/>
      <c r="D287" s="28"/>
      <c r="E287">
        <f t="shared" si="21"/>
        <v>0.25</v>
      </c>
      <c r="F287">
        <f t="shared" si="23"/>
        <v>-0.25</v>
      </c>
      <c r="G287">
        <f t="shared" si="24"/>
        <v>6.25E-2</v>
      </c>
    </row>
    <row r="288" spans="1:7" x14ac:dyDescent="0.5">
      <c r="A288">
        <v>278</v>
      </c>
      <c r="B288">
        <f t="shared" si="22"/>
        <v>0</v>
      </c>
      <c r="C288" s="28"/>
      <c r="D288" s="28"/>
      <c r="E288">
        <f t="shared" si="21"/>
        <v>0.25</v>
      </c>
      <c r="F288">
        <f t="shared" si="23"/>
        <v>-0.25</v>
      </c>
      <c r="G288">
        <f t="shared" si="24"/>
        <v>6.25E-2</v>
      </c>
    </row>
    <row r="289" spans="1:7" x14ac:dyDescent="0.5">
      <c r="A289">
        <v>279</v>
      </c>
      <c r="B289">
        <f t="shared" si="22"/>
        <v>0</v>
      </c>
      <c r="C289" s="28"/>
      <c r="D289" s="28"/>
      <c r="E289">
        <f t="shared" si="21"/>
        <v>0.25</v>
      </c>
      <c r="F289">
        <f t="shared" si="23"/>
        <v>-0.25</v>
      </c>
      <c r="G289">
        <f t="shared" si="24"/>
        <v>6.25E-2</v>
      </c>
    </row>
    <row r="290" spans="1:7" x14ac:dyDescent="0.5">
      <c r="A290">
        <v>280</v>
      </c>
      <c r="B290">
        <f t="shared" si="22"/>
        <v>0</v>
      </c>
      <c r="C290" s="28"/>
      <c r="D290" s="28"/>
      <c r="E290">
        <f t="shared" si="21"/>
        <v>0.25</v>
      </c>
      <c r="F290">
        <f t="shared" si="23"/>
        <v>-0.25</v>
      </c>
      <c r="G290">
        <f t="shared" si="24"/>
        <v>6.25E-2</v>
      </c>
    </row>
    <row r="291" spans="1:7" x14ac:dyDescent="0.5">
      <c r="A291">
        <v>281</v>
      </c>
      <c r="B291">
        <f t="shared" si="22"/>
        <v>0</v>
      </c>
      <c r="C291" s="28"/>
      <c r="D291" s="28"/>
      <c r="E291">
        <f t="shared" si="21"/>
        <v>0.25</v>
      </c>
      <c r="F291">
        <f t="shared" si="23"/>
        <v>-0.25</v>
      </c>
      <c r="G291">
        <f t="shared" si="24"/>
        <v>6.25E-2</v>
      </c>
    </row>
    <row r="292" spans="1:7" x14ac:dyDescent="0.5">
      <c r="A292">
        <v>282</v>
      </c>
      <c r="B292">
        <f t="shared" si="22"/>
        <v>0</v>
      </c>
      <c r="C292" s="28"/>
      <c r="D292" s="28"/>
      <c r="E292">
        <f t="shared" si="21"/>
        <v>0.25</v>
      </c>
      <c r="F292">
        <f t="shared" si="23"/>
        <v>-0.25</v>
      </c>
      <c r="G292">
        <f t="shared" si="24"/>
        <v>6.25E-2</v>
      </c>
    </row>
    <row r="293" spans="1:7" x14ac:dyDescent="0.5">
      <c r="A293">
        <v>283</v>
      </c>
      <c r="B293">
        <f t="shared" si="22"/>
        <v>0</v>
      </c>
      <c r="C293" s="28"/>
      <c r="D293" s="28"/>
      <c r="E293">
        <f t="shared" si="21"/>
        <v>0.25</v>
      </c>
      <c r="F293">
        <f t="shared" si="23"/>
        <v>-0.25</v>
      </c>
      <c r="G293">
        <f t="shared" si="24"/>
        <v>6.25E-2</v>
      </c>
    </row>
    <row r="294" spans="1:7" x14ac:dyDescent="0.5">
      <c r="A294">
        <v>284</v>
      </c>
      <c r="B294">
        <f t="shared" si="22"/>
        <v>0</v>
      </c>
      <c r="C294" s="28"/>
      <c r="D294" s="28"/>
      <c r="E294">
        <f t="shared" si="21"/>
        <v>0.25</v>
      </c>
      <c r="F294">
        <f t="shared" si="23"/>
        <v>-0.25</v>
      </c>
      <c r="G294">
        <f t="shared" si="24"/>
        <v>6.25E-2</v>
      </c>
    </row>
    <row r="295" spans="1:7" x14ac:dyDescent="0.5">
      <c r="A295">
        <v>285</v>
      </c>
      <c r="B295">
        <f t="shared" si="22"/>
        <v>0</v>
      </c>
      <c r="C295" s="28"/>
      <c r="D295" s="28"/>
      <c r="E295">
        <f t="shared" si="21"/>
        <v>0.25</v>
      </c>
      <c r="F295">
        <f t="shared" si="23"/>
        <v>-0.25</v>
      </c>
      <c r="G295">
        <f t="shared" si="24"/>
        <v>6.25E-2</v>
      </c>
    </row>
    <row r="296" spans="1:7" x14ac:dyDescent="0.5">
      <c r="A296">
        <v>286</v>
      </c>
      <c r="B296">
        <f t="shared" si="22"/>
        <v>0</v>
      </c>
      <c r="C296" s="28"/>
      <c r="D296" s="28"/>
      <c r="E296">
        <f t="shared" si="21"/>
        <v>0.25</v>
      </c>
      <c r="F296">
        <f t="shared" si="23"/>
        <v>-0.25</v>
      </c>
      <c r="G296">
        <f t="shared" si="24"/>
        <v>6.25E-2</v>
      </c>
    </row>
    <row r="297" spans="1:7" x14ac:dyDescent="0.5">
      <c r="A297">
        <v>287</v>
      </c>
      <c r="B297">
        <f t="shared" si="22"/>
        <v>0</v>
      </c>
      <c r="C297" s="28"/>
      <c r="D297" s="28"/>
      <c r="E297">
        <f t="shared" si="21"/>
        <v>0.25</v>
      </c>
      <c r="F297">
        <f t="shared" si="23"/>
        <v>-0.25</v>
      </c>
      <c r="G297">
        <f t="shared" si="24"/>
        <v>6.25E-2</v>
      </c>
    </row>
    <row r="298" spans="1:7" x14ac:dyDescent="0.5">
      <c r="A298">
        <v>288</v>
      </c>
      <c r="B298">
        <f t="shared" si="22"/>
        <v>0</v>
      </c>
      <c r="C298" s="28"/>
      <c r="D298" s="28"/>
      <c r="E298">
        <f t="shared" si="21"/>
        <v>0.25</v>
      </c>
      <c r="F298">
        <f t="shared" si="23"/>
        <v>-0.25</v>
      </c>
      <c r="G298">
        <f t="shared" si="24"/>
        <v>6.25E-2</v>
      </c>
    </row>
    <row r="299" spans="1:7" x14ac:dyDescent="0.5">
      <c r="A299">
        <v>289</v>
      </c>
      <c r="B299">
        <f t="shared" si="22"/>
        <v>0</v>
      </c>
      <c r="C299" s="28"/>
      <c r="D299" s="28"/>
      <c r="E299">
        <f t="shared" si="21"/>
        <v>0.25</v>
      </c>
      <c r="F299">
        <f t="shared" si="23"/>
        <v>-0.25</v>
      </c>
      <c r="G299">
        <f t="shared" si="24"/>
        <v>6.25E-2</v>
      </c>
    </row>
    <row r="300" spans="1:7" x14ac:dyDescent="0.5">
      <c r="A300">
        <v>290</v>
      </c>
      <c r="B300">
        <f t="shared" si="22"/>
        <v>0</v>
      </c>
      <c r="C300" s="28"/>
      <c r="D300" s="28"/>
      <c r="E300">
        <f t="shared" si="21"/>
        <v>0.25</v>
      </c>
      <c r="F300">
        <f t="shared" si="23"/>
        <v>-0.25</v>
      </c>
      <c r="G300">
        <f t="shared" si="24"/>
        <v>6.25E-2</v>
      </c>
    </row>
    <row r="301" spans="1:7" x14ac:dyDescent="0.5">
      <c r="A301">
        <v>291</v>
      </c>
      <c r="B301">
        <f t="shared" si="22"/>
        <v>0</v>
      </c>
      <c r="C301" s="28"/>
      <c r="D301" s="28"/>
      <c r="E301">
        <f t="shared" si="21"/>
        <v>0.25</v>
      </c>
      <c r="F301">
        <f t="shared" si="23"/>
        <v>-0.25</v>
      </c>
      <c r="G301">
        <f t="shared" si="24"/>
        <v>6.25E-2</v>
      </c>
    </row>
    <row r="302" spans="1:7" x14ac:dyDescent="0.5">
      <c r="A302">
        <v>292</v>
      </c>
      <c r="B302">
        <f t="shared" si="22"/>
        <v>0</v>
      </c>
      <c r="C302" s="28"/>
      <c r="D302" s="28"/>
      <c r="E302">
        <f t="shared" si="21"/>
        <v>0.25</v>
      </c>
      <c r="F302">
        <f t="shared" si="23"/>
        <v>-0.25</v>
      </c>
      <c r="G302">
        <f t="shared" si="24"/>
        <v>6.25E-2</v>
      </c>
    </row>
    <row r="303" spans="1:7" x14ac:dyDescent="0.5">
      <c r="A303">
        <v>293</v>
      </c>
      <c r="B303">
        <f t="shared" si="22"/>
        <v>0</v>
      </c>
      <c r="C303" s="28"/>
      <c r="D303" s="28"/>
      <c r="E303">
        <f t="shared" si="21"/>
        <v>0.25</v>
      </c>
      <c r="F303">
        <f t="shared" si="23"/>
        <v>-0.25</v>
      </c>
      <c r="G303">
        <f t="shared" si="24"/>
        <v>6.25E-2</v>
      </c>
    </row>
    <row r="304" spans="1:7" x14ac:dyDescent="0.5">
      <c r="A304">
        <v>294</v>
      </c>
      <c r="B304">
        <f t="shared" si="22"/>
        <v>0</v>
      </c>
      <c r="C304" s="28"/>
      <c r="D304" s="28"/>
      <c r="E304">
        <f t="shared" si="21"/>
        <v>0.25</v>
      </c>
      <c r="F304">
        <f t="shared" si="23"/>
        <v>-0.25</v>
      </c>
      <c r="G304">
        <f t="shared" si="24"/>
        <v>6.25E-2</v>
      </c>
    </row>
    <row r="305" spans="1:7" x14ac:dyDescent="0.5">
      <c r="A305">
        <v>295</v>
      </c>
      <c r="B305">
        <f t="shared" si="22"/>
        <v>0</v>
      </c>
      <c r="C305" s="28"/>
      <c r="D305" s="28"/>
      <c r="E305">
        <f t="shared" si="21"/>
        <v>0.25</v>
      </c>
      <c r="F305">
        <f t="shared" si="23"/>
        <v>-0.25</v>
      </c>
      <c r="G305">
        <f t="shared" si="24"/>
        <v>6.25E-2</v>
      </c>
    </row>
    <row r="306" spans="1:7" x14ac:dyDescent="0.5">
      <c r="A306">
        <v>296</v>
      </c>
      <c r="B306">
        <f t="shared" si="22"/>
        <v>0</v>
      </c>
      <c r="C306" s="28"/>
      <c r="D306" s="28"/>
      <c r="E306">
        <f t="shared" si="21"/>
        <v>0.25</v>
      </c>
      <c r="F306">
        <f t="shared" si="23"/>
        <v>-0.25</v>
      </c>
      <c r="G306">
        <f t="shared" si="24"/>
        <v>6.25E-2</v>
      </c>
    </row>
    <row r="307" spans="1:7" x14ac:dyDescent="0.5">
      <c r="A307">
        <v>297</v>
      </c>
      <c r="B307">
        <f t="shared" si="22"/>
        <v>0</v>
      </c>
      <c r="C307" s="28"/>
      <c r="D307" s="28"/>
      <c r="E307">
        <f t="shared" si="21"/>
        <v>0.25</v>
      </c>
      <c r="F307">
        <f t="shared" si="23"/>
        <v>-0.25</v>
      </c>
      <c r="G307">
        <f t="shared" si="24"/>
        <v>6.25E-2</v>
      </c>
    </row>
    <row r="308" spans="1:7" x14ac:dyDescent="0.5">
      <c r="A308">
        <v>298</v>
      </c>
      <c r="B308">
        <f t="shared" si="22"/>
        <v>0</v>
      </c>
      <c r="C308" s="28"/>
      <c r="D308" s="28"/>
      <c r="E308">
        <f t="shared" si="21"/>
        <v>0.25</v>
      </c>
      <c r="F308">
        <f t="shared" si="23"/>
        <v>-0.25</v>
      </c>
      <c r="G308">
        <f t="shared" si="24"/>
        <v>6.25E-2</v>
      </c>
    </row>
    <row r="309" spans="1:7" x14ac:dyDescent="0.5">
      <c r="A309">
        <v>299</v>
      </c>
      <c r="B309">
        <f t="shared" si="22"/>
        <v>0</v>
      </c>
      <c r="C309" s="28"/>
      <c r="D309" s="28"/>
      <c r="E309">
        <f t="shared" si="21"/>
        <v>0.25</v>
      </c>
      <c r="F309">
        <f t="shared" si="23"/>
        <v>-0.25</v>
      </c>
      <c r="G309">
        <f t="shared" si="24"/>
        <v>6.25E-2</v>
      </c>
    </row>
    <row r="310" spans="1:7" x14ac:dyDescent="0.5">
      <c r="A310">
        <v>300</v>
      </c>
      <c r="B310">
        <f t="shared" si="22"/>
        <v>0</v>
      </c>
      <c r="C310" s="28"/>
      <c r="D310" s="28"/>
      <c r="E310">
        <f t="shared" si="21"/>
        <v>0.25</v>
      </c>
      <c r="F310">
        <f t="shared" si="23"/>
        <v>-0.25</v>
      </c>
      <c r="G310">
        <f t="shared" si="24"/>
        <v>6.25E-2</v>
      </c>
    </row>
    <row r="311" spans="1:7" x14ac:dyDescent="0.5">
      <c r="A311">
        <v>301</v>
      </c>
      <c r="B311">
        <f t="shared" si="22"/>
        <v>0</v>
      </c>
      <c r="C311" s="28"/>
      <c r="D311" s="28"/>
      <c r="E311">
        <f t="shared" si="21"/>
        <v>0.25</v>
      </c>
      <c r="F311">
        <f t="shared" si="23"/>
        <v>-0.25</v>
      </c>
      <c r="G311">
        <f t="shared" si="24"/>
        <v>6.25E-2</v>
      </c>
    </row>
    <row r="312" spans="1:7" x14ac:dyDescent="0.5">
      <c r="A312">
        <v>302</v>
      </c>
      <c r="B312">
        <f t="shared" si="22"/>
        <v>0</v>
      </c>
      <c r="C312" s="28"/>
      <c r="D312" s="28"/>
      <c r="E312">
        <f t="shared" si="21"/>
        <v>0.25</v>
      </c>
      <c r="F312">
        <f t="shared" si="23"/>
        <v>-0.25</v>
      </c>
      <c r="G312">
        <f t="shared" si="24"/>
        <v>6.25E-2</v>
      </c>
    </row>
    <row r="313" spans="1:7" x14ac:dyDescent="0.5">
      <c r="A313">
        <v>303</v>
      </c>
      <c r="B313">
        <f t="shared" si="22"/>
        <v>0</v>
      </c>
      <c r="C313" s="28"/>
      <c r="D313" s="28"/>
      <c r="E313">
        <f t="shared" si="21"/>
        <v>0.25</v>
      </c>
      <c r="F313">
        <f t="shared" si="23"/>
        <v>-0.25</v>
      </c>
      <c r="G313">
        <f t="shared" si="24"/>
        <v>6.25E-2</v>
      </c>
    </row>
    <row r="314" spans="1:7" x14ac:dyDescent="0.5">
      <c r="A314">
        <v>304</v>
      </c>
      <c r="B314">
        <f t="shared" si="22"/>
        <v>0</v>
      </c>
      <c r="C314" s="28"/>
      <c r="D314" s="28"/>
      <c r="E314">
        <f t="shared" si="21"/>
        <v>0.25</v>
      </c>
      <c r="F314">
        <f t="shared" si="23"/>
        <v>-0.25</v>
      </c>
      <c r="G314">
        <f t="shared" si="24"/>
        <v>6.25E-2</v>
      </c>
    </row>
    <row r="315" spans="1:7" x14ac:dyDescent="0.5">
      <c r="A315">
        <v>305</v>
      </c>
      <c r="B315">
        <f t="shared" si="22"/>
        <v>0</v>
      </c>
      <c r="C315" s="28"/>
      <c r="D315" s="28"/>
      <c r="E315">
        <f t="shared" si="21"/>
        <v>0.25</v>
      </c>
      <c r="F315">
        <f t="shared" si="23"/>
        <v>-0.25</v>
      </c>
      <c r="G315">
        <f t="shared" si="24"/>
        <v>6.25E-2</v>
      </c>
    </row>
    <row r="316" spans="1:7" x14ac:dyDescent="0.5">
      <c r="A316">
        <v>306</v>
      </c>
      <c r="B316">
        <f t="shared" si="22"/>
        <v>0</v>
      </c>
      <c r="C316" s="28"/>
      <c r="D316" s="28"/>
      <c r="E316">
        <f t="shared" si="21"/>
        <v>0.25</v>
      </c>
      <c r="F316">
        <f t="shared" si="23"/>
        <v>-0.25</v>
      </c>
      <c r="G316">
        <f t="shared" si="24"/>
        <v>6.25E-2</v>
      </c>
    </row>
    <row r="317" spans="1:7" x14ac:dyDescent="0.5">
      <c r="A317">
        <v>307</v>
      </c>
      <c r="B317">
        <f t="shared" si="22"/>
        <v>0</v>
      </c>
      <c r="C317" s="28"/>
      <c r="D317" s="28"/>
      <c r="E317">
        <f t="shared" si="21"/>
        <v>0.25</v>
      </c>
      <c r="F317">
        <f t="shared" si="23"/>
        <v>-0.25</v>
      </c>
      <c r="G317">
        <f t="shared" si="24"/>
        <v>6.25E-2</v>
      </c>
    </row>
    <row r="318" spans="1:7" x14ac:dyDescent="0.5">
      <c r="A318">
        <v>308</v>
      </c>
      <c r="B318">
        <f t="shared" si="22"/>
        <v>0</v>
      </c>
      <c r="C318" s="28"/>
      <c r="D318" s="28"/>
      <c r="E318">
        <f t="shared" si="21"/>
        <v>0.25</v>
      </c>
      <c r="F318">
        <f t="shared" si="23"/>
        <v>-0.25</v>
      </c>
      <c r="G318">
        <f t="shared" si="24"/>
        <v>6.25E-2</v>
      </c>
    </row>
    <row r="319" spans="1:7" x14ac:dyDescent="0.5">
      <c r="A319">
        <v>309</v>
      </c>
      <c r="B319">
        <f t="shared" si="22"/>
        <v>0</v>
      </c>
      <c r="C319" s="28"/>
      <c r="D319" s="28"/>
      <c r="E319">
        <f t="shared" si="21"/>
        <v>0.25</v>
      </c>
      <c r="F319">
        <f t="shared" si="23"/>
        <v>-0.25</v>
      </c>
      <c r="G319">
        <f t="shared" si="24"/>
        <v>6.25E-2</v>
      </c>
    </row>
    <row r="320" spans="1:7" x14ac:dyDescent="0.5">
      <c r="A320">
        <v>310</v>
      </c>
      <c r="B320">
        <f t="shared" si="22"/>
        <v>0</v>
      </c>
      <c r="C320" s="28"/>
      <c r="D320" s="28"/>
      <c r="E320">
        <f t="shared" si="21"/>
        <v>0.25</v>
      </c>
      <c r="F320">
        <f t="shared" si="23"/>
        <v>-0.25</v>
      </c>
      <c r="G320">
        <f t="shared" si="24"/>
        <v>6.25E-2</v>
      </c>
    </row>
    <row r="321" spans="1:7" x14ac:dyDescent="0.5">
      <c r="A321">
        <v>311</v>
      </c>
      <c r="B321">
        <f t="shared" si="22"/>
        <v>0</v>
      </c>
      <c r="C321" s="28"/>
      <c r="D321" s="28"/>
      <c r="E321">
        <f t="shared" si="21"/>
        <v>0.25</v>
      </c>
      <c r="F321">
        <f t="shared" si="23"/>
        <v>-0.25</v>
      </c>
      <c r="G321">
        <f t="shared" si="24"/>
        <v>6.25E-2</v>
      </c>
    </row>
    <row r="322" spans="1:7" x14ac:dyDescent="0.5">
      <c r="A322">
        <v>312</v>
      </c>
      <c r="B322">
        <f t="shared" si="22"/>
        <v>0</v>
      </c>
      <c r="C322" s="28"/>
      <c r="D322" s="28"/>
      <c r="E322">
        <f t="shared" si="21"/>
        <v>0.25</v>
      </c>
      <c r="F322">
        <f t="shared" si="23"/>
        <v>-0.25</v>
      </c>
      <c r="G322">
        <f t="shared" si="24"/>
        <v>6.25E-2</v>
      </c>
    </row>
    <row r="323" spans="1:7" x14ac:dyDescent="0.5">
      <c r="A323">
        <v>313</v>
      </c>
      <c r="B323">
        <f t="shared" si="22"/>
        <v>0</v>
      </c>
      <c r="C323" s="28"/>
      <c r="D323" s="28"/>
      <c r="E323">
        <f t="shared" si="21"/>
        <v>0.25</v>
      </c>
      <c r="F323">
        <f t="shared" si="23"/>
        <v>-0.25</v>
      </c>
      <c r="G323">
        <f t="shared" si="24"/>
        <v>6.25E-2</v>
      </c>
    </row>
    <row r="324" spans="1:7" x14ac:dyDescent="0.5">
      <c r="A324">
        <v>314</v>
      </c>
      <c r="B324">
        <f t="shared" si="22"/>
        <v>0</v>
      </c>
      <c r="C324" s="28"/>
      <c r="D324" s="28"/>
      <c r="E324">
        <f t="shared" si="21"/>
        <v>0.25</v>
      </c>
      <c r="F324">
        <f t="shared" si="23"/>
        <v>-0.25</v>
      </c>
      <c r="G324">
        <f t="shared" si="24"/>
        <v>6.25E-2</v>
      </c>
    </row>
    <row r="325" spans="1:7" x14ac:dyDescent="0.5">
      <c r="A325">
        <v>315</v>
      </c>
      <c r="B325">
        <f t="shared" si="22"/>
        <v>0</v>
      </c>
      <c r="C325" s="28"/>
      <c r="D325" s="28"/>
      <c r="E325">
        <f t="shared" si="21"/>
        <v>0.25</v>
      </c>
      <c r="F325">
        <f t="shared" si="23"/>
        <v>-0.25</v>
      </c>
      <c r="G325">
        <f t="shared" si="24"/>
        <v>6.25E-2</v>
      </c>
    </row>
    <row r="326" spans="1:7" x14ac:dyDescent="0.5">
      <c r="A326">
        <v>316</v>
      </c>
      <c r="B326">
        <f t="shared" si="22"/>
        <v>0</v>
      </c>
      <c r="C326" s="28"/>
      <c r="D326" s="28"/>
      <c r="E326">
        <f t="shared" si="21"/>
        <v>0.25</v>
      </c>
      <c r="F326">
        <f t="shared" si="23"/>
        <v>-0.25</v>
      </c>
      <c r="G326">
        <f t="shared" si="24"/>
        <v>6.25E-2</v>
      </c>
    </row>
    <row r="327" spans="1:7" x14ac:dyDescent="0.5">
      <c r="A327">
        <v>317</v>
      </c>
      <c r="B327">
        <f t="shared" si="22"/>
        <v>0</v>
      </c>
      <c r="C327" s="28"/>
      <c r="D327" s="28"/>
      <c r="E327">
        <f t="shared" si="21"/>
        <v>0.25</v>
      </c>
      <c r="F327">
        <f t="shared" si="23"/>
        <v>-0.25</v>
      </c>
      <c r="G327">
        <f t="shared" si="24"/>
        <v>6.25E-2</v>
      </c>
    </row>
    <row r="328" spans="1:7" x14ac:dyDescent="0.5">
      <c r="A328">
        <v>318</v>
      </c>
      <c r="B328">
        <f t="shared" si="22"/>
        <v>0</v>
      </c>
      <c r="C328" s="28"/>
      <c r="D328" s="28"/>
      <c r="E328">
        <f t="shared" si="21"/>
        <v>0.25</v>
      </c>
      <c r="F328">
        <f t="shared" si="23"/>
        <v>-0.25</v>
      </c>
      <c r="G328">
        <f t="shared" si="24"/>
        <v>6.25E-2</v>
      </c>
    </row>
    <row r="329" spans="1:7" x14ac:dyDescent="0.5">
      <c r="A329">
        <v>319</v>
      </c>
      <c r="B329">
        <f t="shared" si="22"/>
        <v>0</v>
      </c>
      <c r="C329" s="28"/>
      <c r="D329" s="28"/>
      <c r="E329">
        <f t="shared" si="21"/>
        <v>0.25</v>
      </c>
      <c r="F329">
        <f t="shared" si="23"/>
        <v>-0.25</v>
      </c>
      <c r="G329">
        <f t="shared" si="24"/>
        <v>6.25E-2</v>
      </c>
    </row>
    <row r="330" spans="1:7" x14ac:dyDescent="0.5">
      <c r="A330">
        <v>320</v>
      </c>
      <c r="B330">
        <f t="shared" si="22"/>
        <v>0</v>
      </c>
      <c r="C330" s="28"/>
      <c r="D330" s="28"/>
      <c r="E330">
        <f t="shared" si="21"/>
        <v>0.25</v>
      </c>
      <c r="F330">
        <f t="shared" si="23"/>
        <v>-0.25</v>
      </c>
      <c r="G330">
        <f t="shared" si="24"/>
        <v>6.25E-2</v>
      </c>
    </row>
    <row r="331" spans="1:7" x14ac:dyDescent="0.5">
      <c r="A331">
        <v>321</v>
      </c>
      <c r="B331">
        <f t="shared" si="22"/>
        <v>0</v>
      </c>
      <c r="C331" s="28"/>
      <c r="D331" s="28"/>
      <c r="E331">
        <f t="shared" ref="E331:E394" si="25">BaseAdjust+(ampl1*EXP(-gamma1*C331)+ampl2*EXP(-gamma2*C331)+ampl3*EXP(-gamma3*C331))^2</f>
        <v>0.25</v>
      </c>
      <c r="F331">
        <f t="shared" si="23"/>
        <v>-0.25</v>
      </c>
      <c r="G331">
        <f t="shared" si="24"/>
        <v>6.25E-2</v>
      </c>
    </row>
    <row r="332" spans="1:7" x14ac:dyDescent="0.5">
      <c r="A332">
        <v>322</v>
      </c>
      <c r="B332">
        <f t="shared" ref="B332:B395" si="26">C332/1000</f>
        <v>0</v>
      </c>
      <c r="C332" s="28"/>
      <c r="D332" s="28"/>
      <c r="E332">
        <f t="shared" si="25"/>
        <v>0.25</v>
      </c>
      <c r="F332">
        <f t="shared" ref="F332:F395" si="27">D332-E332</f>
        <v>-0.25</v>
      </c>
      <c r="G332">
        <f t="shared" ref="G332:G395" si="28">F332^2</f>
        <v>6.25E-2</v>
      </c>
    </row>
    <row r="333" spans="1:7" x14ac:dyDescent="0.5">
      <c r="A333">
        <v>323</v>
      </c>
      <c r="B333">
        <f t="shared" si="26"/>
        <v>0</v>
      </c>
      <c r="C333" s="28"/>
      <c r="D333" s="28"/>
      <c r="E333">
        <f t="shared" si="25"/>
        <v>0.25</v>
      </c>
      <c r="F333">
        <f t="shared" si="27"/>
        <v>-0.25</v>
      </c>
      <c r="G333">
        <f t="shared" si="28"/>
        <v>6.25E-2</v>
      </c>
    </row>
    <row r="334" spans="1:7" x14ac:dyDescent="0.5">
      <c r="A334">
        <v>324</v>
      </c>
      <c r="B334">
        <f t="shared" si="26"/>
        <v>0</v>
      </c>
      <c r="C334" s="28"/>
      <c r="D334" s="28"/>
      <c r="E334">
        <f t="shared" si="25"/>
        <v>0.25</v>
      </c>
      <c r="F334">
        <f t="shared" si="27"/>
        <v>-0.25</v>
      </c>
      <c r="G334">
        <f t="shared" si="28"/>
        <v>6.25E-2</v>
      </c>
    </row>
    <row r="335" spans="1:7" x14ac:dyDescent="0.5">
      <c r="A335">
        <v>325</v>
      </c>
      <c r="B335">
        <f t="shared" si="26"/>
        <v>0</v>
      </c>
      <c r="C335" s="28"/>
      <c r="D335" s="28"/>
      <c r="E335">
        <f t="shared" si="25"/>
        <v>0.25</v>
      </c>
      <c r="F335">
        <f t="shared" si="27"/>
        <v>-0.25</v>
      </c>
      <c r="G335">
        <f t="shared" si="28"/>
        <v>6.25E-2</v>
      </c>
    </row>
    <row r="336" spans="1:7" x14ac:dyDescent="0.5">
      <c r="A336">
        <v>326</v>
      </c>
      <c r="B336">
        <f t="shared" si="26"/>
        <v>0</v>
      </c>
      <c r="C336" s="28"/>
      <c r="D336" s="28"/>
      <c r="E336">
        <f t="shared" si="25"/>
        <v>0.25</v>
      </c>
      <c r="F336">
        <f t="shared" si="27"/>
        <v>-0.25</v>
      </c>
      <c r="G336">
        <f t="shared" si="28"/>
        <v>6.25E-2</v>
      </c>
    </row>
    <row r="337" spans="1:7" x14ac:dyDescent="0.5">
      <c r="A337">
        <v>327</v>
      </c>
      <c r="B337">
        <f t="shared" si="26"/>
        <v>0</v>
      </c>
      <c r="C337" s="28"/>
      <c r="D337" s="28"/>
      <c r="E337">
        <f t="shared" si="25"/>
        <v>0.25</v>
      </c>
      <c r="F337">
        <f t="shared" si="27"/>
        <v>-0.25</v>
      </c>
      <c r="G337">
        <f t="shared" si="28"/>
        <v>6.25E-2</v>
      </c>
    </row>
    <row r="338" spans="1:7" x14ac:dyDescent="0.5">
      <c r="A338">
        <v>328</v>
      </c>
      <c r="B338">
        <f t="shared" si="26"/>
        <v>0</v>
      </c>
      <c r="C338" s="28"/>
      <c r="D338" s="28"/>
      <c r="E338">
        <f t="shared" si="25"/>
        <v>0.25</v>
      </c>
      <c r="F338">
        <f t="shared" si="27"/>
        <v>-0.25</v>
      </c>
      <c r="G338">
        <f t="shared" si="28"/>
        <v>6.25E-2</v>
      </c>
    </row>
    <row r="339" spans="1:7" x14ac:dyDescent="0.5">
      <c r="A339">
        <v>329</v>
      </c>
      <c r="B339">
        <f t="shared" si="26"/>
        <v>0</v>
      </c>
      <c r="C339" s="28"/>
      <c r="D339" s="28"/>
      <c r="E339">
        <f t="shared" si="25"/>
        <v>0.25</v>
      </c>
      <c r="F339">
        <f t="shared" si="27"/>
        <v>-0.25</v>
      </c>
      <c r="G339">
        <f t="shared" si="28"/>
        <v>6.25E-2</v>
      </c>
    </row>
    <row r="340" spans="1:7" x14ac:dyDescent="0.5">
      <c r="A340">
        <v>330</v>
      </c>
      <c r="B340">
        <f t="shared" si="26"/>
        <v>0</v>
      </c>
      <c r="C340" s="28"/>
      <c r="D340" s="28"/>
      <c r="E340">
        <f t="shared" si="25"/>
        <v>0.25</v>
      </c>
      <c r="F340">
        <f t="shared" si="27"/>
        <v>-0.25</v>
      </c>
      <c r="G340">
        <f t="shared" si="28"/>
        <v>6.25E-2</v>
      </c>
    </row>
    <row r="341" spans="1:7" x14ac:dyDescent="0.5">
      <c r="A341">
        <v>331</v>
      </c>
      <c r="B341">
        <f t="shared" si="26"/>
        <v>0</v>
      </c>
      <c r="C341" s="28"/>
      <c r="D341" s="28"/>
      <c r="E341">
        <f t="shared" si="25"/>
        <v>0.25</v>
      </c>
      <c r="F341">
        <f t="shared" si="27"/>
        <v>-0.25</v>
      </c>
      <c r="G341">
        <f t="shared" si="28"/>
        <v>6.25E-2</v>
      </c>
    </row>
    <row r="342" spans="1:7" x14ac:dyDescent="0.5">
      <c r="A342">
        <v>332</v>
      </c>
      <c r="B342">
        <f t="shared" si="26"/>
        <v>0</v>
      </c>
      <c r="C342" s="28"/>
      <c r="D342" s="28"/>
      <c r="E342">
        <f t="shared" si="25"/>
        <v>0.25</v>
      </c>
      <c r="F342">
        <f t="shared" si="27"/>
        <v>-0.25</v>
      </c>
      <c r="G342">
        <f t="shared" si="28"/>
        <v>6.25E-2</v>
      </c>
    </row>
    <row r="343" spans="1:7" x14ac:dyDescent="0.5">
      <c r="A343">
        <v>333</v>
      </c>
      <c r="B343">
        <f t="shared" si="26"/>
        <v>0</v>
      </c>
      <c r="C343" s="28"/>
      <c r="D343" s="28"/>
      <c r="E343">
        <f t="shared" si="25"/>
        <v>0.25</v>
      </c>
      <c r="F343">
        <f t="shared" si="27"/>
        <v>-0.25</v>
      </c>
      <c r="G343">
        <f t="shared" si="28"/>
        <v>6.25E-2</v>
      </c>
    </row>
    <row r="344" spans="1:7" x14ac:dyDescent="0.5">
      <c r="A344">
        <v>334</v>
      </c>
      <c r="B344">
        <f t="shared" si="26"/>
        <v>0</v>
      </c>
      <c r="C344" s="28"/>
      <c r="D344" s="28"/>
      <c r="E344">
        <f t="shared" si="25"/>
        <v>0.25</v>
      </c>
      <c r="F344">
        <f t="shared" si="27"/>
        <v>-0.25</v>
      </c>
      <c r="G344">
        <f t="shared" si="28"/>
        <v>6.25E-2</v>
      </c>
    </row>
    <row r="345" spans="1:7" x14ac:dyDescent="0.5">
      <c r="A345">
        <v>335</v>
      </c>
      <c r="B345">
        <f t="shared" si="26"/>
        <v>0</v>
      </c>
      <c r="C345" s="28"/>
      <c r="D345" s="28"/>
      <c r="E345">
        <f t="shared" si="25"/>
        <v>0.25</v>
      </c>
      <c r="F345">
        <f t="shared" si="27"/>
        <v>-0.25</v>
      </c>
      <c r="G345">
        <f t="shared" si="28"/>
        <v>6.25E-2</v>
      </c>
    </row>
    <row r="346" spans="1:7" x14ac:dyDescent="0.5">
      <c r="A346">
        <v>336</v>
      </c>
      <c r="B346">
        <f t="shared" si="26"/>
        <v>0</v>
      </c>
      <c r="C346" s="28"/>
      <c r="D346" s="28"/>
      <c r="E346">
        <f t="shared" si="25"/>
        <v>0.25</v>
      </c>
      <c r="F346">
        <f t="shared" si="27"/>
        <v>-0.25</v>
      </c>
      <c r="G346">
        <f t="shared" si="28"/>
        <v>6.25E-2</v>
      </c>
    </row>
    <row r="347" spans="1:7" x14ac:dyDescent="0.5">
      <c r="A347">
        <v>337</v>
      </c>
      <c r="B347">
        <f t="shared" si="26"/>
        <v>0</v>
      </c>
      <c r="C347" s="28"/>
      <c r="D347" s="28"/>
      <c r="E347">
        <f t="shared" si="25"/>
        <v>0.25</v>
      </c>
      <c r="F347">
        <f t="shared" si="27"/>
        <v>-0.25</v>
      </c>
      <c r="G347">
        <f t="shared" si="28"/>
        <v>6.25E-2</v>
      </c>
    </row>
    <row r="348" spans="1:7" x14ac:dyDescent="0.5">
      <c r="A348">
        <v>338</v>
      </c>
      <c r="B348">
        <f t="shared" si="26"/>
        <v>0</v>
      </c>
      <c r="C348" s="28"/>
      <c r="D348" s="28"/>
      <c r="E348">
        <f t="shared" si="25"/>
        <v>0.25</v>
      </c>
      <c r="F348">
        <f t="shared" si="27"/>
        <v>-0.25</v>
      </c>
      <c r="G348">
        <f t="shared" si="28"/>
        <v>6.25E-2</v>
      </c>
    </row>
    <row r="349" spans="1:7" x14ac:dyDescent="0.5">
      <c r="A349">
        <v>339</v>
      </c>
      <c r="B349">
        <f t="shared" si="26"/>
        <v>0</v>
      </c>
      <c r="C349" s="28"/>
      <c r="D349" s="28"/>
      <c r="E349">
        <f t="shared" si="25"/>
        <v>0.25</v>
      </c>
      <c r="F349">
        <f t="shared" si="27"/>
        <v>-0.25</v>
      </c>
      <c r="G349">
        <f t="shared" si="28"/>
        <v>6.25E-2</v>
      </c>
    </row>
    <row r="350" spans="1:7" x14ac:dyDescent="0.5">
      <c r="A350">
        <v>340</v>
      </c>
      <c r="B350">
        <f t="shared" si="26"/>
        <v>0</v>
      </c>
      <c r="C350" s="28"/>
      <c r="D350" s="28"/>
      <c r="E350">
        <f t="shared" si="25"/>
        <v>0.25</v>
      </c>
      <c r="F350">
        <f t="shared" si="27"/>
        <v>-0.25</v>
      </c>
      <c r="G350">
        <f t="shared" si="28"/>
        <v>6.25E-2</v>
      </c>
    </row>
    <row r="351" spans="1:7" x14ac:dyDescent="0.5">
      <c r="A351">
        <v>341</v>
      </c>
      <c r="B351">
        <f t="shared" si="26"/>
        <v>0</v>
      </c>
      <c r="C351" s="28"/>
      <c r="D351" s="28"/>
      <c r="E351">
        <f t="shared" si="25"/>
        <v>0.25</v>
      </c>
      <c r="F351">
        <f t="shared" si="27"/>
        <v>-0.25</v>
      </c>
      <c r="G351">
        <f t="shared" si="28"/>
        <v>6.25E-2</v>
      </c>
    </row>
    <row r="352" spans="1:7" x14ac:dyDescent="0.5">
      <c r="A352">
        <v>342</v>
      </c>
      <c r="B352">
        <f t="shared" si="26"/>
        <v>0</v>
      </c>
      <c r="C352" s="28"/>
      <c r="D352" s="28"/>
      <c r="E352">
        <f t="shared" si="25"/>
        <v>0.25</v>
      </c>
      <c r="F352">
        <f t="shared" si="27"/>
        <v>-0.25</v>
      </c>
      <c r="G352">
        <f t="shared" si="28"/>
        <v>6.25E-2</v>
      </c>
    </row>
    <row r="353" spans="1:7" x14ac:dyDescent="0.5">
      <c r="A353">
        <v>343</v>
      </c>
      <c r="B353">
        <f t="shared" si="26"/>
        <v>0</v>
      </c>
      <c r="C353" s="28"/>
      <c r="D353" s="28"/>
      <c r="E353">
        <f t="shared" si="25"/>
        <v>0.25</v>
      </c>
      <c r="F353">
        <f t="shared" si="27"/>
        <v>-0.25</v>
      </c>
      <c r="G353">
        <f t="shared" si="28"/>
        <v>6.25E-2</v>
      </c>
    </row>
    <row r="354" spans="1:7" x14ac:dyDescent="0.5">
      <c r="A354">
        <v>344</v>
      </c>
      <c r="B354">
        <f t="shared" si="26"/>
        <v>0</v>
      </c>
      <c r="C354" s="28"/>
      <c r="D354" s="28"/>
      <c r="E354">
        <f t="shared" si="25"/>
        <v>0.25</v>
      </c>
      <c r="F354">
        <f t="shared" si="27"/>
        <v>-0.25</v>
      </c>
      <c r="G354">
        <f t="shared" si="28"/>
        <v>6.25E-2</v>
      </c>
    </row>
    <row r="355" spans="1:7" x14ac:dyDescent="0.5">
      <c r="A355">
        <v>345</v>
      </c>
      <c r="B355">
        <f t="shared" si="26"/>
        <v>0</v>
      </c>
      <c r="C355" s="28"/>
      <c r="D355" s="28"/>
      <c r="E355">
        <f t="shared" si="25"/>
        <v>0.25</v>
      </c>
      <c r="F355">
        <f t="shared" si="27"/>
        <v>-0.25</v>
      </c>
      <c r="G355">
        <f t="shared" si="28"/>
        <v>6.25E-2</v>
      </c>
    </row>
    <row r="356" spans="1:7" x14ac:dyDescent="0.5">
      <c r="A356">
        <v>346</v>
      </c>
      <c r="B356">
        <f t="shared" si="26"/>
        <v>0</v>
      </c>
      <c r="C356" s="28"/>
      <c r="D356" s="28"/>
      <c r="E356">
        <f t="shared" si="25"/>
        <v>0.25</v>
      </c>
      <c r="F356">
        <f t="shared" si="27"/>
        <v>-0.25</v>
      </c>
      <c r="G356">
        <f t="shared" si="28"/>
        <v>6.25E-2</v>
      </c>
    </row>
    <row r="357" spans="1:7" x14ac:dyDescent="0.5">
      <c r="A357">
        <v>347</v>
      </c>
      <c r="B357">
        <f t="shared" si="26"/>
        <v>0</v>
      </c>
      <c r="C357" s="28"/>
      <c r="D357" s="28"/>
      <c r="E357">
        <f t="shared" si="25"/>
        <v>0.25</v>
      </c>
      <c r="F357">
        <f t="shared" si="27"/>
        <v>-0.25</v>
      </c>
      <c r="G357">
        <f t="shared" si="28"/>
        <v>6.25E-2</v>
      </c>
    </row>
    <row r="358" spans="1:7" x14ac:dyDescent="0.5">
      <c r="A358">
        <v>348</v>
      </c>
      <c r="B358">
        <f t="shared" si="26"/>
        <v>0</v>
      </c>
      <c r="C358" s="28"/>
      <c r="D358" s="28"/>
      <c r="E358">
        <f t="shared" si="25"/>
        <v>0.25</v>
      </c>
      <c r="F358">
        <f t="shared" si="27"/>
        <v>-0.25</v>
      </c>
      <c r="G358">
        <f t="shared" si="28"/>
        <v>6.25E-2</v>
      </c>
    </row>
    <row r="359" spans="1:7" x14ac:dyDescent="0.5">
      <c r="A359">
        <v>349</v>
      </c>
      <c r="B359">
        <f t="shared" si="26"/>
        <v>0</v>
      </c>
      <c r="C359" s="28"/>
      <c r="D359" s="28"/>
      <c r="E359">
        <f t="shared" si="25"/>
        <v>0.25</v>
      </c>
      <c r="F359">
        <f t="shared" si="27"/>
        <v>-0.25</v>
      </c>
      <c r="G359">
        <f t="shared" si="28"/>
        <v>6.25E-2</v>
      </c>
    </row>
    <row r="360" spans="1:7" x14ac:dyDescent="0.5">
      <c r="A360">
        <v>350</v>
      </c>
      <c r="B360">
        <f t="shared" si="26"/>
        <v>0</v>
      </c>
      <c r="C360" s="28"/>
      <c r="D360" s="28"/>
      <c r="E360">
        <f t="shared" si="25"/>
        <v>0.25</v>
      </c>
      <c r="F360">
        <f t="shared" si="27"/>
        <v>-0.25</v>
      </c>
      <c r="G360">
        <f t="shared" si="28"/>
        <v>6.25E-2</v>
      </c>
    </row>
    <row r="361" spans="1:7" x14ac:dyDescent="0.5">
      <c r="A361">
        <v>351</v>
      </c>
      <c r="B361">
        <f t="shared" si="26"/>
        <v>0</v>
      </c>
      <c r="C361" s="28"/>
      <c r="D361" s="28"/>
      <c r="E361">
        <f t="shared" si="25"/>
        <v>0.25</v>
      </c>
      <c r="F361">
        <f t="shared" si="27"/>
        <v>-0.25</v>
      </c>
      <c r="G361">
        <f t="shared" si="28"/>
        <v>6.25E-2</v>
      </c>
    </row>
    <row r="362" spans="1:7" x14ac:dyDescent="0.5">
      <c r="A362">
        <v>352</v>
      </c>
      <c r="B362">
        <f t="shared" si="26"/>
        <v>0</v>
      </c>
      <c r="C362" s="28"/>
      <c r="D362" s="28"/>
      <c r="E362">
        <f t="shared" si="25"/>
        <v>0.25</v>
      </c>
      <c r="F362">
        <f t="shared" si="27"/>
        <v>-0.25</v>
      </c>
      <c r="G362">
        <f t="shared" si="28"/>
        <v>6.25E-2</v>
      </c>
    </row>
    <row r="363" spans="1:7" x14ac:dyDescent="0.5">
      <c r="A363">
        <v>353</v>
      </c>
      <c r="B363">
        <f t="shared" si="26"/>
        <v>0</v>
      </c>
      <c r="C363" s="28"/>
      <c r="D363" s="28"/>
      <c r="E363">
        <f t="shared" si="25"/>
        <v>0.25</v>
      </c>
      <c r="F363">
        <f t="shared" si="27"/>
        <v>-0.25</v>
      </c>
      <c r="G363">
        <f t="shared" si="28"/>
        <v>6.25E-2</v>
      </c>
    </row>
    <row r="364" spans="1:7" x14ac:dyDescent="0.5">
      <c r="A364">
        <v>354</v>
      </c>
      <c r="B364">
        <f t="shared" si="26"/>
        <v>0</v>
      </c>
      <c r="C364" s="28"/>
      <c r="D364" s="28"/>
      <c r="E364">
        <f t="shared" si="25"/>
        <v>0.25</v>
      </c>
      <c r="F364">
        <f t="shared" si="27"/>
        <v>-0.25</v>
      </c>
      <c r="G364">
        <f t="shared" si="28"/>
        <v>6.25E-2</v>
      </c>
    </row>
    <row r="365" spans="1:7" x14ac:dyDescent="0.5">
      <c r="A365">
        <v>355</v>
      </c>
      <c r="B365">
        <f t="shared" si="26"/>
        <v>0</v>
      </c>
      <c r="C365" s="28"/>
      <c r="D365" s="28"/>
      <c r="E365">
        <f t="shared" si="25"/>
        <v>0.25</v>
      </c>
      <c r="F365">
        <f t="shared" si="27"/>
        <v>-0.25</v>
      </c>
      <c r="G365">
        <f t="shared" si="28"/>
        <v>6.25E-2</v>
      </c>
    </row>
    <row r="366" spans="1:7" x14ac:dyDescent="0.5">
      <c r="A366">
        <v>356</v>
      </c>
      <c r="B366">
        <f t="shared" si="26"/>
        <v>0</v>
      </c>
      <c r="C366" s="28"/>
      <c r="D366" s="28"/>
      <c r="E366">
        <f t="shared" si="25"/>
        <v>0.25</v>
      </c>
      <c r="F366">
        <f t="shared" si="27"/>
        <v>-0.25</v>
      </c>
      <c r="G366">
        <f t="shared" si="28"/>
        <v>6.25E-2</v>
      </c>
    </row>
    <row r="367" spans="1:7" x14ac:dyDescent="0.5">
      <c r="A367">
        <v>357</v>
      </c>
      <c r="B367">
        <f t="shared" si="26"/>
        <v>0</v>
      </c>
      <c r="C367" s="28"/>
      <c r="D367" s="28"/>
      <c r="E367">
        <f t="shared" si="25"/>
        <v>0.25</v>
      </c>
      <c r="F367">
        <f t="shared" si="27"/>
        <v>-0.25</v>
      </c>
      <c r="G367">
        <f t="shared" si="28"/>
        <v>6.25E-2</v>
      </c>
    </row>
    <row r="368" spans="1:7" x14ac:dyDescent="0.5">
      <c r="A368">
        <v>358</v>
      </c>
      <c r="B368">
        <f t="shared" si="26"/>
        <v>0</v>
      </c>
      <c r="C368" s="28"/>
      <c r="D368" s="28"/>
      <c r="E368">
        <f t="shared" si="25"/>
        <v>0.25</v>
      </c>
      <c r="F368">
        <f t="shared" si="27"/>
        <v>-0.25</v>
      </c>
      <c r="G368">
        <f t="shared" si="28"/>
        <v>6.25E-2</v>
      </c>
    </row>
    <row r="369" spans="1:7" x14ac:dyDescent="0.5">
      <c r="A369">
        <v>359</v>
      </c>
      <c r="B369">
        <f t="shared" si="26"/>
        <v>0</v>
      </c>
      <c r="C369" s="28"/>
      <c r="D369" s="28"/>
      <c r="E369">
        <f t="shared" si="25"/>
        <v>0.25</v>
      </c>
      <c r="F369">
        <f t="shared" si="27"/>
        <v>-0.25</v>
      </c>
      <c r="G369">
        <f t="shared" si="28"/>
        <v>6.25E-2</v>
      </c>
    </row>
    <row r="370" spans="1:7" x14ac:dyDescent="0.5">
      <c r="A370">
        <v>360</v>
      </c>
      <c r="B370">
        <f t="shared" si="26"/>
        <v>0</v>
      </c>
      <c r="C370" s="28"/>
      <c r="D370" s="28"/>
      <c r="E370">
        <f t="shared" si="25"/>
        <v>0.25</v>
      </c>
      <c r="F370">
        <f t="shared" si="27"/>
        <v>-0.25</v>
      </c>
      <c r="G370">
        <f t="shared" si="28"/>
        <v>6.25E-2</v>
      </c>
    </row>
    <row r="371" spans="1:7" x14ac:dyDescent="0.5">
      <c r="A371">
        <v>361</v>
      </c>
      <c r="B371">
        <f t="shared" si="26"/>
        <v>0</v>
      </c>
      <c r="C371" s="28"/>
      <c r="D371" s="28"/>
      <c r="E371">
        <f t="shared" si="25"/>
        <v>0.25</v>
      </c>
      <c r="F371">
        <f t="shared" si="27"/>
        <v>-0.25</v>
      </c>
      <c r="G371">
        <f t="shared" si="28"/>
        <v>6.25E-2</v>
      </c>
    </row>
    <row r="372" spans="1:7" x14ac:dyDescent="0.5">
      <c r="A372">
        <v>362</v>
      </c>
      <c r="B372">
        <f t="shared" si="26"/>
        <v>0</v>
      </c>
      <c r="C372" s="28"/>
      <c r="D372" s="28"/>
      <c r="E372">
        <f t="shared" si="25"/>
        <v>0.25</v>
      </c>
      <c r="F372">
        <f t="shared" si="27"/>
        <v>-0.25</v>
      </c>
      <c r="G372">
        <f t="shared" si="28"/>
        <v>6.25E-2</v>
      </c>
    </row>
    <row r="373" spans="1:7" x14ac:dyDescent="0.5">
      <c r="A373">
        <v>363</v>
      </c>
      <c r="B373">
        <f t="shared" si="26"/>
        <v>0</v>
      </c>
      <c r="C373" s="28"/>
      <c r="D373" s="28"/>
      <c r="E373">
        <f t="shared" si="25"/>
        <v>0.25</v>
      </c>
      <c r="F373">
        <f t="shared" si="27"/>
        <v>-0.25</v>
      </c>
      <c r="G373">
        <f t="shared" si="28"/>
        <v>6.25E-2</v>
      </c>
    </row>
    <row r="374" spans="1:7" x14ac:dyDescent="0.5">
      <c r="A374">
        <v>364</v>
      </c>
      <c r="B374">
        <f t="shared" si="26"/>
        <v>0</v>
      </c>
      <c r="C374" s="28"/>
      <c r="D374" s="28"/>
      <c r="E374">
        <f t="shared" si="25"/>
        <v>0.25</v>
      </c>
      <c r="F374">
        <f t="shared" si="27"/>
        <v>-0.25</v>
      </c>
      <c r="G374">
        <f t="shared" si="28"/>
        <v>6.25E-2</v>
      </c>
    </row>
    <row r="375" spans="1:7" x14ac:dyDescent="0.5">
      <c r="A375">
        <v>365</v>
      </c>
      <c r="B375">
        <f t="shared" si="26"/>
        <v>0</v>
      </c>
      <c r="C375" s="28"/>
      <c r="D375" s="28"/>
      <c r="E375">
        <f t="shared" si="25"/>
        <v>0.25</v>
      </c>
      <c r="F375">
        <f t="shared" si="27"/>
        <v>-0.25</v>
      </c>
      <c r="G375">
        <f t="shared" si="28"/>
        <v>6.25E-2</v>
      </c>
    </row>
    <row r="376" spans="1:7" x14ac:dyDescent="0.5">
      <c r="A376">
        <v>366</v>
      </c>
      <c r="B376">
        <f t="shared" si="26"/>
        <v>0</v>
      </c>
      <c r="C376" s="28"/>
      <c r="D376" s="28"/>
      <c r="E376">
        <f t="shared" si="25"/>
        <v>0.25</v>
      </c>
      <c r="F376">
        <f t="shared" si="27"/>
        <v>-0.25</v>
      </c>
      <c r="G376">
        <f t="shared" si="28"/>
        <v>6.25E-2</v>
      </c>
    </row>
    <row r="377" spans="1:7" x14ac:dyDescent="0.5">
      <c r="A377">
        <v>367</v>
      </c>
      <c r="B377">
        <f t="shared" si="26"/>
        <v>0</v>
      </c>
      <c r="C377" s="28"/>
      <c r="D377" s="28"/>
      <c r="E377">
        <f t="shared" si="25"/>
        <v>0.25</v>
      </c>
      <c r="F377">
        <f t="shared" si="27"/>
        <v>-0.25</v>
      </c>
      <c r="G377">
        <f t="shared" si="28"/>
        <v>6.25E-2</v>
      </c>
    </row>
    <row r="378" spans="1:7" x14ac:dyDescent="0.5">
      <c r="A378">
        <v>368</v>
      </c>
      <c r="B378">
        <f t="shared" si="26"/>
        <v>0</v>
      </c>
      <c r="C378" s="28"/>
      <c r="D378" s="28"/>
      <c r="E378">
        <f t="shared" si="25"/>
        <v>0.25</v>
      </c>
      <c r="F378">
        <f t="shared" si="27"/>
        <v>-0.25</v>
      </c>
      <c r="G378">
        <f t="shared" si="28"/>
        <v>6.25E-2</v>
      </c>
    </row>
    <row r="379" spans="1:7" x14ac:dyDescent="0.5">
      <c r="A379">
        <v>369</v>
      </c>
      <c r="B379">
        <f t="shared" si="26"/>
        <v>0</v>
      </c>
      <c r="C379" s="28"/>
      <c r="D379" s="28"/>
      <c r="E379">
        <f t="shared" si="25"/>
        <v>0.25</v>
      </c>
      <c r="F379">
        <f t="shared" si="27"/>
        <v>-0.25</v>
      </c>
      <c r="G379">
        <f t="shared" si="28"/>
        <v>6.25E-2</v>
      </c>
    </row>
    <row r="380" spans="1:7" x14ac:dyDescent="0.5">
      <c r="A380">
        <v>370</v>
      </c>
      <c r="B380">
        <f t="shared" si="26"/>
        <v>0</v>
      </c>
      <c r="C380" s="28"/>
      <c r="D380" s="28"/>
      <c r="E380">
        <f t="shared" si="25"/>
        <v>0.25</v>
      </c>
      <c r="F380">
        <f t="shared" si="27"/>
        <v>-0.25</v>
      </c>
      <c r="G380">
        <f t="shared" si="28"/>
        <v>6.25E-2</v>
      </c>
    </row>
    <row r="381" spans="1:7" x14ac:dyDescent="0.5">
      <c r="A381">
        <v>371</v>
      </c>
      <c r="B381">
        <f t="shared" si="26"/>
        <v>0</v>
      </c>
      <c r="C381" s="28"/>
      <c r="D381" s="28"/>
      <c r="E381">
        <f t="shared" si="25"/>
        <v>0.25</v>
      </c>
      <c r="F381">
        <f t="shared" si="27"/>
        <v>-0.25</v>
      </c>
      <c r="G381">
        <f t="shared" si="28"/>
        <v>6.25E-2</v>
      </c>
    </row>
    <row r="382" spans="1:7" x14ac:dyDescent="0.5">
      <c r="A382">
        <v>372</v>
      </c>
      <c r="B382">
        <f t="shared" si="26"/>
        <v>0</v>
      </c>
      <c r="C382" s="28"/>
      <c r="D382" s="28"/>
      <c r="E382">
        <f t="shared" si="25"/>
        <v>0.25</v>
      </c>
      <c r="F382">
        <f t="shared" si="27"/>
        <v>-0.25</v>
      </c>
      <c r="G382">
        <f t="shared" si="28"/>
        <v>6.25E-2</v>
      </c>
    </row>
    <row r="383" spans="1:7" x14ac:dyDescent="0.5">
      <c r="A383">
        <v>373</v>
      </c>
      <c r="B383">
        <f t="shared" si="26"/>
        <v>0</v>
      </c>
      <c r="C383" s="28"/>
      <c r="D383" s="28"/>
      <c r="E383">
        <f t="shared" si="25"/>
        <v>0.25</v>
      </c>
      <c r="F383">
        <f t="shared" si="27"/>
        <v>-0.25</v>
      </c>
      <c r="G383">
        <f t="shared" si="28"/>
        <v>6.25E-2</v>
      </c>
    </row>
    <row r="384" spans="1:7" x14ac:dyDescent="0.5">
      <c r="A384">
        <v>374</v>
      </c>
      <c r="B384">
        <f t="shared" si="26"/>
        <v>0</v>
      </c>
      <c r="C384" s="28"/>
      <c r="D384" s="28"/>
      <c r="E384">
        <f t="shared" si="25"/>
        <v>0.25</v>
      </c>
      <c r="F384">
        <f t="shared" si="27"/>
        <v>-0.25</v>
      </c>
      <c r="G384">
        <f t="shared" si="28"/>
        <v>6.25E-2</v>
      </c>
    </row>
    <row r="385" spans="1:7" x14ac:dyDescent="0.5">
      <c r="A385">
        <v>375</v>
      </c>
      <c r="B385">
        <f t="shared" si="26"/>
        <v>0</v>
      </c>
      <c r="C385" s="28"/>
      <c r="D385" s="28"/>
      <c r="E385">
        <f t="shared" si="25"/>
        <v>0.25</v>
      </c>
      <c r="F385">
        <f t="shared" si="27"/>
        <v>-0.25</v>
      </c>
      <c r="G385">
        <f t="shared" si="28"/>
        <v>6.25E-2</v>
      </c>
    </row>
    <row r="386" spans="1:7" x14ac:dyDescent="0.5">
      <c r="A386">
        <v>376</v>
      </c>
      <c r="B386">
        <f t="shared" si="26"/>
        <v>0</v>
      </c>
      <c r="C386" s="28"/>
      <c r="D386" s="28"/>
      <c r="E386">
        <f t="shared" si="25"/>
        <v>0.25</v>
      </c>
      <c r="F386">
        <f t="shared" si="27"/>
        <v>-0.25</v>
      </c>
      <c r="G386">
        <f t="shared" si="28"/>
        <v>6.25E-2</v>
      </c>
    </row>
    <row r="387" spans="1:7" x14ac:dyDescent="0.5">
      <c r="A387">
        <v>377</v>
      </c>
      <c r="B387">
        <f t="shared" si="26"/>
        <v>0</v>
      </c>
      <c r="C387" s="28"/>
      <c r="D387" s="28"/>
      <c r="E387">
        <f t="shared" si="25"/>
        <v>0.25</v>
      </c>
      <c r="F387">
        <f t="shared" si="27"/>
        <v>-0.25</v>
      </c>
      <c r="G387">
        <f t="shared" si="28"/>
        <v>6.25E-2</v>
      </c>
    </row>
    <row r="388" spans="1:7" x14ac:dyDescent="0.5">
      <c r="A388">
        <v>378</v>
      </c>
      <c r="B388">
        <f t="shared" si="26"/>
        <v>0</v>
      </c>
      <c r="C388" s="28"/>
      <c r="D388" s="28"/>
      <c r="E388">
        <f t="shared" si="25"/>
        <v>0.25</v>
      </c>
      <c r="F388">
        <f t="shared" si="27"/>
        <v>-0.25</v>
      </c>
      <c r="G388">
        <f t="shared" si="28"/>
        <v>6.25E-2</v>
      </c>
    </row>
    <row r="389" spans="1:7" x14ac:dyDescent="0.5">
      <c r="A389">
        <v>379</v>
      </c>
      <c r="B389">
        <f t="shared" si="26"/>
        <v>0</v>
      </c>
      <c r="C389" s="28"/>
      <c r="D389" s="28"/>
      <c r="E389">
        <f t="shared" si="25"/>
        <v>0.25</v>
      </c>
      <c r="F389">
        <f t="shared" si="27"/>
        <v>-0.25</v>
      </c>
      <c r="G389">
        <f t="shared" si="28"/>
        <v>6.25E-2</v>
      </c>
    </row>
    <row r="390" spans="1:7" x14ac:dyDescent="0.5">
      <c r="A390">
        <v>380</v>
      </c>
      <c r="B390">
        <f t="shared" si="26"/>
        <v>0</v>
      </c>
      <c r="C390" s="28"/>
      <c r="D390" s="28"/>
      <c r="E390">
        <f t="shared" si="25"/>
        <v>0.25</v>
      </c>
      <c r="F390">
        <f t="shared" si="27"/>
        <v>-0.25</v>
      </c>
      <c r="G390">
        <f t="shared" si="28"/>
        <v>6.25E-2</v>
      </c>
    </row>
    <row r="391" spans="1:7" x14ac:dyDescent="0.5">
      <c r="A391">
        <v>381</v>
      </c>
      <c r="B391">
        <f t="shared" si="26"/>
        <v>0</v>
      </c>
      <c r="C391" s="28"/>
      <c r="D391" s="28"/>
      <c r="E391">
        <f t="shared" si="25"/>
        <v>0.25</v>
      </c>
      <c r="F391">
        <f t="shared" si="27"/>
        <v>-0.25</v>
      </c>
      <c r="G391">
        <f t="shared" si="28"/>
        <v>6.25E-2</v>
      </c>
    </row>
    <row r="392" spans="1:7" x14ac:dyDescent="0.5">
      <c r="A392">
        <v>382</v>
      </c>
      <c r="B392">
        <f t="shared" si="26"/>
        <v>0</v>
      </c>
      <c r="C392" s="28"/>
      <c r="D392" s="28"/>
      <c r="E392">
        <f t="shared" si="25"/>
        <v>0.25</v>
      </c>
      <c r="F392">
        <f t="shared" si="27"/>
        <v>-0.25</v>
      </c>
      <c r="G392">
        <f t="shared" si="28"/>
        <v>6.25E-2</v>
      </c>
    </row>
    <row r="393" spans="1:7" x14ac:dyDescent="0.5">
      <c r="A393">
        <v>383</v>
      </c>
      <c r="B393">
        <f t="shared" si="26"/>
        <v>0</v>
      </c>
      <c r="C393" s="28"/>
      <c r="D393" s="28"/>
      <c r="E393">
        <f t="shared" si="25"/>
        <v>0.25</v>
      </c>
      <c r="F393">
        <f t="shared" si="27"/>
        <v>-0.25</v>
      </c>
      <c r="G393">
        <f t="shared" si="28"/>
        <v>6.25E-2</v>
      </c>
    </row>
    <row r="394" spans="1:7" x14ac:dyDescent="0.5">
      <c r="A394">
        <v>384</v>
      </c>
      <c r="B394">
        <f t="shared" si="26"/>
        <v>0</v>
      </c>
      <c r="C394" s="28"/>
      <c r="D394" s="28"/>
      <c r="E394">
        <f t="shared" si="25"/>
        <v>0.25</v>
      </c>
      <c r="F394">
        <f t="shared" si="27"/>
        <v>-0.25</v>
      </c>
      <c r="G394">
        <f t="shared" si="28"/>
        <v>6.25E-2</v>
      </c>
    </row>
    <row r="395" spans="1:7" x14ac:dyDescent="0.5">
      <c r="A395">
        <v>385</v>
      </c>
      <c r="B395">
        <f t="shared" si="26"/>
        <v>0</v>
      </c>
      <c r="C395" s="28"/>
      <c r="D395" s="28"/>
      <c r="E395">
        <f t="shared" ref="E395:E458" si="29">BaseAdjust+(ampl1*EXP(-gamma1*C395)+ampl2*EXP(-gamma2*C395)+ampl3*EXP(-gamma3*C395))^2</f>
        <v>0.25</v>
      </c>
      <c r="F395">
        <f t="shared" si="27"/>
        <v>-0.25</v>
      </c>
      <c r="G395">
        <f t="shared" si="28"/>
        <v>6.25E-2</v>
      </c>
    </row>
    <row r="396" spans="1:7" x14ac:dyDescent="0.5">
      <c r="A396">
        <v>386</v>
      </c>
      <c r="B396">
        <f t="shared" ref="B396:B459" si="30">C396/1000</f>
        <v>0</v>
      </c>
      <c r="C396" s="28"/>
      <c r="D396" s="28"/>
      <c r="E396">
        <f t="shared" si="29"/>
        <v>0.25</v>
      </c>
      <c r="F396">
        <f t="shared" ref="F396:F459" si="31">D396-E396</f>
        <v>-0.25</v>
      </c>
      <c r="G396">
        <f t="shared" ref="G396:G459" si="32">F396^2</f>
        <v>6.25E-2</v>
      </c>
    </row>
    <row r="397" spans="1:7" x14ac:dyDescent="0.5">
      <c r="A397">
        <v>387</v>
      </c>
      <c r="B397">
        <f t="shared" si="30"/>
        <v>0</v>
      </c>
      <c r="C397" s="28"/>
      <c r="D397" s="28"/>
      <c r="E397">
        <f t="shared" si="29"/>
        <v>0.25</v>
      </c>
      <c r="F397">
        <f t="shared" si="31"/>
        <v>-0.25</v>
      </c>
      <c r="G397">
        <f t="shared" si="32"/>
        <v>6.25E-2</v>
      </c>
    </row>
    <row r="398" spans="1:7" x14ac:dyDescent="0.5">
      <c r="A398">
        <v>388</v>
      </c>
      <c r="B398">
        <f t="shared" si="30"/>
        <v>0</v>
      </c>
      <c r="C398" s="28"/>
      <c r="D398" s="28"/>
      <c r="E398">
        <f t="shared" si="29"/>
        <v>0.25</v>
      </c>
      <c r="F398">
        <f t="shared" si="31"/>
        <v>-0.25</v>
      </c>
      <c r="G398">
        <f t="shared" si="32"/>
        <v>6.25E-2</v>
      </c>
    </row>
    <row r="399" spans="1:7" x14ac:dyDescent="0.5">
      <c r="A399">
        <v>389</v>
      </c>
      <c r="B399">
        <f t="shared" si="30"/>
        <v>0</v>
      </c>
      <c r="C399" s="28"/>
      <c r="D399" s="28"/>
      <c r="E399">
        <f t="shared" si="29"/>
        <v>0.25</v>
      </c>
      <c r="F399">
        <f t="shared" si="31"/>
        <v>-0.25</v>
      </c>
      <c r="G399">
        <f t="shared" si="32"/>
        <v>6.25E-2</v>
      </c>
    </row>
    <row r="400" spans="1:7" x14ac:dyDescent="0.5">
      <c r="A400">
        <v>390</v>
      </c>
      <c r="B400">
        <f t="shared" si="30"/>
        <v>0</v>
      </c>
      <c r="C400" s="28"/>
      <c r="D400" s="28"/>
      <c r="E400">
        <f t="shared" si="29"/>
        <v>0.25</v>
      </c>
      <c r="F400">
        <f t="shared" si="31"/>
        <v>-0.25</v>
      </c>
      <c r="G400">
        <f t="shared" si="32"/>
        <v>6.25E-2</v>
      </c>
    </row>
    <row r="401" spans="1:7" x14ac:dyDescent="0.5">
      <c r="A401">
        <v>391</v>
      </c>
      <c r="B401">
        <f t="shared" si="30"/>
        <v>0</v>
      </c>
      <c r="C401" s="28"/>
      <c r="D401" s="28"/>
      <c r="E401">
        <f t="shared" si="29"/>
        <v>0.25</v>
      </c>
      <c r="F401">
        <f t="shared" si="31"/>
        <v>-0.25</v>
      </c>
      <c r="G401">
        <f t="shared" si="32"/>
        <v>6.25E-2</v>
      </c>
    </row>
    <row r="402" spans="1:7" x14ac:dyDescent="0.5">
      <c r="A402">
        <v>392</v>
      </c>
      <c r="B402">
        <f t="shared" si="30"/>
        <v>0</v>
      </c>
      <c r="C402" s="28"/>
      <c r="D402" s="28"/>
      <c r="E402">
        <f t="shared" si="29"/>
        <v>0.25</v>
      </c>
      <c r="F402">
        <f t="shared" si="31"/>
        <v>-0.25</v>
      </c>
      <c r="G402">
        <f t="shared" si="32"/>
        <v>6.25E-2</v>
      </c>
    </row>
    <row r="403" spans="1:7" x14ac:dyDescent="0.5">
      <c r="A403">
        <v>393</v>
      </c>
      <c r="B403">
        <f t="shared" si="30"/>
        <v>0</v>
      </c>
      <c r="C403" s="28"/>
      <c r="D403" s="28"/>
      <c r="E403">
        <f t="shared" si="29"/>
        <v>0.25</v>
      </c>
      <c r="F403">
        <f t="shared" si="31"/>
        <v>-0.25</v>
      </c>
      <c r="G403">
        <f t="shared" si="32"/>
        <v>6.25E-2</v>
      </c>
    </row>
    <row r="404" spans="1:7" x14ac:dyDescent="0.5">
      <c r="A404">
        <v>394</v>
      </c>
      <c r="B404">
        <f t="shared" si="30"/>
        <v>0</v>
      </c>
      <c r="C404" s="28"/>
      <c r="D404" s="28"/>
      <c r="E404">
        <f t="shared" si="29"/>
        <v>0.25</v>
      </c>
      <c r="F404">
        <f t="shared" si="31"/>
        <v>-0.25</v>
      </c>
      <c r="G404">
        <f t="shared" si="32"/>
        <v>6.25E-2</v>
      </c>
    </row>
    <row r="405" spans="1:7" x14ac:dyDescent="0.5">
      <c r="A405">
        <v>395</v>
      </c>
      <c r="B405">
        <f t="shared" si="30"/>
        <v>0</v>
      </c>
      <c r="C405" s="28"/>
      <c r="D405" s="28"/>
      <c r="E405">
        <f t="shared" si="29"/>
        <v>0.25</v>
      </c>
      <c r="F405">
        <f t="shared" si="31"/>
        <v>-0.25</v>
      </c>
      <c r="G405">
        <f t="shared" si="32"/>
        <v>6.25E-2</v>
      </c>
    </row>
    <row r="406" spans="1:7" x14ac:dyDescent="0.5">
      <c r="A406">
        <v>396</v>
      </c>
      <c r="B406">
        <f t="shared" si="30"/>
        <v>0</v>
      </c>
      <c r="C406" s="28"/>
      <c r="D406" s="28"/>
      <c r="E406">
        <f t="shared" si="29"/>
        <v>0.25</v>
      </c>
      <c r="F406">
        <f t="shared" si="31"/>
        <v>-0.25</v>
      </c>
      <c r="G406">
        <f t="shared" si="32"/>
        <v>6.25E-2</v>
      </c>
    </row>
    <row r="407" spans="1:7" x14ac:dyDescent="0.5">
      <c r="A407">
        <v>397</v>
      </c>
      <c r="B407">
        <f t="shared" si="30"/>
        <v>0</v>
      </c>
      <c r="C407" s="28"/>
      <c r="D407" s="28"/>
      <c r="E407">
        <f t="shared" si="29"/>
        <v>0.25</v>
      </c>
      <c r="F407">
        <f t="shared" si="31"/>
        <v>-0.25</v>
      </c>
      <c r="G407">
        <f t="shared" si="32"/>
        <v>6.25E-2</v>
      </c>
    </row>
    <row r="408" spans="1:7" x14ac:dyDescent="0.5">
      <c r="A408">
        <v>398</v>
      </c>
      <c r="B408">
        <f t="shared" si="30"/>
        <v>0</v>
      </c>
      <c r="C408" s="28"/>
      <c r="D408" s="28"/>
      <c r="E408">
        <f t="shared" si="29"/>
        <v>0.25</v>
      </c>
      <c r="F408">
        <f t="shared" si="31"/>
        <v>-0.25</v>
      </c>
      <c r="G408">
        <f t="shared" si="32"/>
        <v>6.25E-2</v>
      </c>
    </row>
    <row r="409" spans="1:7" x14ac:dyDescent="0.5">
      <c r="A409">
        <v>399</v>
      </c>
      <c r="B409">
        <f t="shared" si="30"/>
        <v>0</v>
      </c>
      <c r="C409" s="28"/>
      <c r="D409" s="28"/>
      <c r="E409">
        <f t="shared" si="29"/>
        <v>0.25</v>
      </c>
      <c r="F409">
        <f t="shared" si="31"/>
        <v>-0.25</v>
      </c>
      <c r="G409">
        <f t="shared" si="32"/>
        <v>6.25E-2</v>
      </c>
    </row>
    <row r="410" spans="1:7" x14ac:dyDescent="0.5">
      <c r="A410">
        <v>400</v>
      </c>
      <c r="B410">
        <f t="shared" si="30"/>
        <v>0</v>
      </c>
      <c r="C410" s="28"/>
      <c r="D410" s="28"/>
      <c r="E410">
        <f t="shared" si="29"/>
        <v>0.25</v>
      </c>
      <c r="F410">
        <f t="shared" si="31"/>
        <v>-0.25</v>
      </c>
      <c r="G410">
        <f t="shared" si="32"/>
        <v>6.25E-2</v>
      </c>
    </row>
    <row r="411" spans="1:7" x14ac:dyDescent="0.5">
      <c r="A411">
        <v>401</v>
      </c>
      <c r="B411">
        <f t="shared" si="30"/>
        <v>0</v>
      </c>
      <c r="C411" s="28"/>
      <c r="D411" s="28"/>
      <c r="E411">
        <f t="shared" si="29"/>
        <v>0.25</v>
      </c>
      <c r="F411">
        <f t="shared" si="31"/>
        <v>-0.25</v>
      </c>
      <c r="G411">
        <f t="shared" si="32"/>
        <v>6.25E-2</v>
      </c>
    </row>
    <row r="412" spans="1:7" x14ac:dyDescent="0.5">
      <c r="A412">
        <v>402</v>
      </c>
      <c r="B412">
        <f t="shared" si="30"/>
        <v>0</v>
      </c>
      <c r="C412" s="28"/>
      <c r="D412" s="28"/>
      <c r="E412">
        <f t="shared" si="29"/>
        <v>0.25</v>
      </c>
      <c r="F412">
        <f t="shared" si="31"/>
        <v>-0.25</v>
      </c>
      <c r="G412">
        <f t="shared" si="32"/>
        <v>6.25E-2</v>
      </c>
    </row>
    <row r="413" spans="1:7" x14ac:dyDescent="0.5">
      <c r="A413">
        <v>403</v>
      </c>
      <c r="B413">
        <f t="shared" si="30"/>
        <v>0</v>
      </c>
      <c r="C413" s="28"/>
      <c r="D413" s="28"/>
      <c r="E413">
        <f t="shared" si="29"/>
        <v>0.25</v>
      </c>
      <c r="F413">
        <f t="shared" si="31"/>
        <v>-0.25</v>
      </c>
      <c r="G413">
        <f t="shared" si="32"/>
        <v>6.25E-2</v>
      </c>
    </row>
    <row r="414" spans="1:7" x14ac:dyDescent="0.5">
      <c r="A414">
        <v>404</v>
      </c>
      <c r="B414">
        <f t="shared" si="30"/>
        <v>0</v>
      </c>
      <c r="C414" s="28"/>
      <c r="D414" s="28"/>
      <c r="E414">
        <f t="shared" si="29"/>
        <v>0.25</v>
      </c>
      <c r="F414">
        <f t="shared" si="31"/>
        <v>-0.25</v>
      </c>
      <c r="G414">
        <f t="shared" si="32"/>
        <v>6.25E-2</v>
      </c>
    </row>
    <row r="415" spans="1:7" x14ac:dyDescent="0.5">
      <c r="A415">
        <v>405</v>
      </c>
      <c r="B415">
        <f t="shared" si="30"/>
        <v>0</v>
      </c>
      <c r="C415" s="28"/>
      <c r="D415" s="28"/>
      <c r="E415">
        <f t="shared" si="29"/>
        <v>0.25</v>
      </c>
      <c r="F415">
        <f t="shared" si="31"/>
        <v>-0.25</v>
      </c>
      <c r="G415">
        <f t="shared" si="32"/>
        <v>6.25E-2</v>
      </c>
    </row>
    <row r="416" spans="1:7" x14ac:dyDescent="0.5">
      <c r="A416">
        <v>406</v>
      </c>
      <c r="B416">
        <f t="shared" si="30"/>
        <v>0</v>
      </c>
      <c r="C416" s="28"/>
      <c r="D416" s="28"/>
      <c r="E416">
        <f t="shared" si="29"/>
        <v>0.25</v>
      </c>
      <c r="F416">
        <f t="shared" si="31"/>
        <v>-0.25</v>
      </c>
      <c r="G416">
        <f t="shared" si="32"/>
        <v>6.25E-2</v>
      </c>
    </row>
    <row r="417" spans="1:7" x14ac:dyDescent="0.5">
      <c r="A417">
        <v>407</v>
      </c>
      <c r="B417">
        <f t="shared" si="30"/>
        <v>0</v>
      </c>
      <c r="C417" s="28"/>
      <c r="D417" s="28"/>
      <c r="E417">
        <f t="shared" si="29"/>
        <v>0.25</v>
      </c>
      <c r="F417">
        <f t="shared" si="31"/>
        <v>-0.25</v>
      </c>
      <c r="G417">
        <f t="shared" si="32"/>
        <v>6.25E-2</v>
      </c>
    </row>
    <row r="418" spans="1:7" x14ac:dyDescent="0.5">
      <c r="A418">
        <v>408</v>
      </c>
      <c r="B418">
        <f t="shared" si="30"/>
        <v>0</v>
      </c>
      <c r="C418" s="28"/>
      <c r="D418" s="28"/>
      <c r="E418">
        <f t="shared" si="29"/>
        <v>0.25</v>
      </c>
      <c r="F418">
        <f t="shared" si="31"/>
        <v>-0.25</v>
      </c>
      <c r="G418">
        <f t="shared" si="32"/>
        <v>6.25E-2</v>
      </c>
    </row>
    <row r="419" spans="1:7" x14ac:dyDescent="0.5">
      <c r="A419">
        <v>409</v>
      </c>
      <c r="B419">
        <f t="shared" si="30"/>
        <v>0</v>
      </c>
      <c r="C419" s="28"/>
      <c r="D419" s="28"/>
      <c r="E419">
        <f t="shared" si="29"/>
        <v>0.25</v>
      </c>
      <c r="F419">
        <f t="shared" si="31"/>
        <v>-0.25</v>
      </c>
      <c r="G419">
        <f t="shared" si="32"/>
        <v>6.25E-2</v>
      </c>
    </row>
    <row r="420" spans="1:7" x14ac:dyDescent="0.5">
      <c r="A420">
        <v>410</v>
      </c>
      <c r="B420">
        <f t="shared" si="30"/>
        <v>0</v>
      </c>
      <c r="C420" s="28"/>
      <c r="D420" s="28"/>
      <c r="E420">
        <f t="shared" si="29"/>
        <v>0.25</v>
      </c>
      <c r="F420">
        <f t="shared" si="31"/>
        <v>-0.25</v>
      </c>
      <c r="G420">
        <f t="shared" si="32"/>
        <v>6.25E-2</v>
      </c>
    </row>
    <row r="421" spans="1:7" x14ac:dyDescent="0.5">
      <c r="A421">
        <v>411</v>
      </c>
      <c r="B421">
        <f t="shared" si="30"/>
        <v>0</v>
      </c>
      <c r="C421" s="28"/>
      <c r="D421" s="28"/>
      <c r="E421">
        <f t="shared" si="29"/>
        <v>0.25</v>
      </c>
      <c r="F421">
        <f t="shared" si="31"/>
        <v>-0.25</v>
      </c>
      <c r="G421">
        <f t="shared" si="32"/>
        <v>6.25E-2</v>
      </c>
    </row>
    <row r="422" spans="1:7" x14ac:dyDescent="0.5">
      <c r="A422">
        <v>412</v>
      </c>
      <c r="B422">
        <f t="shared" si="30"/>
        <v>0</v>
      </c>
      <c r="C422" s="28"/>
      <c r="D422" s="28"/>
      <c r="E422">
        <f t="shared" si="29"/>
        <v>0.25</v>
      </c>
      <c r="F422">
        <f t="shared" si="31"/>
        <v>-0.25</v>
      </c>
      <c r="G422">
        <f t="shared" si="32"/>
        <v>6.25E-2</v>
      </c>
    </row>
    <row r="423" spans="1:7" x14ac:dyDescent="0.5">
      <c r="A423">
        <v>413</v>
      </c>
      <c r="B423">
        <f t="shared" si="30"/>
        <v>0</v>
      </c>
      <c r="C423" s="28"/>
      <c r="D423" s="28"/>
      <c r="E423">
        <f t="shared" si="29"/>
        <v>0.25</v>
      </c>
      <c r="F423">
        <f t="shared" si="31"/>
        <v>-0.25</v>
      </c>
      <c r="G423">
        <f t="shared" si="32"/>
        <v>6.25E-2</v>
      </c>
    </row>
    <row r="424" spans="1:7" x14ac:dyDescent="0.5">
      <c r="A424">
        <v>414</v>
      </c>
      <c r="B424">
        <f t="shared" si="30"/>
        <v>0</v>
      </c>
      <c r="C424" s="28"/>
      <c r="D424" s="28"/>
      <c r="E424">
        <f t="shared" si="29"/>
        <v>0.25</v>
      </c>
      <c r="F424">
        <f t="shared" si="31"/>
        <v>-0.25</v>
      </c>
      <c r="G424">
        <f t="shared" si="32"/>
        <v>6.25E-2</v>
      </c>
    </row>
    <row r="425" spans="1:7" x14ac:dyDescent="0.5">
      <c r="A425">
        <v>415</v>
      </c>
      <c r="B425">
        <f t="shared" si="30"/>
        <v>0</v>
      </c>
      <c r="C425" s="28"/>
      <c r="D425" s="28"/>
      <c r="E425">
        <f t="shared" si="29"/>
        <v>0.25</v>
      </c>
      <c r="F425">
        <f t="shared" si="31"/>
        <v>-0.25</v>
      </c>
      <c r="G425">
        <f t="shared" si="32"/>
        <v>6.25E-2</v>
      </c>
    </row>
    <row r="426" spans="1:7" x14ac:dyDescent="0.5">
      <c r="A426">
        <v>416</v>
      </c>
      <c r="B426">
        <f t="shared" si="30"/>
        <v>0</v>
      </c>
      <c r="C426" s="28"/>
      <c r="D426" s="28"/>
      <c r="E426">
        <f t="shared" si="29"/>
        <v>0.25</v>
      </c>
      <c r="F426">
        <f t="shared" si="31"/>
        <v>-0.25</v>
      </c>
      <c r="G426">
        <f t="shared" si="32"/>
        <v>6.25E-2</v>
      </c>
    </row>
    <row r="427" spans="1:7" x14ac:dyDescent="0.5">
      <c r="A427">
        <v>417</v>
      </c>
      <c r="B427">
        <f t="shared" si="30"/>
        <v>0</v>
      </c>
      <c r="C427" s="28"/>
      <c r="D427" s="28"/>
      <c r="E427">
        <f t="shared" si="29"/>
        <v>0.25</v>
      </c>
      <c r="F427">
        <f t="shared" si="31"/>
        <v>-0.25</v>
      </c>
      <c r="G427">
        <f t="shared" si="32"/>
        <v>6.25E-2</v>
      </c>
    </row>
    <row r="428" spans="1:7" x14ac:dyDescent="0.5">
      <c r="A428">
        <v>418</v>
      </c>
      <c r="B428">
        <f t="shared" si="30"/>
        <v>0</v>
      </c>
      <c r="C428" s="28"/>
      <c r="D428" s="28"/>
      <c r="E428">
        <f t="shared" si="29"/>
        <v>0.25</v>
      </c>
      <c r="F428">
        <f t="shared" si="31"/>
        <v>-0.25</v>
      </c>
      <c r="G428">
        <f t="shared" si="32"/>
        <v>6.25E-2</v>
      </c>
    </row>
    <row r="429" spans="1:7" x14ac:dyDescent="0.5">
      <c r="A429">
        <v>419</v>
      </c>
      <c r="B429">
        <f t="shared" si="30"/>
        <v>0</v>
      </c>
      <c r="C429" s="28"/>
      <c r="D429" s="28"/>
      <c r="E429">
        <f t="shared" si="29"/>
        <v>0.25</v>
      </c>
      <c r="F429">
        <f t="shared" si="31"/>
        <v>-0.25</v>
      </c>
      <c r="G429">
        <f t="shared" si="32"/>
        <v>6.25E-2</v>
      </c>
    </row>
    <row r="430" spans="1:7" x14ac:dyDescent="0.5">
      <c r="A430">
        <v>420</v>
      </c>
      <c r="B430">
        <f t="shared" si="30"/>
        <v>0</v>
      </c>
      <c r="C430" s="28"/>
      <c r="D430" s="28"/>
      <c r="E430">
        <f t="shared" si="29"/>
        <v>0.25</v>
      </c>
      <c r="F430">
        <f t="shared" si="31"/>
        <v>-0.25</v>
      </c>
      <c r="G430">
        <f t="shared" si="32"/>
        <v>6.25E-2</v>
      </c>
    </row>
    <row r="431" spans="1:7" x14ac:dyDescent="0.5">
      <c r="A431">
        <v>421</v>
      </c>
      <c r="B431">
        <f t="shared" si="30"/>
        <v>0</v>
      </c>
      <c r="C431" s="28"/>
      <c r="D431" s="28"/>
      <c r="E431">
        <f t="shared" si="29"/>
        <v>0.25</v>
      </c>
      <c r="F431">
        <f t="shared" si="31"/>
        <v>-0.25</v>
      </c>
      <c r="G431">
        <f t="shared" si="32"/>
        <v>6.25E-2</v>
      </c>
    </row>
    <row r="432" spans="1:7" x14ac:dyDescent="0.5">
      <c r="A432">
        <v>422</v>
      </c>
      <c r="B432">
        <f t="shared" si="30"/>
        <v>0</v>
      </c>
      <c r="C432" s="28"/>
      <c r="D432" s="28"/>
      <c r="E432">
        <f t="shared" si="29"/>
        <v>0.25</v>
      </c>
      <c r="F432">
        <f t="shared" si="31"/>
        <v>-0.25</v>
      </c>
      <c r="G432">
        <f t="shared" si="32"/>
        <v>6.25E-2</v>
      </c>
    </row>
    <row r="433" spans="1:7" x14ac:dyDescent="0.5">
      <c r="A433">
        <v>423</v>
      </c>
      <c r="B433">
        <f t="shared" si="30"/>
        <v>0</v>
      </c>
      <c r="C433" s="28"/>
      <c r="D433" s="28"/>
      <c r="E433">
        <f t="shared" si="29"/>
        <v>0.25</v>
      </c>
      <c r="F433">
        <f t="shared" si="31"/>
        <v>-0.25</v>
      </c>
      <c r="G433">
        <f t="shared" si="32"/>
        <v>6.25E-2</v>
      </c>
    </row>
    <row r="434" spans="1:7" x14ac:dyDescent="0.5">
      <c r="A434">
        <v>424</v>
      </c>
      <c r="B434">
        <f t="shared" si="30"/>
        <v>0</v>
      </c>
      <c r="C434" s="28"/>
      <c r="D434" s="28"/>
      <c r="E434">
        <f t="shared" si="29"/>
        <v>0.25</v>
      </c>
      <c r="F434">
        <f t="shared" si="31"/>
        <v>-0.25</v>
      </c>
      <c r="G434">
        <f t="shared" si="32"/>
        <v>6.25E-2</v>
      </c>
    </row>
    <row r="435" spans="1:7" x14ac:dyDescent="0.5">
      <c r="A435">
        <v>425</v>
      </c>
      <c r="B435">
        <f t="shared" si="30"/>
        <v>0</v>
      </c>
      <c r="C435" s="28"/>
      <c r="D435" s="28"/>
      <c r="E435">
        <f t="shared" si="29"/>
        <v>0.25</v>
      </c>
      <c r="F435">
        <f t="shared" si="31"/>
        <v>-0.25</v>
      </c>
      <c r="G435">
        <f t="shared" si="32"/>
        <v>6.25E-2</v>
      </c>
    </row>
    <row r="436" spans="1:7" x14ac:dyDescent="0.5">
      <c r="A436">
        <v>426</v>
      </c>
      <c r="B436">
        <f t="shared" si="30"/>
        <v>0</v>
      </c>
      <c r="C436" s="28"/>
      <c r="D436" s="28"/>
      <c r="E436">
        <f t="shared" si="29"/>
        <v>0.25</v>
      </c>
      <c r="F436">
        <f t="shared" si="31"/>
        <v>-0.25</v>
      </c>
      <c r="G436">
        <f t="shared" si="32"/>
        <v>6.25E-2</v>
      </c>
    </row>
    <row r="437" spans="1:7" x14ac:dyDescent="0.5">
      <c r="A437">
        <v>427</v>
      </c>
      <c r="B437">
        <f t="shared" si="30"/>
        <v>0</v>
      </c>
      <c r="C437" s="28"/>
      <c r="D437" s="28"/>
      <c r="E437">
        <f t="shared" si="29"/>
        <v>0.25</v>
      </c>
      <c r="F437">
        <f t="shared" si="31"/>
        <v>-0.25</v>
      </c>
      <c r="G437">
        <f t="shared" si="32"/>
        <v>6.25E-2</v>
      </c>
    </row>
    <row r="438" spans="1:7" x14ac:dyDescent="0.5">
      <c r="A438">
        <v>428</v>
      </c>
      <c r="B438">
        <f t="shared" si="30"/>
        <v>0</v>
      </c>
      <c r="C438" s="28"/>
      <c r="D438" s="28"/>
      <c r="E438">
        <f t="shared" si="29"/>
        <v>0.25</v>
      </c>
      <c r="F438">
        <f t="shared" si="31"/>
        <v>-0.25</v>
      </c>
      <c r="G438">
        <f t="shared" si="32"/>
        <v>6.25E-2</v>
      </c>
    </row>
    <row r="439" spans="1:7" x14ac:dyDescent="0.5">
      <c r="A439">
        <v>429</v>
      </c>
      <c r="B439">
        <f t="shared" si="30"/>
        <v>0</v>
      </c>
      <c r="C439" s="28"/>
      <c r="D439" s="28"/>
      <c r="E439">
        <f t="shared" si="29"/>
        <v>0.25</v>
      </c>
      <c r="F439">
        <f t="shared" si="31"/>
        <v>-0.25</v>
      </c>
      <c r="G439">
        <f t="shared" si="32"/>
        <v>6.25E-2</v>
      </c>
    </row>
    <row r="440" spans="1:7" x14ac:dyDescent="0.5">
      <c r="A440">
        <v>430</v>
      </c>
      <c r="B440">
        <f t="shared" si="30"/>
        <v>0</v>
      </c>
      <c r="C440" s="28"/>
      <c r="D440" s="28"/>
      <c r="E440">
        <f t="shared" si="29"/>
        <v>0.25</v>
      </c>
      <c r="F440">
        <f t="shared" si="31"/>
        <v>-0.25</v>
      </c>
      <c r="G440">
        <f t="shared" si="32"/>
        <v>6.25E-2</v>
      </c>
    </row>
    <row r="441" spans="1:7" x14ac:dyDescent="0.5">
      <c r="A441">
        <v>431</v>
      </c>
      <c r="B441">
        <f t="shared" si="30"/>
        <v>0</v>
      </c>
      <c r="C441" s="28"/>
      <c r="D441" s="28"/>
      <c r="E441">
        <f t="shared" si="29"/>
        <v>0.25</v>
      </c>
      <c r="F441">
        <f t="shared" si="31"/>
        <v>-0.25</v>
      </c>
      <c r="G441">
        <f t="shared" si="32"/>
        <v>6.25E-2</v>
      </c>
    </row>
    <row r="442" spans="1:7" x14ac:dyDescent="0.5">
      <c r="A442">
        <v>432</v>
      </c>
      <c r="B442">
        <f t="shared" si="30"/>
        <v>0</v>
      </c>
      <c r="C442" s="28"/>
      <c r="D442" s="28"/>
      <c r="E442">
        <f t="shared" si="29"/>
        <v>0.25</v>
      </c>
      <c r="F442">
        <f t="shared" si="31"/>
        <v>-0.25</v>
      </c>
      <c r="G442">
        <f t="shared" si="32"/>
        <v>6.25E-2</v>
      </c>
    </row>
    <row r="443" spans="1:7" x14ac:dyDescent="0.5">
      <c r="A443">
        <v>433</v>
      </c>
      <c r="B443">
        <f t="shared" si="30"/>
        <v>0</v>
      </c>
      <c r="C443" s="28"/>
      <c r="D443" s="28"/>
      <c r="E443">
        <f t="shared" si="29"/>
        <v>0.25</v>
      </c>
      <c r="F443">
        <f t="shared" si="31"/>
        <v>-0.25</v>
      </c>
      <c r="G443">
        <f t="shared" si="32"/>
        <v>6.25E-2</v>
      </c>
    </row>
    <row r="444" spans="1:7" x14ac:dyDescent="0.5">
      <c r="A444">
        <v>434</v>
      </c>
      <c r="B444">
        <f t="shared" si="30"/>
        <v>0</v>
      </c>
      <c r="C444" s="28"/>
      <c r="D444" s="28"/>
      <c r="E444">
        <f t="shared" si="29"/>
        <v>0.25</v>
      </c>
      <c r="F444">
        <f t="shared" si="31"/>
        <v>-0.25</v>
      </c>
      <c r="G444">
        <f t="shared" si="32"/>
        <v>6.25E-2</v>
      </c>
    </row>
    <row r="445" spans="1:7" x14ac:dyDescent="0.5">
      <c r="A445">
        <v>435</v>
      </c>
      <c r="B445">
        <f t="shared" si="30"/>
        <v>0</v>
      </c>
      <c r="C445" s="28"/>
      <c r="D445" s="28"/>
      <c r="E445">
        <f t="shared" si="29"/>
        <v>0.25</v>
      </c>
      <c r="F445">
        <f t="shared" si="31"/>
        <v>-0.25</v>
      </c>
      <c r="G445">
        <f t="shared" si="32"/>
        <v>6.25E-2</v>
      </c>
    </row>
    <row r="446" spans="1:7" x14ac:dyDescent="0.5">
      <c r="A446">
        <v>436</v>
      </c>
      <c r="B446">
        <f t="shared" si="30"/>
        <v>0</v>
      </c>
      <c r="C446" s="28"/>
      <c r="D446" s="28"/>
      <c r="E446">
        <f t="shared" si="29"/>
        <v>0.25</v>
      </c>
      <c r="F446">
        <f t="shared" si="31"/>
        <v>-0.25</v>
      </c>
      <c r="G446">
        <f t="shared" si="32"/>
        <v>6.25E-2</v>
      </c>
    </row>
    <row r="447" spans="1:7" x14ac:dyDescent="0.5">
      <c r="A447">
        <v>437</v>
      </c>
      <c r="B447">
        <f t="shared" si="30"/>
        <v>0</v>
      </c>
      <c r="C447" s="28"/>
      <c r="D447" s="28"/>
      <c r="E447">
        <f t="shared" si="29"/>
        <v>0.25</v>
      </c>
      <c r="F447">
        <f t="shared" si="31"/>
        <v>-0.25</v>
      </c>
      <c r="G447">
        <f t="shared" si="32"/>
        <v>6.25E-2</v>
      </c>
    </row>
    <row r="448" spans="1:7" x14ac:dyDescent="0.5">
      <c r="A448">
        <v>438</v>
      </c>
      <c r="B448">
        <f t="shared" si="30"/>
        <v>0</v>
      </c>
      <c r="C448" s="28"/>
      <c r="D448" s="28"/>
      <c r="E448">
        <f t="shared" si="29"/>
        <v>0.25</v>
      </c>
      <c r="F448">
        <f t="shared" si="31"/>
        <v>-0.25</v>
      </c>
      <c r="G448">
        <f t="shared" si="32"/>
        <v>6.25E-2</v>
      </c>
    </row>
    <row r="449" spans="1:7" x14ac:dyDescent="0.5">
      <c r="A449">
        <v>439</v>
      </c>
      <c r="B449">
        <f t="shared" si="30"/>
        <v>0</v>
      </c>
      <c r="C449" s="28"/>
      <c r="D449" s="28"/>
      <c r="E449">
        <f t="shared" si="29"/>
        <v>0.25</v>
      </c>
      <c r="F449">
        <f t="shared" si="31"/>
        <v>-0.25</v>
      </c>
      <c r="G449">
        <f t="shared" si="32"/>
        <v>6.25E-2</v>
      </c>
    </row>
    <row r="450" spans="1:7" x14ac:dyDescent="0.5">
      <c r="A450">
        <v>440</v>
      </c>
      <c r="B450">
        <f t="shared" si="30"/>
        <v>0</v>
      </c>
      <c r="C450" s="28"/>
      <c r="D450" s="28"/>
      <c r="E450">
        <f t="shared" si="29"/>
        <v>0.25</v>
      </c>
      <c r="F450">
        <f t="shared" si="31"/>
        <v>-0.25</v>
      </c>
      <c r="G450">
        <f t="shared" si="32"/>
        <v>6.25E-2</v>
      </c>
    </row>
    <row r="451" spans="1:7" x14ac:dyDescent="0.5">
      <c r="A451">
        <v>441</v>
      </c>
      <c r="B451">
        <f t="shared" si="30"/>
        <v>0</v>
      </c>
      <c r="C451" s="28"/>
      <c r="D451" s="28"/>
      <c r="E451">
        <f t="shared" si="29"/>
        <v>0.25</v>
      </c>
      <c r="F451">
        <f t="shared" si="31"/>
        <v>-0.25</v>
      </c>
      <c r="G451">
        <f t="shared" si="32"/>
        <v>6.25E-2</v>
      </c>
    </row>
    <row r="452" spans="1:7" x14ac:dyDescent="0.5">
      <c r="A452">
        <v>442</v>
      </c>
      <c r="B452">
        <f t="shared" si="30"/>
        <v>0</v>
      </c>
      <c r="C452" s="28"/>
      <c r="D452" s="28"/>
      <c r="E452">
        <f t="shared" si="29"/>
        <v>0.25</v>
      </c>
      <c r="F452">
        <f t="shared" si="31"/>
        <v>-0.25</v>
      </c>
      <c r="G452">
        <f t="shared" si="32"/>
        <v>6.25E-2</v>
      </c>
    </row>
    <row r="453" spans="1:7" x14ac:dyDescent="0.5">
      <c r="A453">
        <v>443</v>
      </c>
      <c r="B453">
        <f t="shared" si="30"/>
        <v>0</v>
      </c>
      <c r="C453" s="28"/>
      <c r="D453" s="28"/>
      <c r="E453">
        <f t="shared" si="29"/>
        <v>0.25</v>
      </c>
      <c r="F453">
        <f t="shared" si="31"/>
        <v>-0.25</v>
      </c>
      <c r="G453">
        <f t="shared" si="32"/>
        <v>6.25E-2</v>
      </c>
    </row>
    <row r="454" spans="1:7" x14ac:dyDescent="0.5">
      <c r="A454">
        <v>444</v>
      </c>
      <c r="B454">
        <f t="shared" si="30"/>
        <v>0</v>
      </c>
      <c r="C454" s="28"/>
      <c r="D454" s="28"/>
      <c r="E454">
        <f t="shared" si="29"/>
        <v>0.25</v>
      </c>
      <c r="F454">
        <f t="shared" si="31"/>
        <v>-0.25</v>
      </c>
      <c r="G454">
        <f t="shared" si="32"/>
        <v>6.25E-2</v>
      </c>
    </row>
    <row r="455" spans="1:7" x14ac:dyDescent="0.5">
      <c r="A455">
        <v>445</v>
      </c>
      <c r="B455">
        <f t="shared" si="30"/>
        <v>0</v>
      </c>
      <c r="C455" s="28"/>
      <c r="D455" s="28"/>
      <c r="E455">
        <f t="shared" si="29"/>
        <v>0.25</v>
      </c>
      <c r="F455">
        <f t="shared" si="31"/>
        <v>-0.25</v>
      </c>
      <c r="G455">
        <f t="shared" si="32"/>
        <v>6.25E-2</v>
      </c>
    </row>
    <row r="456" spans="1:7" x14ac:dyDescent="0.5">
      <c r="A456">
        <v>446</v>
      </c>
      <c r="B456">
        <f t="shared" si="30"/>
        <v>0</v>
      </c>
      <c r="C456" s="28"/>
      <c r="D456" s="28"/>
      <c r="E456">
        <f t="shared" si="29"/>
        <v>0.25</v>
      </c>
      <c r="F456">
        <f t="shared" si="31"/>
        <v>-0.25</v>
      </c>
      <c r="G456">
        <f t="shared" si="32"/>
        <v>6.25E-2</v>
      </c>
    </row>
    <row r="457" spans="1:7" x14ac:dyDescent="0.5">
      <c r="A457">
        <v>447</v>
      </c>
      <c r="B457">
        <f t="shared" si="30"/>
        <v>0</v>
      </c>
      <c r="C457" s="28"/>
      <c r="D457" s="28"/>
      <c r="E457">
        <f t="shared" si="29"/>
        <v>0.25</v>
      </c>
      <c r="F457">
        <f t="shared" si="31"/>
        <v>-0.25</v>
      </c>
      <c r="G457">
        <f t="shared" si="32"/>
        <v>6.25E-2</v>
      </c>
    </row>
    <row r="458" spans="1:7" x14ac:dyDescent="0.5">
      <c r="A458">
        <v>448</v>
      </c>
      <c r="B458">
        <f t="shared" si="30"/>
        <v>0</v>
      </c>
      <c r="C458" s="28"/>
      <c r="D458" s="28"/>
      <c r="E458">
        <f t="shared" si="29"/>
        <v>0.25</v>
      </c>
      <c r="F458">
        <f t="shared" si="31"/>
        <v>-0.25</v>
      </c>
      <c r="G458">
        <f t="shared" si="32"/>
        <v>6.25E-2</v>
      </c>
    </row>
    <row r="459" spans="1:7" x14ac:dyDescent="0.5">
      <c r="A459">
        <v>449</v>
      </c>
      <c r="B459">
        <f t="shared" si="30"/>
        <v>0</v>
      </c>
      <c r="C459" s="28"/>
      <c r="D459" s="28"/>
      <c r="E459">
        <f t="shared" ref="E459:E522" si="33">BaseAdjust+(ampl1*EXP(-gamma1*C459)+ampl2*EXP(-gamma2*C459)+ampl3*EXP(-gamma3*C459))^2</f>
        <v>0.25</v>
      </c>
      <c r="F459">
        <f t="shared" si="31"/>
        <v>-0.25</v>
      </c>
      <c r="G459">
        <f t="shared" si="32"/>
        <v>6.25E-2</v>
      </c>
    </row>
    <row r="460" spans="1:7" x14ac:dyDescent="0.5">
      <c r="A460">
        <v>450</v>
      </c>
      <c r="B460">
        <f t="shared" ref="B460:B523" si="34">C460/1000</f>
        <v>0</v>
      </c>
      <c r="C460" s="28"/>
      <c r="D460" s="28"/>
      <c r="E460">
        <f t="shared" si="33"/>
        <v>0.25</v>
      </c>
      <c r="F460">
        <f t="shared" ref="F460:F523" si="35">D460-E460</f>
        <v>-0.25</v>
      </c>
      <c r="G460">
        <f t="shared" ref="G460:G523" si="36">F460^2</f>
        <v>6.25E-2</v>
      </c>
    </row>
    <row r="461" spans="1:7" x14ac:dyDescent="0.5">
      <c r="A461">
        <v>451</v>
      </c>
      <c r="B461">
        <f t="shared" si="34"/>
        <v>0</v>
      </c>
      <c r="C461" s="28"/>
      <c r="D461" s="28"/>
      <c r="E461">
        <f t="shared" si="33"/>
        <v>0.25</v>
      </c>
      <c r="F461">
        <f t="shared" si="35"/>
        <v>-0.25</v>
      </c>
      <c r="G461">
        <f t="shared" si="36"/>
        <v>6.25E-2</v>
      </c>
    </row>
    <row r="462" spans="1:7" x14ac:dyDescent="0.5">
      <c r="A462">
        <v>452</v>
      </c>
      <c r="B462">
        <f t="shared" si="34"/>
        <v>0</v>
      </c>
      <c r="C462" s="28"/>
      <c r="D462" s="28"/>
      <c r="E462">
        <f t="shared" si="33"/>
        <v>0.25</v>
      </c>
      <c r="F462">
        <f t="shared" si="35"/>
        <v>-0.25</v>
      </c>
      <c r="G462">
        <f t="shared" si="36"/>
        <v>6.25E-2</v>
      </c>
    </row>
    <row r="463" spans="1:7" x14ac:dyDescent="0.5">
      <c r="A463">
        <v>453</v>
      </c>
      <c r="B463">
        <f t="shared" si="34"/>
        <v>0</v>
      </c>
      <c r="C463" s="28"/>
      <c r="D463" s="28"/>
      <c r="E463">
        <f t="shared" si="33"/>
        <v>0.25</v>
      </c>
      <c r="F463">
        <f t="shared" si="35"/>
        <v>-0.25</v>
      </c>
      <c r="G463">
        <f t="shared" si="36"/>
        <v>6.25E-2</v>
      </c>
    </row>
    <row r="464" spans="1:7" x14ac:dyDescent="0.5">
      <c r="A464">
        <v>454</v>
      </c>
      <c r="B464">
        <f t="shared" si="34"/>
        <v>0</v>
      </c>
      <c r="C464" s="28"/>
      <c r="D464" s="28"/>
      <c r="E464">
        <f t="shared" si="33"/>
        <v>0.25</v>
      </c>
      <c r="F464">
        <f t="shared" si="35"/>
        <v>-0.25</v>
      </c>
      <c r="G464">
        <f t="shared" si="36"/>
        <v>6.25E-2</v>
      </c>
    </row>
    <row r="465" spans="1:7" x14ac:dyDescent="0.5">
      <c r="A465">
        <v>455</v>
      </c>
      <c r="B465">
        <f t="shared" si="34"/>
        <v>0</v>
      </c>
      <c r="C465" s="28"/>
      <c r="D465" s="28"/>
      <c r="E465">
        <f t="shared" si="33"/>
        <v>0.25</v>
      </c>
      <c r="F465">
        <f t="shared" si="35"/>
        <v>-0.25</v>
      </c>
      <c r="G465">
        <f t="shared" si="36"/>
        <v>6.25E-2</v>
      </c>
    </row>
    <row r="466" spans="1:7" x14ac:dyDescent="0.5">
      <c r="A466">
        <v>456</v>
      </c>
      <c r="B466">
        <f t="shared" si="34"/>
        <v>0</v>
      </c>
      <c r="C466" s="28"/>
      <c r="D466" s="28"/>
      <c r="E466">
        <f t="shared" si="33"/>
        <v>0.25</v>
      </c>
      <c r="F466">
        <f t="shared" si="35"/>
        <v>-0.25</v>
      </c>
      <c r="G466">
        <f t="shared" si="36"/>
        <v>6.25E-2</v>
      </c>
    </row>
    <row r="467" spans="1:7" x14ac:dyDescent="0.5">
      <c r="A467">
        <v>457</v>
      </c>
      <c r="B467">
        <f t="shared" si="34"/>
        <v>0</v>
      </c>
      <c r="C467" s="28"/>
      <c r="D467" s="28"/>
      <c r="E467">
        <f t="shared" si="33"/>
        <v>0.25</v>
      </c>
      <c r="F467">
        <f t="shared" si="35"/>
        <v>-0.25</v>
      </c>
      <c r="G467">
        <f t="shared" si="36"/>
        <v>6.25E-2</v>
      </c>
    </row>
    <row r="468" spans="1:7" x14ac:dyDescent="0.5">
      <c r="A468">
        <v>458</v>
      </c>
      <c r="B468">
        <f t="shared" si="34"/>
        <v>0</v>
      </c>
      <c r="C468" s="28"/>
      <c r="D468" s="28"/>
      <c r="E468">
        <f t="shared" si="33"/>
        <v>0.25</v>
      </c>
      <c r="F468">
        <f t="shared" si="35"/>
        <v>-0.25</v>
      </c>
      <c r="G468">
        <f t="shared" si="36"/>
        <v>6.25E-2</v>
      </c>
    </row>
    <row r="469" spans="1:7" x14ac:dyDescent="0.5">
      <c r="A469">
        <v>459</v>
      </c>
      <c r="B469">
        <f t="shared" si="34"/>
        <v>0</v>
      </c>
      <c r="C469" s="28"/>
      <c r="D469" s="28"/>
      <c r="E469">
        <f t="shared" si="33"/>
        <v>0.25</v>
      </c>
      <c r="F469">
        <f t="shared" si="35"/>
        <v>-0.25</v>
      </c>
      <c r="G469">
        <f t="shared" si="36"/>
        <v>6.25E-2</v>
      </c>
    </row>
    <row r="470" spans="1:7" x14ac:dyDescent="0.5">
      <c r="A470">
        <v>460</v>
      </c>
      <c r="B470">
        <f t="shared" si="34"/>
        <v>0</v>
      </c>
      <c r="C470" s="28"/>
      <c r="D470" s="28"/>
      <c r="E470">
        <f t="shared" si="33"/>
        <v>0.25</v>
      </c>
      <c r="F470">
        <f t="shared" si="35"/>
        <v>-0.25</v>
      </c>
      <c r="G470">
        <f t="shared" si="36"/>
        <v>6.25E-2</v>
      </c>
    </row>
    <row r="471" spans="1:7" x14ac:dyDescent="0.5">
      <c r="A471">
        <v>461</v>
      </c>
      <c r="B471">
        <f t="shared" si="34"/>
        <v>0</v>
      </c>
      <c r="C471" s="28"/>
      <c r="D471" s="28"/>
      <c r="E471">
        <f t="shared" si="33"/>
        <v>0.25</v>
      </c>
      <c r="F471">
        <f t="shared" si="35"/>
        <v>-0.25</v>
      </c>
      <c r="G471">
        <f t="shared" si="36"/>
        <v>6.25E-2</v>
      </c>
    </row>
    <row r="472" spans="1:7" x14ac:dyDescent="0.5">
      <c r="A472">
        <v>462</v>
      </c>
      <c r="B472">
        <f t="shared" si="34"/>
        <v>0</v>
      </c>
      <c r="C472" s="28"/>
      <c r="D472" s="28"/>
      <c r="E472">
        <f t="shared" si="33"/>
        <v>0.25</v>
      </c>
      <c r="F472">
        <f t="shared" si="35"/>
        <v>-0.25</v>
      </c>
      <c r="G472">
        <f t="shared" si="36"/>
        <v>6.25E-2</v>
      </c>
    </row>
    <row r="473" spans="1:7" x14ac:dyDescent="0.5">
      <c r="A473">
        <v>463</v>
      </c>
      <c r="B473">
        <f t="shared" si="34"/>
        <v>0</v>
      </c>
      <c r="C473" s="28"/>
      <c r="D473" s="28"/>
      <c r="E473">
        <f t="shared" si="33"/>
        <v>0.25</v>
      </c>
      <c r="F473">
        <f t="shared" si="35"/>
        <v>-0.25</v>
      </c>
      <c r="G473">
        <f t="shared" si="36"/>
        <v>6.25E-2</v>
      </c>
    </row>
    <row r="474" spans="1:7" x14ac:dyDescent="0.5">
      <c r="A474">
        <v>464</v>
      </c>
      <c r="B474">
        <f t="shared" si="34"/>
        <v>0</v>
      </c>
      <c r="C474" s="28"/>
      <c r="D474" s="28"/>
      <c r="E474">
        <f t="shared" si="33"/>
        <v>0.25</v>
      </c>
      <c r="F474">
        <f t="shared" si="35"/>
        <v>-0.25</v>
      </c>
      <c r="G474">
        <f t="shared" si="36"/>
        <v>6.25E-2</v>
      </c>
    </row>
    <row r="475" spans="1:7" x14ac:dyDescent="0.5">
      <c r="A475">
        <v>465</v>
      </c>
      <c r="B475">
        <f t="shared" si="34"/>
        <v>0</v>
      </c>
      <c r="C475" s="28"/>
      <c r="D475" s="28"/>
      <c r="E475">
        <f t="shared" si="33"/>
        <v>0.25</v>
      </c>
      <c r="F475">
        <f t="shared" si="35"/>
        <v>-0.25</v>
      </c>
      <c r="G475">
        <f t="shared" si="36"/>
        <v>6.25E-2</v>
      </c>
    </row>
    <row r="476" spans="1:7" x14ac:dyDescent="0.5">
      <c r="A476">
        <v>466</v>
      </c>
      <c r="B476">
        <f t="shared" si="34"/>
        <v>0</v>
      </c>
      <c r="C476" s="28"/>
      <c r="D476" s="28"/>
      <c r="E476">
        <f t="shared" si="33"/>
        <v>0.25</v>
      </c>
      <c r="F476">
        <f t="shared" si="35"/>
        <v>-0.25</v>
      </c>
      <c r="G476">
        <f t="shared" si="36"/>
        <v>6.25E-2</v>
      </c>
    </row>
    <row r="477" spans="1:7" x14ac:dyDescent="0.5">
      <c r="A477">
        <v>467</v>
      </c>
      <c r="B477">
        <f t="shared" si="34"/>
        <v>0</v>
      </c>
      <c r="C477" s="28"/>
      <c r="D477" s="28"/>
      <c r="E477">
        <f t="shared" si="33"/>
        <v>0.25</v>
      </c>
      <c r="F477">
        <f t="shared" si="35"/>
        <v>-0.25</v>
      </c>
      <c r="G477">
        <f t="shared" si="36"/>
        <v>6.25E-2</v>
      </c>
    </row>
    <row r="478" spans="1:7" x14ac:dyDescent="0.5">
      <c r="A478">
        <v>468</v>
      </c>
      <c r="B478">
        <f t="shared" si="34"/>
        <v>0</v>
      </c>
      <c r="C478" s="28"/>
      <c r="D478" s="28"/>
      <c r="E478">
        <f t="shared" si="33"/>
        <v>0.25</v>
      </c>
      <c r="F478">
        <f t="shared" si="35"/>
        <v>-0.25</v>
      </c>
      <c r="G478">
        <f t="shared" si="36"/>
        <v>6.25E-2</v>
      </c>
    </row>
    <row r="479" spans="1:7" x14ac:dyDescent="0.5">
      <c r="A479">
        <v>469</v>
      </c>
      <c r="B479">
        <f t="shared" si="34"/>
        <v>0</v>
      </c>
      <c r="C479" s="28"/>
      <c r="D479" s="28"/>
      <c r="E479">
        <f t="shared" si="33"/>
        <v>0.25</v>
      </c>
      <c r="F479">
        <f t="shared" si="35"/>
        <v>-0.25</v>
      </c>
      <c r="G479">
        <f t="shared" si="36"/>
        <v>6.25E-2</v>
      </c>
    </row>
    <row r="480" spans="1:7" x14ac:dyDescent="0.5">
      <c r="A480">
        <v>470</v>
      </c>
      <c r="B480">
        <f t="shared" si="34"/>
        <v>0</v>
      </c>
      <c r="C480" s="28"/>
      <c r="D480" s="28"/>
      <c r="E480">
        <f t="shared" si="33"/>
        <v>0.25</v>
      </c>
      <c r="F480">
        <f t="shared" si="35"/>
        <v>-0.25</v>
      </c>
      <c r="G480">
        <f t="shared" si="36"/>
        <v>6.25E-2</v>
      </c>
    </row>
    <row r="481" spans="1:7" x14ac:dyDescent="0.5">
      <c r="A481">
        <v>471</v>
      </c>
      <c r="B481">
        <f t="shared" si="34"/>
        <v>0</v>
      </c>
      <c r="C481" s="28"/>
      <c r="D481" s="28"/>
      <c r="E481">
        <f t="shared" si="33"/>
        <v>0.25</v>
      </c>
      <c r="F481">
        <f t="shared" si="35"/>
        <v>-0.25</v>
      </c>
      <c r="G481">
        <f t="shared" si="36"/>
        <v>6.25E-2</v>
      </c>
    </row>
    <row r="482" spans="1:7" x14ac:dyDescent="0.5">
      <c r="A482">
        <v>472</v>
      </c>
      <c r="B482">
        <f t="shared" si="34"/>
        <v>0</v>
      </c>
      <c r="C482" s="28"/>
      <c r="D482" s="28"/>
      <c r="E482">
        <f t="shared" si="33"/>
        <v>0.25</v>
      </c>
      <c r="F482">
        <f t="shared" si="35"/>
        <v>-0.25</v>
      </c>
      <c r="G482">
        <f t="shared" si="36"/>
        <v>6.25E-2</v>
      </c>
    </row>
    <row r="483" spans="1:7" x14ac:dyDescent="0.5">
      <c r="A483">
        <v>473</v>
      </c>
      <c r="B483">
        <f t="shared" si="34"/>
        <v>0</v>
      </c>
      <c r="C483" s="28"/>
      <c r="D483" s="28"/>
      <c r="E483">
        <f t="shared" si="33"/>
        <v>0.25</v>
      </c>
      <c r="F483">
        <f t="shared" si="35"/>
        <v>-0.25</v>
      </c>
      <c r="G483">
        <f t="shared" si="36"/>
        <v>6.25E-2</v>
      </c>
    </row>
    <row r="484" spans="1:7" x14ac:dyDescent="0.5">
      <c r="A484">
        <v>474</v>
      </c>
      <c r="B484">
        <f t="shared" si="34"/>
        <v>0</v>
      </c>
      <c r="C484" s="28"/>
      <c r="D484" s="28"/>
      <c r="E484">
        <f t="shared" si="33"/>
        <v>0.25</v>
      </c>
      <c r="F484">
        <f t="shared" si="35"/>
        <v>-0.25</v>
      </c>
      <c r="G484">
        <f t="shared" si="36"/>
        <v>6.25E-2</v>
      </c>
    </row>
    <row r="485" spans="1:7" x14ac:dyDescent="0.5">
      <c r="A485">
        <v>475</v>
      </c>
      <c r="B485">
        <f t="shared" si="34"/>
        <v>0</v>
      </c>
      <c r="C485" s="28"/>
      <c r="D485" s="28"/>
      <c r="E485">
        <f t="shared" si="33"/>
        <v>0.25</v>
      </c>
      <c r="F485">
        <f t="shared" si="35"/>
        <v>-0.25</v>
      </c>
      <c r="G485">
        <f t="shared" si="36"/>
        <v>6.25E-2</v>
      </c>
    </row>
    <row r="486" spans="1:7" x14ac:dyDescent="0.5">
      <c r="A486">
        <v>476</v>
      </c>
      <c r="B486">
        <f t="shared" si="34"/>
        <v>0</v>
      </c>
      <c r="C486" s="28"/>
      <c r="D486" s="28"/>
      <c r="E486">
        <f t="shared" si="33"/>
        <v>0.25</v>
      </c>
      <c r="F486">
        <f t="shared" si="35"/>
        <v>-0.25</v>
      </c>
      <c r="G486">
        <f t="shared" si="36"/>
        <v>6.25E-2</v>
      </c>
    </row>
    <row r="487" spans="1:7" x14ac:dyDescent="0.5">
      <c r="A487">
        <v>477</v>
      </c>
      <c r="B487">
        <f t="shared" si="34"/>
        <v>0</v>
      </c>
      <c r="C487" s="28"/>
      <c r="D487" s="28"/>
      <c r="E487">
        <f t="shared" si="33"/>
        <v>0.25</v>
      </c>
      <c r="F487">
        <f t="shared" si="35"/>
        <v>-0.25</v>
      </c>
      <c r="G487">
        <f t="shared" si="36"/>
        <v>6.25E-2</v>
      </c>
    </row>
    <row r="488" spans="1:7" x14ac:dyDescent="0.5">
      <c r="A488">
        <v>478</v>
      </c>
      <c r="B488">
        <f t="shared" si="34"/>
        <v>0</v>
      </c>
      <c r="C488" s="28"/>
      <c r="D488" s="28"/>
      <c r="E488">
        <f t="shared" si="33"/>
        <v>0.25</v>
      </c>
      <c r="F488">
        <f t="shared" si="35"/>
        <v>-0.25</v>
      </c>
      <c r="G488">
        <f t="shared" si="36"/>
        <v>6.25E-2</v>
      </c>
    </row>
    <row r="489" spans="1:7" x14ac:dyDescent="0.5">
      <c r="A489">
        <v>479</v>
      </c>
      <c r="B489">
        <f t="shared" si="34"/>
        <v>0</v>
      </c>
      <c r="C489" s="28"/>
      <c r="D489" s="28"/>
      <c r="E489">
        <f t="shared" si="33"/>
        <v>0.25</v>
      </c>
      <c r="F489">
        <f t="shared" si="35"/>
        <v>-0.25</v>
      </c>
      <c r="G489">
        <f t="shared" si="36"/>
        <v>6.25E-2</v>
      </c>
    </row>
    <row r="490" spans="1:7" x14ac:dyDescent="0.5">
      <c r="A490">
        <v>480</v>
      </c>
      <c r="B490">
        <f t="shared" si="34"/>
        <v>0</v>
      </c>
      <c r="C490" s="28"/>
      <c r="D490" s="28"/>
      <c r="E490">
        <f t="shared" si="33"/>
        <v>0.25</v>
      </c>
      <c r="F490">
        <f t="shared" si="35"/>
        <v>-0.25</v>
      </c>
      <c r="G490">
        <f t="shared" si="36"/>
        <v>6.25E-2</v>
      </c>
    </row>
    <row r="491" spans="1:7" x14ac:dyDescent="0.5">
      <c r="A491">
        <v>481</v>
      </c>
      <c r="B491">
        <f t="shared" si="34"/>
        <v>0</v>
      </c>
      <c r="C491" s="28"/>
      <c r="D491" s="28"/>
      <c r="E491">
        <f t="shared" si="33"/>
        <v>0.25</v>
      </c>
      <c r="F491">
        <f t="shared" si="35"/>
        <v>-0.25</v>
      </c>
      <c r="G491">
        <f t="shared" si="36"/>
        <v>6.25E-2</v>
      </c>
    </row>
    <row r="492" spans="1:7" x14ac:dyDescent="0.5">
      <c r="A492">
        <v>482</v>
      </c>
      <c r="B492">
        <f t="shared" si="34"/>
        <v>0</v>
      </c>
      <c r="C492" s="28"/>
      <c r="D492" s="28"/>
      <c r="E492">
        <f t="shared" si="33"/>
        <v>0.25</v>
      </c>
      <c r="F492">
        <f t="shared" si="35"/>
        <v>-0.25</v>
      </c>
      <c r="G492">
        <f t="shared" si="36"/>
        <v>6.25E-2</v>
      </c>
    </row>
    <row r="493" spans="1:7" x14ac:dyDescent="0.5">
      <c r="A493">
        <v>483</v>
      </c>
      <c r="B493">
        <f t="shared" si="34"/>
        <v>0</v>
      </c>
      <c r="C493" s="28"/>
      <c r="D493" s="28"/>
      <c r="E493">
        <f t="shared" si="33"/>
        <v>0.25</v>
      </c>
      <c r="F493">
        <f t="shared" si="35"/>
        <v>-0.25</v>
      </c>
      <c r="G493">
        <f t="shared" si="36"/>
        <v>6.25E-2</v>
      </c>
    </row>
    <row r="494" spans="1:7" x14ac:dyDescent="0.5">
      <c r="A494">
        <v>484</v>
      </c>
      <c r="B494">
        <f t="shared" si="34"/>
        <v>0</v>
      </c>
      <c r="C494" s="28"/>
      <c r="D494" s="28"/>
      <c r="E494">
        <f t="shared" si="33"/>
        <v>0.25</v>
      </c>
      <c r="F494">
        <f t="shared" si="35"/>
        <v>-0.25</v>
      </c>
      <c r="G494">
        <f t="shared" si="36"/>
        <v>6.25E-2</v>
      </c>
    </row>
    <row r="495" spans="1:7" x14ac:dyDescent="0.5">
      <c r="A495">
        <v>485</v>
      </c>
      <c r="B495">
        <f t="shared" si="34"/>
        <v>0</v>
      </c>
      <c r="C495" s="28"/>
      <c r="D495" s="28"/>
      <c r="E495">
        <f t="shared" si="33"/>
        <v>0.25</v>
      </c>
      <c r="F495">
        <f t="shared" si="35"/>
        <v>-0.25</v>
      </c>
      <c r="G495">
        <f t="shared" si="36"/>
        <v>6.25E-2</v>
      </c>
    </row>
    <row r="496" spans="1:7" x14ac:dyDescent="0.5">
      <c r="A496">
        <v>486</v>
      </c>
      <c r="B496">
        <f t="shared" si="34"/>
        <v>0</v>
      </c>
      <c r="C496" s="28"/>
      <c r="D496" s="28"/>
      <c r="E496">
        <f t="shared" si="33"/>
        <v>0.25</v>
      </c>
      <c r="F496">
        <f t="shared" si="35"/>
        <v>-0.25</v>
      </c>
      <c r="G496">
        <f t="shared" si="36"/>
        <v>6.25E-2</v>
      </c>
    </row>
    <row r="497" spans="1:7" x14ac:dyDescent="0.5">
      <c r="A497">
        <v>487</v>
      </c>
      <c r="B497">
        <f t="shared" si="34"/>
        <v>0</v>
      </c>
      <c r="C497" s="28"/>
      <c r="D497" s="28"/>
      <c r="E497">
        <f t="shared" si="33"/>
        <v>0.25</v>
      </c>
      <c r="F497">
        <f t="shared" si="35"/>
        <v>-0.25</v>
      </c>
      <c r="G497">
        <f t="shared" si="36"/>
        <v>6.25E-2</v>
      </c>
    </row>
    <row r="498" spans="1:7" x14ac:dyDescent="0.5">
      <c r="A498">
        <v>488</v>
      </c>
      <c r="B498">
        <f t="shared" si="34"/>
        <v>0</v>
      </c>
      <c r="C498" s="28"/>
      <c r="D498" s="28"/>
      <c r="E498">
        <f t="shared" si="33"/>
        <v>0.25</v>
      </c>
      <c r="F498">
        <f t="shared" si="35"/>
        <v>-0.25</v>
      </c>
      <c r="G498">
        <f t="shared" si="36"/>
        <v>6.25E-2</v>
      </c>
    </row>
    <row r="499" spans="1:7" x14ac:dyDescent="0.5">
      <c r="A499">
        <v>489</v>
      </c>
      <c r="B499">
        <f t="shared" si="34"/>
        <v>0</v>
      </c>
      <c r="C499" s="28"/>
      <c r="D499" s="28"/>
      <c r="E499">
        <f t="shared" si="33"/>
        <v>0.25</v>
      </c>
      <c r="F499">
        <f t="shared" si="35"/>
        <v>-0.25</v>
      </c>
      <c r="G499">
        <f t="shared" si="36"/>
        <v>6.25E-2</v>
      </c>
    </row>
    <row r="500" spans="1:7" x14ac:dyDescent="0.5">
      <c r="A500">
        <v>490</v>
      </c>
      <c r="B500">
        <f t="shared" si="34"/>
        <v>0</v>
      </c>
      <c r="C500" s="28"/>
      <c r="D500" s="28"/>
      <c r="E500">
        <f t="shared" si="33"/>
        <v>0.25</v>
      </c>
      <c r="F500">
        <f t="shared" si="35"/>
        <v>-0.25</v>
      </c>
      <c r="G500">
        <f t="shared" si="36"/>
        <v>6.25E-2</v>
      </c>
    </row>
    <row r="501" spans="1:7" x14ac:dyDescent="0.5">
      <c r="A501">
        <v>491</v>
      </c>
      <c r="B501">
        <f t="shared" si="34"/>
        <v>0</v>
      </c>
      <c r="C501" s="28"/>
      <c r="D501" s="28"/>
      <c r="E501">
        <f t="shared" si="33"/>
        <v>0.25</v>
      </c>
      <c r="F501">
        <f t="shared" si="35"/>
        <v>-0.25</v>
      </c>
      <c r="G501">
        <f t="shared" si="36"/>
        <v>6.25E-2</v>
      </c>
    </row>
    <row r="502" spans="1:7" x14ac:dyDescent="0.5">
      <c r="A502">
        <v>492</v>
      </c>
      <c r="B502">
        <f t="shared" si="34"/>
        <v>0</v>
      </c>
      <c r="C502" s="28"/>
      <c r="D502" s="28"/>
      <c r="E502">
        <f t="shared" si="33"/>
        <v>0.25</v>
      </c>
      <c r="F502">
        <f t="shared" si="35"/>
        <v>-0.25</v>
      </c>
      <c r="G502">
        <f t="shared" si="36"/>
        <v>6.25E-2</v>
      </c>
    </row>
    <row r="503" spans="1:7" x14ac:dyDescent="0.5">
      <c r="A503">
        <v>493</v>
      </c>
      <c r="B503">
        <f t="shared" si="34"/>
        <v>0</v>
      </c>
      <c r="C503" s="28"/>
      <c r="D503" s="28"/>
      <c r="E503">
        <f t="shared" si="33"/>
        <v>0.25</v>
      </c>
      <c r="F503">
        <f t="shared" si="35"/>
        <v>-0.25</v>
      </c>
      <c r="G503">
        <f t="shared" si="36"/>
        <v>6.25E-2</v>
      </c>
    </row>
    <row r="504" spans="1:7" x14ac:dyDescent="0.5">
      <c r="A504">
        <v>494</v>
      </c>
      <c r="B504">
        <f t="shared" si="34"/>
        <v>0</v>
      </c>
      <c r="C504" s="28"/>
      <c r="D504" s="28"/>
      <c r="E504">
        <f t="shared" si="33"/>
        <v>0.25</v>
      </c>
      <c r="F504">
        <f t="shared" si="35"/>
        <v>-0.25</v>
      </c>
      <c r="G504">
        <f t="shared" si="36"/>
        <v>6.25E-2</v>
      </c>
    </row>
    <row r="505" spans="1:7" x14ac:dyDescent="0.5">
      <c r="A505">
        <v>495</v>
      </c>
      <c r="B505">
        <f t="shared" si="34"/>
        <v>0</v>
      </c>
      <c r="C505" s="28"/>
      <c r="D505" s="28"/>
      <c r="E505">
        <f t="shared" si="33"/>
        <v>0.25</v>
      </c>
      <c r="F505">
        <f t="shared" si="35"/>
        <v>-0.25</v>
      </c>
      <c r="G505">
        <f t="shared" si="36"/>
        <v>6.25E-2</v>
      </c>
    </row>
    <row r="506" spans="1:7" x14ac:dyDescent="0.5">
      <c r="A506">
        <v>496</v>
      </c>
      <c r="B506">
        <f t="shared" si="34"/>
        <v>0</v>
      </c>
      <c r="C506" s="28"/>
      <c r="D506" s="28"/>
      <c r="E506">
        <f t="shared" si="33"/>
        <v>0.25</v>
      </c>
      <c r="F506">
        <f t="shared" si="35"/>
        <v>-0.25</v>
      </c>
      <c r="G506">
        <f t="shared" si="36"/>
        <v>6.25E-2</v>
      </c>
    </row>
    <row r="507" spans="1:7" x14ac:dyDescent="0.5">
      <c r="A507">
        <v>497</v>
      </c>
      <c r="B507">
        <f t="shared" si="34"/>
        <v>0</v>
      </c>
      <c r="C507" s="28"/>
      <c r="D507" s="28"/>
      <c r="E507">
        <f t="shared" si="33"/>
        <v>0.25</v>
      </c>
      <c r="F507">
        <f t="shared" si="35"/>
        <v>-0.25</v>
      </c>
      <c r="G507">
        <f t="shared" si="36"/>
        <v>6.25E-2</v>
      </c>
    </row>
    <row r="508" spans="1:7" x14ac:dyDescent="0.5">
      <c r="A508">
        <v>498</v>
      </c>
      <c r="B508">
        <f t="shared" si="34"/>
        <v>0</v>
      </c>
      <c r="C508" s="28"/>
      <c r="D508" s="28"/>
      <c r="E508">
        <f t="shared" si="33"/>
        <v>0.25</v>
      </c>
      <c r="F508">
        <f t="shared" si="35"/>
        <v>-0.25</v>
      </c>
      <c r="G508">
        <f t="shared" si="36"/>
        <v>6.25E-2</v>
      </c>
    </row>
    <row r="509" spans="1:7" x14ac:dyDescent="0.5">
      <c r="A509">
        <v>499</v>
      </c>
      <c r="B509">
        <f t="shared" si="34"/>
        <v>0</v>
      </c>
      <c r="C509" s="28"/>
      <c r="D509" s="28"/>
      <c r="E509">
        <f t="shared" si="33"/>
        <v>0.25</v>
      </c>
      <c r="F509">
        <f t="shared" si="35"/>
        <v>-0.25</v>
      </c>
      <c r="G509">
        <f t="shared" si="36"/>
        <v>6.25E-2</v>
      </c>
    </row>
    <row r="510" spans="1:7" x14ac:dyDescent="0.5">
      <c r="A510">
        <v>500</v>
      </c>
      <c r="B510">
        <f t="shared" si="34"/>
        <v>0</v>
      </c>
      <c r="C510" s="28"/>
      <c r="D510" s="28"/>
      <c r="E510">
        <f t="shared" si="33"/>
        <v>0.25</v>
      </c>
      <c r="F510">
        <f t="shared" si="35"/>
        <v>-0.25</v>
      </c>
      <c r="G510">
        <f t="shared" si="36"/>
        <v>6.25E-2</v>
      </c>
    </row>
    <row r="511" spans="1:7" x14ac:dyDescent="0.5">
      <c r="A511">
        <v>501</v>
      </c>
      <c r="B511">
        <f t="shared" si="34"/>
        <v>0</v>
      </c>
      <c r="C511" s="28"/>
      <c r="D511" s="28"/>
      <c r="E511">
        <f t="shared" si="33"/>
        <v>0.25</v>
      </c>
      <c r="F511">
        <f t="shared" si="35"/>
        <v>-0.25</v>
      </c>
      <c r="G511">
        <f t="shared" si="36"/>
        <v>6.25E-2</v>
      </c>
    </row>
    <row r="512" spans="1:7" x14ac:dyDescent="0.5">
      <c r="A512">
        <v>502</v>
      </c>
      <c r="B512">
        <f t="shared" si="34"/>
        <v>0</v>
      </c>
      <c r="C512" s="28"/>
      <c r="D512" s="28"/>
      <c r="E512">
        <f t="shared" si="33"/>
        <v>0.25</v>
      </c>
      <c r="F512">
        <f t="shared" si="35"/>
        <v>-0.25</v>
      </c>
      <c r="G512">
        <f t="shared" si="36"/>
        <v>6.25E-2</v>
      </c>
    </row>
    <row r="513" spans="1:7" x14ac:dyDescent="0.5">
      <c r="A513">
        <v>503</v>
      </c>
      <c r="B513">
        <f t="shared" si="34"/>
        <v>0</v>
      </c>
      <c r="C513" s="28"/>
      <c r="D513" s="28"/>
      <c r="E513">
        <f t="shared" si="33"/>
        <v>0.25</v>
      </c>
      <c r="F513">
        <f t="shared" si="35"/>
        <v>-0.25</v>
      </c>
      <c r="G513">
        <f t="shared" si="36"/>
        <v>6.25E-2</v>
      </c>
    </row>
    <row r="514" spans="1:7" x14ac:dyDescent="0.5">
      <c r="A514">
        <v>504</v>
      </c>
      <c r="B514">
        <f t="shared" si="34"/>
        <v>0</v>
      </c>
      <c r="C514" s="28"/>
      <c r="D514" s="28"/>
      <c r="E514">
        <f t="shared" si="33"/>
        <v>0.25</v>
      </c>
      <c r="F514">
        <f t="shared" si="35"/>
        <v>-0.25</v>
      </c>
      <c r="G514">
        <f t="shared" si="36"/>
        <v>6.25E-2</v>
      </c>
    </row>
    <row r="515" spans="1:7" x14ac:dyDescent="0.5">
      <c r="A515">
        <v>505</v>
      </c>
      <c r="B515">
        <f t="shared" si="34"/>
        <v>0</v>
      </c>
      <c r="C515" s="28"/>
      <c r="D515" s="28"/>
      <c r="E515">
        <f t="shared" si="33"/>
        <v>0.25</v>
      </c>
      <c r="F515">
        <f t="shared" si="35"/>
        <v>-0.25</v>
      </c>
      <c r="G515">
        <f t="shared" si="36"/>
        <v>6.25E-2</v>
      </c>
    </row>
    <row r="516" spans="1:7" x14ac:dyDescent="0.5">
      <c r="A516">
        <v>506</v>
      </c>
      <c r="B516">
        <f t="shared" si="34"/>
        <v>0</v>
      </c>
      <c r="C516" s="28"/>
      <c r="D516" s="28"/>
      <c r="E516">
        <f t="shared" si="33"/>
        <v>0.25</v>
      </c>
      <c r="F516">
        <f t="shared" si="35"/>
        <v>-0.25</v>
      </c>
      <c r="G516">
        <f t="shared" si="36"/>
        <v>6.25E-2</v>
      </c>
    </row>
    <row r="517" spans="1:7" x14ac:dyDescent="0.5">
      <c r="A517">
        <v>507</v>
      </c>
      <c r="B517">
        <f t="shared" si="34"/>
        <v>0</v>
      </c>
      <c r="C517" s="28"/>
      <c r="D517" s="28"/>
      <c r="E517">
        <f t="shared" si="33"/>
        <v>0.25</v>
      </c>
      <c r="F517">
        <f t="shared" si="35"/>
        <v>-0.25</v>
      </c>
      <c r="G517">
        <f t="shared" si="36"/>
        <v>6.25E-2</v>
      </c>
    </row>
    <row r="518" spans="1:7" x14ac:dyDescent="0.5">
      <c r="A518">
        <v>508</v>
      </c>
      <c r="B518">
        <f t="shared" si="34"/>
        <v>0</v>
      </c>
      <c r="C518" s="28"/>
      <c r="D518" s="28"/>
      <c r="E518">
        <f t="shared" si="33"/>
        <v>0.25</v>
      </c>
      <c r="F518">
        <f t="shared" si="35"/>
        <v>-0.25</v>
      </c>
      <c r="G518">
        <f t="shared" si="36"/>
        <v>6.25E-2</v>
      </c>
    </row>
    <row r="519" spans="1:7" x14ac:dyDescent="0.5">
      <c r="A519">
        <v>509</v>
      </c>
      <c r="B519">
        <f t="shared" si="34"/>
        <v>0</v>
      </c>
      <c r="C519" s="28"/>
      <c r="D519" s="28"/>
      <c r="E519">
        <f t="shared" si="33"/>
        <v>0.25</v>
      </c>
      <c r="F519">
        <f t="shared" si="35"/>
        <v>-0.25</v>
      </c>
      <c r="G519">
        <f t="shared" si="36"/>
        <v>6.25E-2</v>
      </c>
    </row>
    <row r="520" spans="1:7" x14ac:dyDescent="0.5">
      <c r="A520">
        <v>510</v>
      </c>
      <c r="B520">
        <f t="shared" si="34"/>
        <v>0</v>
      </c>
      <c r="C520" s="28"/>
      <c r="D520" s="28"/>
      <c r="E520">
        <f t="shared" si="33"/>
        <v>0.25</v>
      </c>
      <c r="F520">
        <f t="shared" si="35"/>
        <v>-0.25</v>
      </c>
      <c r="G520">
        <f t="shared" si="36"/>
        <v>6.25E-2</v>
      </c>
    </row>
    <row r="521" spans="1:7" x14ac:dyDescent="0.5">
      <c r="A521">
        <v>511</v>
      </c>
      <c r="B521">
        <f t="shared" si="34"/>
        <v>0</v>
      </c>
      <c r="C521" s="28"/>
      <c r="D521" s="28"/>
      <c r="E521">
        <f t="shared" si="33"/>
        <v>0.25</v>
      </c>
      <c r="F521">
        <f t="shared" si="35"/>
        <v>-0.25</v>
      </c>
      <c r="G521">
        <f t="shared" si="36"/>
        <v>6.25E-2</v>
      </c>
    </row>
    <row r="522" spans="1:7" x14ac:dyDescent="0.5">
      <c r="A522">
        <v>512</v>
      </c>
      <c r="B522">
        <f t="shared" si="34"/>
        <v>0</v>
      </c>
      <c r="C522" s="28"/>
      <c r="D522" s="28"/>
      <c r="E522">
        <f t="shared" si="33"/>
        <v>0.25</v>
      </c>
      <c r="F522">
        <f t="shared" si="35"/>
        <v>-0.25</v>
      </c>
      <c r="G522">
        <f t="shared" si="36"/>
        <v>6.25E-2</v>
      </c>
    </row>
    <row r="523" spans="1:7" x14ac:dyDescent="0.5">
      <c r="A523">
        <v>513</v>
      </c>
      <c r="B523">
        <f t="shared" si="34"/>
        <v>0</v>
      </c>
      <c r="C523" s="28"/>
      <c r="D523" s="28"/>
      <c r="E523">
        <f t="shared" ref="E523:E586" si="37">BaseAdjust+(ampl1*EXP(-gamma1*C523)+ampl2*EXP(-gamma2*C523)+ampl3*EXP(-gamma3*C523))^2</f>
        <v>0.25</v>
      </c>
      <c r="F523">
        <f t="shared" si="35"/>
        <v>-0.25</v>
      </c>
      <c r="G523">
        <f t="shared" si="36"/>
        <v>6.25E-2</v>
      </c>
    </row>
    <row r="524" spans="1:7" x14ac:dyDescent="0.5">
      <c r="A524">
        <v>514</v>
      </c>
      <c r="B524">
        <f t="shared" ref="B524:B587" si="38">C524/1000</f>
        <v>0</v>
      </c>
      <c r="C524" s="28"/>
      <c r="D524" s="28"/>
      <c r="E524">
        <f t="shared" si="37"/>
        <v>0.25</v>
      </c>
      <c r="F524">
        <f t="shared" ref="F524:F587" si="39">D524-E524</f>
        <v>-0.25</v>
      </c>
      <c r="G524">
        <f t="shared" ref="G524:G587" si="40">F524^2</f>
        <v>6.25E-2</v>
      </c>
    </row>
    <row r="525" spans="1:7" x14ac:dyDescent="0.5">
      <c r="A525">
        <v>515</v>
      </c>
      <c r="B525">
        <f t="shared" si="38"/>
        <v>0</v>
      </c>
      <c r="C525" s="28"/>
      <c r="D525" s="28"/>
      <c r="E525">
        <f t="shared" si="37"/>
        <v>0.25</v>
      </c>
      <c r="F525">
        <f t="shared" si="39"/>
        <v>-0.25</v>
      </c>
      <c r="G525">
        <f t="shared" si="40"/>
        <v>6.25E-2</v>
      </c>
    </row>
    <row r="526" spans="1:7" x14ac:dyDescent="0.5">
      <c r="A526">
        <v>516</v>
      </c>
      <c r="B526">
        <f t="shared" si="38"/>
        <v>0</v>
      </c>
      <c r="C526" s="28"/>
      <c r="D526" s="28"/>
      <c r="E526">
        <f t="shared" si="37"/>
        <v>0.25</v>
      </c>
      <c r="F526">
        <f t="shared" si="39"/>
        <v>-0.25</v>
      </c>
      <c r="G526">
        <f t="shared" si="40"/>
        <v>6.25E-2</v>
      </c>
    </row>
    <row r="527" spans="1:7" x14ac:dyDescent="0.5">
      <c r="A527">
        <v>517</v>
      </c>
      <c r="B527">
        <f t="shared" si="38"/>
        <v>0</v>
      </c>
      <c r="C527" s="28"/>
      <c r="D527" s="28"/>
      <c r="E527">
        <f t="shared" si="37"/>
        <v>0.25</v>
      </c>
      <c r="F527">
        <f t="shared" si="39"/>
        <v>-0.25</v>
      </c>
      <c r="G527">
        <f t="shared" si="40"/>
        <v>6.25E-2</v>
      </c>
    </row>
    <row r="528" spans="1:7" x14ac:dyDescent="0.5">
      <c r="A528">
        <v>518</v>
      </c>
      <c r="B528">
        <f t="shared" si="38"/>
        <v>0</v>
      </c>
      <c r="C528" s="28"/>
      <c r="D528" s="28"/>
      <c r="E528">
        <f t="shared" si="37"/>
        <v>0.25</v>
      </c>
      <c r="F528">
        <f t="shared" si="39"/>
        <v>-0.25</v>
      </c>
      <c r="G528">
        <f t="shared" si="40"/>
        <v>6.25E-2</v>
      </c>
    </row>
    <row r="529" spans="1:7" x14ac:dyDescent="0.5">
      <c r="A529">
        <v>519</v>
      </c>
      <c r="B529">
        <f t="shared" si="38"/>
        <v>0</v>
      </c>
      <c r="C529" s="28"/>
      <c r="D529" s="28"/>
      <c r="E529">
        <f t="shared" si="37"/>
        <v>0.25</v>
      </c>
      <c r="F529">
        <f t="shared" si="39"/>
        <v>-0.25</v>
      </c>
      <c r="G529">
        <f t="shared" si="40"/>
        <v>6.25E-2</v>
      </c>
    </row>
    <row r="530" spans="1:7" x14ac:dyDescent="0.5">
      <c r="A530">
        <v>520</v>
      </c>
      <c r="B530">
        <f t="shared" si="38"/>
        <v>0</v>
      </c>
      <c r="C530" s="28"/>
      <c r="D530" s="28"/>
      <c r="E530">
        <f t="shared" si="37"/>
        <v>0.25</v>
      </c>
      <c r="F530">
        <f t="shared" si="39"/>
        <v>-0.25</v>
      </c>
      <c r="G530">
        <f t="shared" si="40"/>
        <v>6.25E-2</v>
      </c>
    </row>
    <row r="531" spans="1:7" x14ac:dyDescent="0.5">
      <c r="A531">
        <v>521</v>
      </c>
      <c r="B531">
        <f t="shared" si="38"/>
        <v>0</v>
      </c>
      <c r="C531" s="28"/>
      <c r="D531" s="28"/>
      <c r="E531">
        <f t="shared" si="37"/>
        <v>0.25</v>
      </c>
      <c r="F531">
        <f t="shared" si="39"/>
        <v>-0.25</v>
      </c>
      <c r="G531">
        <f t="shared" si="40"/>
        <v>6.25E-2</v>
      </c>
    </row>
    <row r="532" spans="1:7" x14ac:dyDescent="0.5">
      <c r="A532">
        <v>522</v>
      </c>
      <c r="B532">
        <f t="shared" si="38"/>
        <v>0</v>
      </c>
      <c r="C532" s="28"/>
      <c r="D532" s="28"/>
      <c r="E532">
        <f t="shared" si="37"/>
        <v>0.25</v>
      </c>
      <c r="F532">
        <f t="shared" si="39"/>
        <v>-0.25</v>
      </c>
      <c r="G532">
        <f t="shared" si="40"/>
        <v>6.25E-2</v>
      </c>
    </row>
    <row r="533" spans="1:7" x14ac:dyDescent="0.5">
      <c r="A533">
        <v>523</v>
      </c>
      <c r="B533">
        <f t="shared" si="38"/>
        <v>0</v>
      </c>
      <c r="C533" s="28"/>
      <c r="D533" s="28"/>
      <c r="E533">
        <f t="shared" si="37"/>
        <v>0.25</v>
      </c>
      <c r="F533">
        <f t="shared" si="39"/>
        <v>-0.25</v>
      </c>
      <c r="G533">
        <f t="shared" si="40"/>
        <v>6.25E-2</v>
      </c>
    </row>
    <row r="534" spans="1:7" x14ac:dyDescent="0.5">
      <c r="A534">
        <v>524</v>
      </c>
      <c r="B534">
        <f t="shared" si="38"/>
        <v>0</v>
      </c>
      <c r="C534" s="28"/>
      <c r="D534" s="28"/>
      <c r="E534">
        <f t="shared" si="37"/>
        <v>0.25</v>
      </c>
      <c r="F534">
        <f t="shared" si="39"/>
        <v>-0.25</v>
      </c>
      <c r="G534">
        <f t="shared" si="40"/>
        <v>6.25E-2</v>
      </c>
    </row>
    <row r="535" spans="1:7" x14ac:dyDescent="0.5">
      <c r="A535">
        <v>525</v>
      </c>
      <c r="B535">
        <f t="shared" si="38"/>
        <v>0</v>
      </c>
      <c r="C535" s="28"/>
      <c r="D535" s="28"/>
      <c r="E535">
        <f t="shared" si="37"/>
        <v>0.25</v>
      </c>
      <c r="F535">
        <f t="shared" si="39"/>
        <v>-0.25</v>
      </c>
      <c r="G535">
        <f t="shared" si="40"/>
        <v>6.25E-2</v>
      </c>
    </row>
    <row r="536" spans="1:7" x14ac:dyDescent="0.5">
      <c r="A536">
        <v>526</v>
      </c>
      <c r="B536">
        <f t="shared" si="38"/>
        <v>0</v>
      </c>
      <c r="C536" s="28"/>
      <c r="D536" s="28"/>
      <c r="E536">
        <f t="shared" si="37"/>
        <v>0.25</v>
      </c>
      <c r="F536">
        <f t="shared" si="39"/>
        <v>-0.25</v>
      </c>
      <c r="G536">
        <f t="shared" si="40"/>
        <v>6.25E-2</v>
      </c>
    </row>
    <row r="537" spans="1:7" x14ac:dyDescent="0.5">
      <c r="A537">
        <v>527</v>
      </c>
      <c r="B537">
        <f t="shared" si="38"/>
        <v>0</v>
      </c>
      <c r="C537" s="28"/>
      <c r="D537" s="28"/>
      <c r="E537">
        <f t="shared" si="37"/>
        <v>0.25</v>
      </c>
      <c r="F537">
        <f t="shared" si="39"/>
        <v>-0.25</v>
      </c>
      <c r="G537">
        <f t="shared" si="40"/>
        <v>6.25E-2</v>
      </c>
    </row>
    <row r="538" spans="1:7" x14ac:dyDescent="0.5">
      <c r="A538">
        <v>528</v>
      </c>
      <c r="B538">
        <f t="shared" si="38"/>
        <v>0</v>
      </c>
      <c r="C538" s="28"/>
      <c r="D538" s="28"/>
      <c r="E538">
        <f t="shared" si="37"/>
        <v>0.25</v>
      </c>
      <c r="F538">
        <f t="shared" si="39"/>
        <v>-0.25</v>
      </c>
      <c r="G538">
        <f t="shared" si="40"/>
        <v>6.25E-2</v>
      </c>
    </row>
    <row r="539" spans="1:7" x14ac:dyDescent="0.5">
      <c r="A539">
        <v>529</v>
      </c>
      <c r="B539">
        <f t="shared" si="38"/>
        <v>0</v>
      </c>
      <c r="C539" s="28"/>
      <c r="D539" s="28"/>
      <c r="E539">
        <f t="shared" si="37"/>
        <v>0.25</v>
      </c>
      <c r="F539">
        <f t="shared" si="39"/>
        <v>-0.25</v>
      </c>
      <c r="G539">
        <f t="shared" si="40"/>
        <v>6.25E-2</v>
      </c>
    </row>
    <row r="540" spans="1:7" x14ac:dyDescent="0.5">
      <c r="A540">
        <v>530</v>
      </c>
      <c r="B540">
        <f t="shared" si="38"/>
        <v>0</v>
      </c>
      <c r="C540" s="28"/>
      <c r="D540" s="28"/>
      <c r="E540">
        <f t="shared" si="37"/>
        <v>0.25</v>
      </c>
      <c r="F540">
        <f t="shared" si="39"/>
        <v>-0.25</v>
      </c>
      <c r="G540">
        <f t="shared" si="40"/>
        <v>6.25E-2</v>
      </c>
    </row>
    <row r="541" spans="1:7" x14ac:dyDescent="0.5">
      <c r="A541">
        <v>531</v>
      </c>
      <c r="B541">
        <f t="shared" si="38"/>
        <v>0</v>
      </c>
      <c r="C541" s="28"/>
      <c r="D541" s="28"/>
      <c r="E541">
        <f t="shared" si="37"/>
        <v>0.25</v>
      </c>
      <c r="F541">
        <f t="shared" si="39"/>
        <v>-0.25</v>
      </c>
      <c r="G541">
        <f t="shared" si="40"/>
        <v>6.25E-2</v>
      </c>
    </row>
    <row r="542" spans="1:7" x14ac:dyDescent="0.5">
      <c r="A542">
        <v>532</v>
      </c>
      <c r="B542">
        <f t="shared" si="38"/>
        <v>0</v>
      </c>
      <c r="C542" s="28"/>
      <c r="D542" s="28"/>
      <c r="E542">
        <f t="shared" si="37"/>
        <v>0.25</v>
      </c>
      <c r="F542">
        <f t="shared" si="39"/>
        <v>-0.25</v>
      </c>
      <c r="G542">
        <f t="shared" si="40"/>
        <v>6.25E-2</v>
      </c>
    </row>
    <row r="543" spans="1:7" x14ac:dyDescent="0.5">
      <c r="A543">
        <v>533</v>
      </c>
      <c r="B543">
        <f t="shared" si="38"/>
        <v>0</v>
      </c>
      <c r="C543" s="28"/>
      <c r="D543" s="28"/>
      <c r="E543">
        <f t="shared" si="37"/>
        <v>0.25</v>
      </c>
      <c r="F543">
        <f t="shared" si="39"/>
        <v>-0.25</v>
      </c>
      <c r="G543">
        <f t="shared" si="40"/>
        <v>6.25E-2</v>
      </c>
    </row>
    <row r="544" spans="1:7" x14ac:dyDescent="0.5">
      <c r="A544">
        <v>534</v>
      </c>
      <c r="B544">
        <f t="shared" si="38"/>
        <v>0</v>
      </c>
      <c r="C544" s="28"/>
      <c r="D544" s="28"/>
      <c r="E544">
        <f t="shared" si="37"/>
        <v>0.25</v>
      </c>
      <c r="F544">
        <f t="shared" si="39"/>
        <v>-0.25</v>
      </c>
      <c r="G544">
        <f t="shared" si="40"/>
        <v>6.25E-2</v>
      </c>
    </row>
    <row r="545" spans="1:7" x14ac:dyDescent="0.5">
      <c r="A545">
        <v>535</v>
      </c>
      <c r="B545">
        <f t="shared" si="38"/>
        <v>0</v>
      </c>
      <c r="C545" s="28"/>
      <c r="D545" s="28"/>
      <c r="E545">
        <f t="shared" si="37"/>
        <v>0.25</v>
      </c>
      <c r="F545">
        <f t="shared" si="39"/>
        <v>-0.25</v>
      </c>
      <c r="G545">
        <f t="shared" si="40"/>
        <v>6.25E-2</v>
      </c>
    </row>
    <row r="546" spans="1:7" x14ac:dyDescent="0.5">
      <c r="A546">
        <v>536</v>
      </c>
      <c r="B546">
        <f t="shared" si="38"/>
        <v>0</v>
      </c>
      <c r="C546" s="28"/>
      <c r="D546" s="28"/>
      <c r="E546">
        <f t="shared" si="37"/>
        <v>0.25</v>
      </c>
      <c r="F546">
        <f t="shared" si="39"/>
        <v>-0.25</v>
      </c>
      <c r="G546">
        <f t="shared" si="40"/>
        <v>6.25E-2</v>
      </c>
    </row>
    <row r="547" spans="1:7" x14ac:dyDescent="0.5">
      <c r="A547">
        <v>537</v>
      </c>
      <c r="B547">
        <f t="shared" si="38"/>
        <v>0</v>
      </c>
      <c r="C547" s="28"/>
      <c r="D547" s="28"/>
      <c r="E547">
        <f t="shared" si="37"/>
        <v>0.25</v>
      </c>
      <c r="F547">
        <f t="shared" si="39"/>
        <v>-0.25</v>
      </c>
      <c r="G547">
        <f t="shared" si="40"/>
        <v>6.25E-2</v>
      </c>
    </row>
    <row r="548" spans="1:7" x14ac:dyDescent="0.5">
      <c r="A548">
        <v>538</v>
      </c>
      <c r="B548">
        <f t="shared" si="38"/>
        <v>0</v>
      </c>
      <c r="C548" s="28"/>
      <c r="D548" s="28"/>
      <c r="E548">
        <f t="shared" si="37"/>
        <v>0.25</v>
      </c>
      <c r="F548">
        <f t="shared" si="39"/>
        <v>-0.25</v>
      </c>
      <c r="G548">
        <f t="shared" si="40"/>
        <v>6.25E-2</v>
      </c>
    </row>
    <row r="549" spans="1:7" x14ac:dyDescent="0.5">
      <c r="A549">
        <v>539</v>
      </c>
      <c r="B549">
        <f t="shared" si="38"/>
        <v>0</v>
      </c>
      <c r="C549" s="28"/>
      <c r="D549" s="28"/>
      <c r="E549">
        <f t="shared" si="37"/>
        <v>0.25</v>
      </c>
      <c r="F549">
        <f t="shared" si="39"/>
        <v>-0.25</v>
      </c>
      <c r="G549">
        <f t="shared" si="40"/>
        <v>6.25E-2</v>
      </c>
    </row>
    <row r="550" spans="1:7" x14ac:dyDescent="0.5">
      <c r="A550">
        <v>540</v>
      </c>
      <c r="B550">
        <f t="shared" si="38"/>
        <v>0</v>
      </c>
      <c r="C550" s="28"/>
      <c r="D550" s="28"/>
      <c r="E550">
        <f t="shared" si="37"/>
        <v>0.25</v>
      </c>
      <c r="F550">
        <f t="shared" si="39"/>
        <v>-0.25</v>
      </c>
      <c r="G550">
        <f t="shared" si="40"/>
        <v>6.25E-2</v>
      </c>
    </row>
    <row r="551" spans="1:7" x14ac:dyDescent="0.5">
      <c r="A551">
        <v>541</v>
      </c>
      <c r="B551">
        <f t="shared" si="38"/>
        <v>0</v>
      </c>
      <c r="C551" s="28"/>
      <c r="D551" s="28"/>
      <c r="E551">
        <f t="shared" si="37"/>
        <v>0.25</v>
      </c>
      <c r="F551">
        <f t="shared" si="39"/>
        <v>-0.25</v>
      </c>
      <c r="G551">
        <f t="shared" si="40"/>
        <v>6.25E-2</v>
      </c>
    </row>
    <row r="552" spans="1:7" x14ac:dyDescent="0.5">
      <c r="A552">
        <v>542</v>
      </c>
      <c r="B552">
        <f t="shared" si="38"/>
        <v>0</v>
      </c>
      <c r="C552" s="28"/>
      <c r="D552" s="28"/>
      <c r="E552">
        <f t="shared" si="37"/>
        <v>0.25</v>
      </c>
      <c r="F552">
        <f t="shared" si="39"/>
        <v>-0.25</v>
      </c>
      <c r="G552">
        <f t="shared" si="40"/>
        <v>6.25E-2</v>
      </c>
    </row>
    <row r="553" spans="1:7" x14ac:dyDescent="0.5">
      <c r="A553">
        <v>543</v>
      </c>
      <c r="B553">
        <f t="shared" si="38"/>
        <v>0</v>
      </c>
      <c r="C553" s="28"/>
      <c r="D553" s="28"/>
      <c r="E553">
        <f t="shared" si="37"/>
        <v>0.25</v>
      </c>
      <c r="F553">
        <f t="shared" si="39"/>
        <v>-0.25</v>
      </c>
      <c r="G553">
        <f t="shared" si="40"/>
        <v>6.25E-2</v>
      </c>
    </row>
    <row r="554" spans="1:7" x14ac:dyDescent="0.5">
      <c r="A554">
        <v>544</v>
      </c>
      <c r="B554">
        <f t="shared" si="38"/>
        <v>0</v>
      </c>
      <c r="C554" s="28"/>
      <c r="D554" s="28"/>
      <c r="E554">
        <f t="shared" si="37"/>
        <v>0.25</v>
      </c>
      <c r="F554">
        <f t="shared" si="39"/>
        <v>-0.25</v>
      </c>
      <c r="G554">
        <f t="shared" si="40"/>
        <v>6.25E-2</v>
      </c>
    </row>
    <row r="555" spans="1:7" x14ac:dyDescent="0.5">
      <c r="A555">
        <v>545</v>
      </c>
      <c r="B555">
        <f t="shared" si="38"/>
        <v>0</v>
      </c>
      <c r="C555" s="28"/>
      <c r="D555" s="28"/>
      <c r="E555">
        <f t="shared" si="37"/>
        <v>0.25</v>
      </c>
      <c r="F555">
        <f t="shared" si="39"/>
        <v>-0.25</v>
      </c>
      <c r="G555">
        <f t="shared" si="40"/>
        <v>6.25E-2</v>
      </c>
    </row>
    <row r="556" spans="1:7" x14ac:dyDescent="0.5">
      <c r="A556">
        <v>546</v>
      </c>
      <c r="B556">
        <f t="shared" si="38"/>
        <v>0</v>
      </c>
      <c r="C556" s="28"/>
      <c r="D556" s="28"/>
      <c r="E556">
        <f t="shared" si="37"/>
        <v>0.25</v>
      </c>
      <c r="F556">
        <f t="shared" si="39"/>
        <v>-0.25</v>
      </c>
      <c r="G556">
        <f t="shared" si="40"/>
        <v>6.25E-2</v>
      </c>
    </row>
    <row r="557" spans="1:7" x14ac:dyDescent="0.5">
      <c r="A557">
        <v>547</v>
      </c>
      <c r="B557">
        <f t="shared" si="38"/>
        <v>0</v>
      </c>
      <c r="C557" s="28"/>
      <c r="D557" s="28"/>
      <c r="E557">
        <f t="shared" si="37"/>
        <v>0.25</v>
      </c>
      <c r="F557">
        <f t="shared" si="39"/>
        <v>-0.25</v>
      </c>
      <c r="G557">
        <f t="shared" si="40"/>
        <v>6.25E-2</v>
      </c>
    </row>
    <row r="558" spans="1:7" x14ac:dyDescent="0.5">
      <c r="A558">
        <v>548</v>
      </c>
      <c r="B558">
        <f t="shared" si="38"/>
        <v>0</v>
      </c>
      <c r="C558" s="28"/>
      <c r="D558" s="28"/>
      <c r="E558">
        <f t="shared" si="37"/>
        <v>0.25</v>
      </c>
      <c r="F558">
        <f t="shared" si="39"/>
        <v>-0.25</v>
      </c>
      <c r="G558">
        <f t="shared" si="40"/>
        <v>6.25E-2</v>
      </c>
    </row>
    <row r="559" spans="1:7" x14ac:dyDescent="0.5">
      <c r="A559">
        <v>549</v>
      </c>
      <c r="B559">
        <f t="shared" si="38"/>
        <v>0</v>
      </c>
      <c r="C559" s="28"/>
      <c r="D559" s="28"/>
      <c r="E559">
        <f t="shared" si="37"/>
        <v>0.25</v>
      </c>
      <c r="F559">
        <f t="shared" si="39"/>
        <v>-0.25</v>
      </c>
      <c r="G559">
        <f t="shared" si="40"/>
        <v>6.25E-2</v>
      </c>
    </row>
    <row r="560" spans="1:7" x14ac:dyDescent="0.5">
      <c r="A560">
        <v>550</v>
      </c>
      <c r="B560">
        <f t="shared" si="38"/>
        <v>0</v>
      </c>
      <c r="C560" s="28"/>
      <c r="D560" s="28"/>
      <c r="E560">
        <f t="shared" si="37"/>
        <v>0.25</v>
      </c>
      <c r="F560">
        <f t="shared" si="39"/>
        <v>-0.25</v>
      </c>
      <c r="G560">
        <f t="shared" si="40"/>
        <v>6.25E-2</v>
      </c>
    </row>
    <row r="561" spans="1:7" x14ac:dyDescent="0.5">
      <c r="A561">
        <v>551</v>
      </c>
      <c r="B561">
        <f t="shared" si="38"/>
        <v>0</v>
      </c>
      <c r="C561" s="28"/>
      <c r="D561" s="28"/>
      <c r="E561">
        <f t="shared" si="37"/>
        <v>0.25</v>
      </c>
      <c r="F561">
        <f t="shared" si="39"/>
        <v>-0.25</v>
      </c>
      <c r="G561">
        <f t="shared" si="40"/>
        <v>6.25E-2</v>
      </c>
    </row>
    <row r="562" spans="1:7" x14ac:dyDescent="0.5">
      <c r="A562">
        <v>552</v>
      </c>
      <c r="B562">
        <f t="shared" si="38"/>
        <v>0</v>
      </c>
      <c r="C562" s="28"/>
      <c r="D562" s="28"/>
      <c r="E562">
        <f t="shared" si="37"/>
        <v>0.25</v>
      </c>
      <c r="F562">
        <f t="shared" si="39"/>
        <v>-0.25</v>
      </c>
      <c r="G562">
        <f t="shared" si="40"/>
        <v>6.25E-2</v>
      </c>
    </row>
    <row r="563" spans="1:7" x14ac:dyDescent="0.5">
      <c r="A563">
        <v>553</v>
      </c>
      <c r="B563">
        <f t="shared" si="38"/>
        <v>0</v>
      </c>
      <c r="C563" s="28"/>
      <c r="D563" s="28"/>
      <c r="E563">
        <f t="shared" si="37"/>
        <v>0.25</v>
      </c>
      <c r="F563">
        <f t="shared" si="39"/>
        <v>-0.25</v>
      </c>
      <c r="G563">
        <f t="shared" si="40"/>
        <v>6.25E-2</v>
      </c>
    </row>
    <row r="564" spans="1:7" x14ac:dyDescent="0.5">
      <c r="A564">
        <v>554</v>
      </c>
      <c r="B564">
        <f t="shared" si="38"/>
        <v>0</v>
      </c>
      <c r="C564" s="28"/>
      <c r="D564" s="28"/>
      <c r="E564">
        <f t="shared" si="37"/>
        <v>0.25</v>
      </c>
      <c r="F564">
        <f t="shared" si="39"/>
        <v>-0.25</v>
      </c>
      <c r="G564">
        <f t="shared" si="40"/>
        <v>6.25E-2</v>
      </c>
    </row>
    <row r="565" spans="1:7" x14ac:dyDescent="0.5">
      <c r="A565">
        <v>555</v>
      </c>
      <c r="B565">
        <f t="shared" si="38"/>
        <v>0</v>
      </c>
      <c r="C565" s="28"/>
      <c r="D565" s="28"/>
      <c r="E565">
        <f t="shared" si="37"/>
        <v>0.25</v>
      </c>
      <c r="F565">
        <f t="shared" si="39"/>
        <v>-0.25</v>
      </c>
      <c r="G565">
        <f t="shared" si="40"/>
        <v>6.25E-2</v>
      </c>
    </row>
    <row r="566" spans="1:7" x14ac:dyDescent="0.5">
      <c r="A566">
        <v>556</v>
      </c>
      <c r="B566">
        <f t="shared" si="38"/>
        <v>0</v>
      </c>
      <c r="C566" s="28"/>
      <c r="D566" s="28"/>
      <c r="E566">
        <f t="shared" si="37"/>
        <v>0.25</v>
      </c>
      <c r="F566">
        <f t="shared" si="39"/>
        <v>-0.25</v>
      </c>
      <c r="G566">
        <f t="shared" si="40"/>
        <v>6.25E-2</v>
      </c>
    </row>
    <row r="567" spans="1:7" x14ac:dyDescent="0.5">
      <c r="A567">
        <v>557</v>
      </c>
      <c r="B567">
        <f t="shared" si="38"/>
        <v>0</v>
      </c>
      <c r="C567" s="28"/>
      <c r="D567" s="28"/>
      <c r="E567">
        <f t="shared" si="37"/>
        <v>0.25</v>
      </c>
      <c r="F567">
        <f t="shared" si="39"/>
        <v>-0.25</v>
      </c>
      <c r="G567">
        <f t="shared" si="40"/>
        <v>6.25E-2</v>
      </c>
    </row>
    <row r="568" spans="1:7" x14ac:dyDescent="0.5">
      <c r="A568">
        <v>558</v>
      </c>
      <c r="B568">
        <f t="shared" si="38"/>
        <v>0</v>
      </c>
      <c r="C568" s="28"/>
      <c r="D568" s="28"/>
      <c r="E568">
        <f t="shared" si="37"/>
        <v>0.25</v>
      </c>
      <c r="F568">
        <f t="shared" si="39"/>
        <v>-0.25</v>
      </c>
      <c r="G568">
        <f t="shared" si="40"/>
        <v>6.25E-2</v>
      </c>
    </row>
    <row r="569" spans="1:7" x14ac:dyDescent="0.5">
      <c r="A569">
        <v>559</v>
      </c>
      <c r="B569">
        <f t="shared" si="38"/>
        <v>0</v>
      </c>
      <c r="C569" s="28"/>
      <c r="D569" s="28"/>
      <c r="E569">
        <f t="shared" si="37"/>
        <v>0.25</v>
      </c>
      <c r="F569">
        <f t="shared" si="39"/>
        <v>-0.25</v>
      </c>
      <c r="G569">
        <f t="shared" si="40"/>
        <v>6.25E-2</v>
      </c>
    </row>
    <row r="570" spans="1:7" x14ac:dyDescent="0.5">
      <c r="A570">
        <v>560</v>
      </c>
      <c r="B570">
        <f t="shared" si="38"/>
        <v>0</v>
      </c>
      <c r="C570" s="28"/>
      <c r="D570" s="28"/>
      <c r="E570">
        <f t="shared" si="37"/>
        <v>0.25</v>
      </c>
      <c r="F570">
        <f t="shared" si="39"/>
        <v>-0.25</v>
      </c>
      <c r="G570">
        <f t="shared" si="40"/>
        <v>6.25E-2</v>
      </c>
    </row>
    <row r="571" spans="1:7" x14ac:dyDescent="0.5">
      <c r="A571">
        <v>561</v>
      </c>
      <c r="B571">
        <f t="shared" si="38"/>
        <v>0</v>
      </c>
      <c r="C571" s="28"/>
      <c r="D571" s="28"/>
      <c r="E571">
        <f t="shared" si="37"/>
        <v>0.25</v>
      </c>
      <c r="F571">
        <f t="shared" si="39"/>
        <v>-0.25</v>
      </c>
      <c r="G571">
        <f t="shared" si="40"/>
        <v>6.25E-2</v>
      </c>
    </row>
    <row r="572" spans="1:7" x14ac:dyDescent="0.5">
      <c r="A572">
        <v>562</v>
      </c>
      <c r="B572">
        <f t="shared" si="38"/>
        <v>0</v>
      </c>
      <c r="C572" s="28"/>
      <c r="D572" s="28"/>
      <c r="E572">
        <f t="shared" si="37"/>
        <v>0.25</v>
      </c>
      <c r="F572">
        <f t="shared" si="39"/>
        <v>-0.25</v>
      </c>
      <c r="G572">
        <f t="shared" si="40"/>
        <v>6.25E-2</v>
      </c>
    </row>
    <row r="573" spans="1:7" x14ac:dyDescent="0.5">
      <c r="A573">
        <v>563</v>
      </c>
      <c r="B573">
        <f t="shared" si="38"/>
        <v>0</v>
      </c>
      <c r="C573" s="28"/>
      <c r="D573" s="28"/>
      <c r="E573">
        <f t="shared" si="37"/>
        <v>0.25</v>
      </c>
      <c r="F573">
        <f t="shared" si="39"/>
        <v>-0.25</v>
      </c>
      <c r="G573">
        <f t="shared" si="40"/>
        <v>6.25E-2</v>
      </c>
    </row>
    <row r="574" spans="1:7" x14ac:dyDescent="0.5">
      <c r="A574">
        <v>564</v>
      </c>
      <c r="B574">
        <f t="shared" si="38"/>
        <v>0</v>
      </c>
      <c r="C574" s="28"/>
      <c r="D574" s="28"/>
      <c r="E574">
        <f t="shared" si="37"/>
        <v>0.25</v>
      </c>
      <c r="F574">
        <f t="shared" si="39"/>
        <v>-0.25</v>
      </c>
      <c r="G574">
        <f t="shared" si="40"/>
        <v>6.25E-2</v>
      </c>
    </row>
    <row r="575" spans="1:7" x14ac:dyDescent="0.5">
      <c r="A575">
        <v>565</v>
      </c>
      <c r="B575">
        <f t="shared" si="38"/>
        <v>0</v>
      </c>
      <c r="C575" s="28"/>
      <c r="D575" s="28"/>
      <c r="E575">
        <f t="shared" si="37"/>
        <v>0.25</v>
      </c>
      <c r="F575">
        <f t="shared" si="39"/>
        <v>-0.25</v>
      </c>
      <c r="G575">
        <f t="shared" si="40"/>
        <v>6.25E-2</v>
      </c>
    </row>
    <row r="576" spans="1:7" x14ac:dyDescent="0.5">
      <c r="A576">
        <v>566</v>
      </c>
      <c r="B576">
        <f t="shared" si="38"/>
        <v>0</v>
      </c>
      <c r="C576" s="28"/>
      <c r="D576" s="28"/>
      <c r="E576">
        <f t="shared" si="37"/>
        <v>0.25</v>
      </c>
      <c r="F576">
        <f t="shared" si="39"/>
        <v>-0.25</v>
      </c>
      <c r="G576">
        <f t="shared" si="40"/>
        <v>6.25E-2</v>
      </c>
    </row>
    <row r="577" spans="1:7" x14ac:dyDescent="0.5">
      <c r="A577">
        <v>567</v>
      </c>
      <c r="B577">
        <f t="shared" si="38"/>
        <v>0</v>
      </c>
      <c r="C577" s="28"/>
      <c r="D577" s="28"/>
      <c r="E577">
        <f t="shared" si="37"/>
        <v>0.25</v>
      </c>
      <c r="F577">
        <f t="shared" si="39"/>
        <v>-0.25</v>
      </c>
      <c r="G577">
        <f t="shared" si="40"/>
        <v>6.25E-2</v>
      </c>
    </row>
    <row r="578" spans="1:7" x14ac:dyDescent="0.5">
      <c r="A578">
        <v>568</v>
      </c>
      <c r="B578">
        <f t="shared" si="38"/>
        <v>0</v>
      </c>
      <c r="C578" s="28"/>
      <c r="D578" s="28"/>
      <c r="E578">
        <f t="shared" si="37"/>
        <v>0.25</v>
      </c>
      <c r="F578">
        <f t="shared" si="39"/>
        <v>-0.25</v>
      </c>
      <c r="G578">
        <f t="shared" si="40"/>
        <v>6.25E-2</v>
      </c>
    </row>
    <row r="579" spans="1:7" x14ac:dyDescent="0.5">
      <c r="A579">
        <v>569</v>
      </c>
      <c r="B579">
        <f t="shared" si="38"/>
        <v>0</v>
      </c>
      <c r="C579" s="28"/>
      <c r="D579" s="28"/>
      <c r="E579">
        <f t="shared" si="37"/>
        <v>0.25</v>
      </c>
      <c r="F579">
        <f t="shared" si="39"/>
        <v>-0.25</v>
      </c>
      <c r="G579">
        <f t="shared" si="40"/>
        <v>6.25E-2</v>
      </c>
    </row>
    <row r="580" spans="1:7" x14ac:dyDescent="0.5">
      <c r="A580">
        <v>570</v>
      </c>
      <c r="B580">
        <f t="shared" si="38"/>
        <v>0</v>
      </c>
      <c r="C580" s="28"/>
      <c r="D580" s="28"/>
      <c r="E580">
        <f t="shared" si="37"/>
        <v>0.25</v>
      </c>
      <c r="F580">
        <f t="shared" si="39"/>
        <v>-0.25</v>
      </c>
      <c r="G580">
        <f t="shared" si="40"/>
        <v>6.25E-2</v>
      </c>
    </row>
    <row r="581" spans="1:7" x14ac:dyDescent="0.5">
      <c r="A581">
        <v>571</v>
      </c>
      <c r="B581">
        <f t="shared" si="38"/>
        <v>0</v>
      </c>
      <c r="C581" s="28"/>
      <c r="D581" s="28"/>
      <c r="E581">
        <f t="shared" si="37"/>
        <v>0.25</v>
      </c>
      <c r="F581">
        <f t="shared" si="39"/>
        <v>-0.25</v>
      </c>
      <c r="G581">
        <f t="shared" si="40"/>
        <v>6.25E-2</v>
      </c>
    </row>
    <row r="582" spans="1:7" x14ac:dyDescent="0.5">
      <c r="A582">
        <v>572</v>
      </c>
      <c r="B582">
        <f t="shared" si="38"/>
        <v>0</v>
      </c>
      <c r="C582" s="28"/>
      <c r="D582" s="28"/>
      <c r="E582">
        <f t="shared" si="37"/>
        <v>0.25</v>
      </c>
      <c r="F582">
        <f t="shared" si="39"/>
        <v>-0.25</v>
      </c>
      <c r="G582">
        <f t="shared" si="40"/>
        <v>6.25E-2</v>
      </c>
    </row>
    <row r="583" spans="1:7" x14ac:dyDescent="0.5">
      <c r="A583">
        <v>573</v>
      </c>
      <c r="B583">
        <f t="shared" si="38"/>
        <v>0</v>
      </c>
      <c r="C583" s="28"/>
      <c r="D583" s="28"/>
      <c r="E583">
        <f t="shared" si="37"/>
        <v>0.25</v>
      </c>
      <c r="F583">
        <f t="shared" si="39"/>
        <v>-0.25</v>
      </c>
      <c r="G583">
        <f t="shared" si="40"/>
        <v>6.25E-2</v>
      </c>
    </row>
    <row r="584" spans="1:7" x14ac:dyDescent="0.5">
      <c r="A584">
        <v>574</v>
      </c>
      <c r="B584">
        <f t="shared" si="38"/>
        <v>0</v>
      </c>
      <c r="C584" s="28"/>
      <c r="D584" s="28"/>
      <c r="E584">
        <f t="shared" si="37"/>
        <v>0.25</v>
      </c>
      <c r="F584">
        <f t="shared" si="39"/>
        <v>-0.25</v>
      </c>
      <c r="G584">
        <f t="shared" si="40"/>
        <v>6.25E-2</v>
      </c>
    </row>
    <row r="585" spans="1:7" x14ac:dyDescent="0.5">
      <c r="A585">
        <v>575</v>
      </c>
      <c r="B585">
        <f t="shared" si="38"/>
        <v>0</v>
      </c>
      <c r="C585" s="28"/>
      <c r="D585" s="28"/>
      <c r="E585">
        <f t="shared" si="37"/>
        <v>0.25</v>
      </c>
      <c r="F585">
        <f t="shared" si="39"/>
        <v>-0.25</v>
      </c>
      <c r="G585">
        <f t="shared" si="40"/>
        <v>6.25E-2</v>
      </c>
    </row>
    <row r="586" spans="1:7" x14ac:dyDescent="0.5">
      <c r="A586">
        <v>576</v>
      </c>
      <c r="B586">
        <f t="shared" si="38"/>
        <v>0</v>
      </c>
      <c r="C586" s="28"/>
      <c r="D586" s="28"/>
      <c r="E586">
        <f t="shared" si="37"/>
        <v>0.25</v>
      </c>
      <c r="F586">
        <f t="shared" si="39"/>
        <v>-0.25</v>
      </c>
      <c r="G586">
        <f t="shared" si="40"/>
        <v>6.25E-2</v>
      </c>
    </row>
    <row r="587" spans="1:7" x14ac:dyDescent="0.5">
      <c r="A587">
        <v>577</v>
      </c>
      <c r="B587">
        <f t="shared" si="38"/>
        <v>0</v>
      </c>
      <c r="C587" s="28"/>
      <c r="D587" s="28"/>
      <c r="E587">
        <f t="shared" ref="E587:E610" si="41">BaseAdjust+(ampl1*EXP(-gamma1*C587)+ampl2*EXP(-gamma2*C587)+ampl3*EXP(-gamma3*C587))^2</f>
        <v>0.25</v>
      </c>
      <c r="F587">
        <f t="shared" si="39"/>
        <v>-0.25</v>
      </c>
      <c r="G587">
        <f t="shared" si="40"/>
        <v>6.25E-2</v>
      </c>
    </row>
    <row r="588" spans="1:7" x14ac:dyDescent="0.5">
      <c r="A588">
        <v>578</v>
      </c>
      <c r="B588">
        <f t="shared" ref="B588:B610" si="42">C588/1000</f>
        <v>0</v>
      </c>
      <c r="C588" s="28"/>
      <c r="D588" s="28"/>
      <c r="E588">
        <f t="shared" si="41"/>
        <v>0.25</v>
      </c>
      <c r="F588">
        <f t="shared" ref="F588:F610" si="43">D588-E588</f>
        <v>-0.25</v>
      </c>
      <c r="G588">
        <f t="shared" ref="G588:G610" si="44">F588^2</f>
        <v>6.25E-2</v>
      </c>
    </row>
    <row r="589" spans="1:7" x14ac:dyDescent="0.5">
      <c r="A589">
        <v>579</v>
      </c>
      <c r="B589">
        <f t="shared" si="42"/>
        <v>0</v>
      </c>
      <c r="C589" s="28"/>
      <c r="D589" s="28"/>
      <c r="E589">
        <f t="shared" si="41"/>
        <v>0.25</v>
      </c>
      <c r="F589">
        <f t="shared" si="43"/>
        <v>-0.25</v>
      </c>
      <c r="G589">
        <f t="shared" si="44"/>
        <v>6.25E-2</v>
      </c>
    </row>
    <row r="590" spans="1:7" x14ac:dyDescent="0.5">
      <c r="A590">
        <v>580</v>
      </c>
      <c r="B590">
        <f t="shared" si="42"/>
        <v>0</v>
      </c>
      <c r="C590" s="28"/>
      <c r="D590" s="28"/>
      <c r="E590">
        <f t="shared" si="41"/>
        <v>0.25</v>
      </c>
      <c r="F590">
        <f t="shared" si="43"/>
        <v>-0.25</v>
      </c>
      <c r="G590">
        <f t="shared" si="44"/>
        <v>6.25E-2</v>
      </c>
    </row>
    <row r="591" spans="1:7" x14ac:dyDescent="0.5">
      <c r="A591">
        <v>581</v>
      </c>
      <c r="B591">
        <f t="shared" si="42"/>
        <v>0</v>
      </c>
      <c r="C591" s="28"/>
      <c r="D591" s="28"/>
      <c r="E591">
        <f t="shared" si="41"/>
        <v>0.25</v>
      </c>
      <c r="F591">
        <f t="shared" si="43"/>
        <v>-0.25</v>
      </c>
      <c r="G591">
        <f t="shared" si="44"/>
        <v>6.25E-2</v>
      </c>
    </row>
    <row r="592" spans="1:7" x14ac:dyDescent="0.5">
      <c r="A592">
        <v>582</v>
      </c>
      <c r="B592">
        <f t="shared" si="42"/>
        <v>0</v>
      </c>
      <c r="C592" s="28"/>
      <c r="D592" s="28"/>
      <c r="E592">
        <f t="shared" si="41"/>
        <v>0.25</v>
      </c>
      <c r="F592">
        <f t="shared" si="43"/>
        <v>-0.25</v>
      </c>
      <c r="G592">
        <f t="shared" si="44"/>
        <v>6.25E-2</v>
      </c>
    </row>
    <row r="593" spans="1:7" x14ac:dyDescent="0.5">
      <c r="A593">
        <v>583</v>
      </c>
      <c r="B593">
        <f t="shared" si="42"/>
        <v>0</v>
      </c>
      <c r="C593" s="28"/>
      <c r="D593" s="28"/>
      <c r="E593">
        <f t="shared" si="41"/>
        <v>0.25</v>
      </c>
      <c r="F593">
        <f t="shared" si="43"/>
        <v>-0.25</v>
      </c>
      <c r="G593">
        <f t="shared" si="44"/>
        <v>6.25E-2</v>
      </c>
    </row>
    <row r="594" spans="1:7" x14ac:dyDescent="0.5">
      <c r="A594">
        <v>584</v>
      </c>
      <c r="B594">
        <f t="shared" si="42"/>
        <v>0</v>
      </c>
      <c r="C594" s="28"/>
      <c r="D594" s="28"/>
      <c r="E594">
        <f t="shared" si="41"/>
        <v>0.25</v>
      </c>
      <c r="F594">
        <f t="shared" si="43"/>
        <v>-0.25</v>
      </c>
      <c r="G594">
        <f t="shared" si="44"/>
        <v>6.25E-2</v>
      </c>
    </row>
    <row r="595" spans="1:7" x14ac:dyDescent="0.5">
      <c r="A595">
        <v>585</v>
      </c>
      <c r="B595">
        <f t="shared" si="42"/>
        <v>0</v>
      </c>
      <c r="C595" s="28"/>
      <c r="D595" s="28"/>
      <c r="E595">
        <f t="shared" si="41"/>
        <v>0.25</v>
      </c>
      <c r="F595">
        <f t="shared" si="43"/>
        <v>-0.25</v>
      </c>
      <c r="G595">
        <f t="shared" si="44"/>
        <v>6.25E-2</v>
      </c>
    </row>
    <row r="596" spans="1:7" x14ac:dyDescent="0.5">
      <c r="A596">
        <v>586</v>
      </c>
      <c r="B596">
        <f t="shared" si="42"/>
        <v>0</v>
      </c>
      <c r="C596" s="28"/>
      <c r="D596" s="28"/>
      <c r="E596">
        <f t="shared" si="41"/>
        <v>0.25</v>
      </c>
      <c r="F596">
        <f t="shared" si="43"/>
        <v>-0.25</v>
      </c>
      <c r="G596">
        <f t="shared" si="44"/>
        <v>6.25E-2</v>
      </c>
    </row>
    <row r="597" spans="1:7" x14ac:dyDescent="0.5">
      <c r="A597">
        <v>587</v>
      </c>
      <c r="B597">
        <f t="shared" si="42"/>
        <v>0</v>
      </c>
      <c r="C597" s="28"/>
      <c r="D597" s="28"/>
      <c r="E597">
        <f t="shared" si="41"/>
        <v>0.25</v>
      </c>
      <c r="F597">
        <f t="shared" si="43"/>
        <v>-0.25</v>
      </c>
      <c r="G597">
        <f t="shared" si="44"/>
        <v>6.25E-2</v>
      </c>
    </row>
    <row r="598" spans="1:7" x14ac:dyDescent="0.5">
      <c r="A598">
        <v>588</v>
      </c>
      <c r="B598">
        <f t="shared" si="42"/>
        <v>0</v>
      </c>
      <c r="C598" s="28"/>
      <c r="D598" s="28"/>
      <c r="E598">
        <f t="shared" si="41"/>
        <v>0.25</v>
      </c>
      <c r="F598">
        <f t="shared" si="43"/>
        <v>-0.25</v>
      </c>
      <c r="G598">
        <f t="shared" si="44"/>
        <v>6.25E-2</v>
      </c>
    </row>
    <row r="599" spans="1:7" x14ac:dyDescent="0.5">
      <c r="A599">
        <v>589</v>
      </c>
      <c r="B599">
        <f t="shared" si="42"/>
        <v>0</v>
      </c>
      <c r="C599" s="28"/>
      <c r="D599" s="28"/>
      <c r="E599">
        <f t="shared" si="41"/>
        <v>0.25</v>
      </c>
      <c r="F599">
        <f t="shared" si="43"/>
        <v>-0.25</v>
      </c>
      <c r="G599">
        <f t="shared" si="44"/>
        <v>6.25E-2</v>
      </c>
    </row>
    <row r="600" spans="1:7" x14ac:dyDescent="0.5">
      <c r="A600">
        <v>590</v>
      </c>
      <c r="B600">
        <f t="shared" si="42"/>
        <v>0</v>
      </c>
      <c r="C600" s="28"/>
      <c r="D600" s="28"/>
      <c r="E600">
        <f t="shared" si="41"/>
        <v>0.25</v>
      </c>
      <c r="F600">
        <f t="shared" si="43"/>
        <v>-0.25</v>
      </c>
      <c r="G600">
        <f t="shared" si="44"/>
        <v>6.25E-2</v>
      </c>
    </row>
    <row r="601" spans="1:7" x14ac:dyDescent="0.5">
      <c r="A601">
        <v>591</v>
      </c>
      <c r="B601">
        <f t="shared" si="42"/>
        <v>0</v>
      </c>
      <c r="C601" s="28"/>
      <c r="D601" s="28"/>
      <c r="E601">
        <f t="shared" si="41"/>
        <v>0.25</v>
      </c>
      <c r="F601">
        <f t="shared" si="43"/>
        <v>-0.25</v>
      </c>
      <c r="G601">
        <f t="shared" si="44"/>
        <v>6.25E-2</v>
      </c>
    </row>
    <row r="602" spans="1:7" x14ac:dyDescent="0.5">
      <c r="A602">
        <v>592</v>
      </c>
      <c r="B602">
        <f t="shared" si="42"/>
        <v>0</v>
      </c>
      <c r="C602" s="28"/>
      <c r="D602" s="28"/>
      <c r="E602">
        <f t="shared" si="41"/>
        <v>0.25</v>
      </c>
      <c r="F602">
        <f t="shared" si="43"/>
        <v>-0.25</v>
      </c>
      <c r="G602">
        <f t="shared" si="44"/>
        <v>6.25E-2</v>
      </c>
    </row>
    <row r="603" spans="1:7" x14ac:dyDescent="0.5">
      <c r="A603">
        <v>593</v>
      </c>
      <c r="B603">
        <f t="shared" si="42"/>
        <v>0</v>
      </c>
      <c r="C603" s="28"/>
      <c r="D603" s="28"/>
      <c r="E603">
        <f t="shared" si="41"/>
        <v>0.25</v>
      </c>
      <c r="F603">
        <f t="shared" si="43"/>
        <v>-0.25</v>
      </c>
      <c r="G603">
        <f t="shared" si="44"/>
        <v>6.25E-2</v>
      </c>
    </row>
    <row r="604" spans="1:7" x14ac:dyDescent="0.5">
      <c r="A604">
        <v>594</v>
      </c>
      <c r="B604">
        <f t="shared" si="42"/>
        <v>0</v>
      </c>
      <c r="C604" s="28"/>
      <c r="D604" s="28"/>
      <c r="E604">
        <f t="shared" si="41"/>
        <v>0.25</v>
      </c>
      <c r="F604">
        <f t="shared" si="43"/>
        <v>-0.25</v>
      </c>
      <c r="G604">
        <f t="shared" si="44"/>
        <v>6.25E-2</v>
      </c>
    </row>
    <row r="605" spans="1:7" x14ac:dyDescent="0.5">
      <c r="A605">
        <v>595</v>
      </c>
      <c r="B605">
        <f t="shared" si="42"/>
        <v>0</v>
      </c>
      <c r="C605" s="28"/>
      <c r="D605" s="28"/>
      <c r="E605">
        <f t="shared" si="41"/>
        <v>0.25</v>
      </c>
      <c r="F605">
        <f t="shared" si="43"/>
        <v>-0.25</v>
      </c>
      <c r="G605">
        <f t="shared" si="44"/>
        <v>6.25E-2</v>
      </c>
    </row>
    <row r="606" spans="1:7" x14ac:dyDescent="0.5">
      <c r="A606">
        <v>596</v>
      </c>
      <c r="B606">
        <f t="shared" si="42"/>
        <v>0</v>
      </c>
      <c r="C606" s="28"/>
      <c r="D606" s="28"/>
      <c r="E606">
        <f t="shared" si="41"/>
        <v>0.25</v>
      </c>
      <c r="F606">
        <f t="shared" si="43"/>
        <v>-0.25</v>
      </c>
      <c r="G606">
        <f t="shared" si="44"/>
        <v>6.25E-2</v>
      </c>
    </row>
    <row r="607" spans="1:7" x14ac:dyDescent="0.5">
      <c r="A607">
        <v>597</v>
      </c>
      <c r="B607">
        <f t="shared" si="42"/>
        <v>0</v>
      </c>
      <c r="C607" s="28"/>
      <c r="D607" s="28"/>
      <c r="E607">
        <f t="shared" si="41"/>
        <v>0.25</v>
      </c>
      <c r="F607">
        <f t="shared" si="43"/>
        <v>-0.25</v>
      </c>
      <c r="G607">
        <f t="shared" si="44"/>
        <v>6.25E-2</v>
      </c>
    </row>
    <row r="608" spans="1:7" x14ac:dyDescent="0.5">
      <c r="A608">
        <v>598</v>
      </c>
      <c r="B608">
        <f t="shared" si="42"/>
        <v>0</v>
      </c>
      <c r="C608" s="28"/>
      <c r="D608" s="28"/>
      <c r="E608">
        <f t="shared" si="41"/>
        <v>0.25</v>
      </c>
      <c r="F608">
        <f t="shared" si="43"/>
        <v>-0.25</v>
      </c>
      <c r="G608">
        <f t="shared" si="44"/>
        <v>6.25E-2</v>
      </c>
    </row>
    <row r="609" spans="1:7" x14ac:dyDescent="0.5">
      <c r="A609">
        <v>599</v>
      </c>
      <c r="B609">
        <f t="shared" si="42"/>
        <v>0</v>
      </c>
      <c r="C609" s="28"/>
      <c r="D609" s="28"/>
      <c r="E609">
        <f t="shared" si="41"/>
        <v>0.25</v>
      </c>
      <c r="F609">
        <f t="shared" si="43"/>
        <v>-0.25</v>
      </c>
      <c r="G609">
        <f t="shared" si="44"/>
        <v>6.25E-2</v>
      </c>
    </row>
    <row r="610" spans="1:7" x14ac:dyDescent="0.5">
      <c r="A610">
        <v>600</v>
      </c>
      <c r="B610">
        <f t="shared" si="42"/>
        <v>0</v>
      </c>
      <c r="C610" s="28"/>
      <c r="D610" s="28"/>
      <c r="E610">
        <f t="shared" si="41"/>
        <v>0.25</v>
      </c>
      <c r="F610">
        <f t="shared" si="43"/>
        <v>-0.25</v>
      </c>
      <c r="G610">
        <f t="shared" si="44"/>
        <v>6.25E-2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9" r:id="rId3" name="cmdResetMexpSheet">
          <controlPr defaultSize="0" autoLine="0" r:id="rId4">
            <anchor moveWithCells="1">
              <from>
                <xdr:col>11</xdr:col>
                <xdr:colOff>211667</xdr:colOff>
                <xdr:row>2</xdr:row>
                <xdr:rowOff>173567</xdr:rowOff>
              </from>
              <to>
                <xdr:col>13</xdr:col>
                <xdr:colOff>16933</xdr:colOff>
                <xdr:row>5</xdr:row>
                <xdr:rowOff>148167</xdr:rowOff>
              </to>
            </anchor>
          </controlPr>
        </control>
      </mc:Choice>
      <mc:Fallback>
        <control shapeId="5129" r:id="rId3" name="cmdResetMexpSheet"/>
      </mc:Fallback>
    </mc:AlternateContent>
    <mc:AlternateContent xmlns:mc="http://schemas.openxmlformats.org/markup-compatibility/2006">
      <mc:Choice Requires="x14">
        <control shapeId="5128" r:id="rId5" name="cmdLoadAngle8">
          <controlPr defaultSize="0" autoLine="0" r:id="rId6">
            <anchor moveWithCells="1">
              <from>
                <xdr:col>15</xdr:col>
                <xdr:colOff>0</xdr:colOff>
                <xdr:row>38</xdr:row>
                <xdr:rowOff>0</xdr:rowOff>
              </from>
              <to>
                <xdr:col>16</xdr:col>
                <xdr:colOff>474133</xdr:colOff>
                <xdr:row>40</xdr:row>
                <xdr:rowOff>118533</xdr:rowOff>
              </to>
            </anchor>
          </controlPr>
        </control>
      </mc:Choice>
      <mc:Fallback>
        <control shapeId="5128" r:id="rId5" name="cmdLoadAngle8"/>
      </mc:Fallback>
    </mc:AlternateContent>
    <mc:AlternateContent xmlns:mc="http://schemas.openxmlformats.org/markup-compatibility/2006">
      <mc:Choice Requires="x14">
        <control shapeId="5127" r:id="rId7" name="cmdLoadAngle7">
          <controlPr defaultSize="0" autoLine="0" r:id="rId8">
            <anchor moveWithCells="1">
              <from>
                <xdr:col>15</xdr:col>
                <xdr:colOff>0</xdr:colOff>
                <xdr:row>33</xdr:row>
                <xdr:rowOff>0</xdr:rowOff>
              </from>
              <to>
                <xdr:col>16</xdr:col>
                <xdr:colOff>474133</xdr:colOff>
                <xdr:row>35</xdr:row>
                <xdr:rowOff>118533</xdr:rowOff>
              </to>
            </anchor>
          </controlPr>
        </control>
      </mc:Choice>
      <mc:Fallback>
        <control shapeId="5127" r:id="rId7" name="cmdLoadAngle7"/>
      </mc:Fallback>
    </mc:AlternateContent>
    <mc:AlternateContent xmlns:mc="http://schemas.openxmlformats.org/markup-compatibility/2006">
      <mc:Choice Requires="x14">
        <control shapeId="5126" r:id="rId9" name="cmdLoadAngle6">
          <controlPr defaultSize="0" autoLine="0" r:id="rId10">
            <anchor moveWithCells="1">
              <from>
                <xdr:col>15</xdr:col>
                <xdr:colOff>0</xdr:colOff>
                <xdr:row>28</xdr:row>
                <xdr:rowOff>0</xdr:rowOff>
              </from>
              <to>
                <xdr:col>16</xdr:col>
                <xdr:colOff>474133</xdr:colOff>
                <xdr:row>30</xdr:row>
                <xdr:rowOff>118533</xdr:rowOff>
              </to>
            </anchor>
          </controlPr>
        </control>
      </mc:Choice>
      <mc:Fallback>
        <control shapeId="5126" r:id="rId9" name="cmdLoadAngle6"/>
      </mc:Fallback>
    </mc:AlternateContent>
    <mc:AlternateContent xmlns:mc="http://schemas.openxmlformats.org/markup-compatibility/2006">
      <mc:Choice Requires="x14">
        <control shapeId="5125" r:id="rId11" name="cmdLoadAngle5">
          <controlPr defaultSize="0" autoLine="0" r:id="rId12">
            <anchor moveWithCells="1">
              <from>
                <xdr:col>15</xdr:col>
                <xdr:colOff>0</xdr:colOff>
                <xdr:row>23</xdr:row>
                <xdr:rowOff>0</xdr:rowOff>
              </from>
              <to>
                <xdr:col>16</xdr:col>
                <xdr:colOff>474133</xdr:colOff>
                <xdr:row>25</xdr:row>
                <xdr:rowOff>118533</xdr:rowOff>
              </to>
            </anchor>
          </controlPr>
        </control>
      </mc:Choice>
      <mc:Fallback>
        <control shapeId="5125" r:id="rId11" name="cmdLoadAngle5"/>
      </mc:Fallback>
    </mc:AlternateContent>
    <mc:AlternateContent xmlns:mc="http://schemas.openxmlformats.org/markup-compatibility/2006">
      <mc:Choice Requires="x14">
        <control shapeId="5124" r:id="rId13" name="cmdLoadAngle4">
          <controlPr defaultSize="0" autoLine="0" r:id="rId14">
            <anchor moveWithCells="1">
              <from>
                <xdr:col>15</xdr:col>
                <xdr:colOff>0</xdr:colOff>
                <xdr:row>18</xdr:row>
                <xdr:rowOff>0</xdr:rowOff>
              </from>
              <to>
                <xdr:col>16</xdr:col>
                <xdr:colOff>474133</xdr:colOff>
                <xdr:row>20</xdr:row>
                <xdr:rowOff>118533</xdr:rowOff>
              </to>
            </anchor>
          </controlPr>
        </control>
      </mc:Choice>
      <mc:Fallback>
        <control shapeId="5124" r:id="rId13" name="cmdLoadAngle4"/>
      </mc:Fallback>
    </mc:AlternateContent>
    <mc:AlternateContent xmlns:mc="http://schemas.openxmlformats.org/markup-compatibility/2006">
      <mc:Choice Requires="x14">
        <control shapeId="5123" r:id="rId15" name="cmdLoadAngle3">
          <controlPr defaultSize="0" autoLine="0" r:id="rId16">
            <anchor moveWithCells="1">
              <from>
                <xdr:col>15</xdr:col>
                <xdr:colOff>0</xdr:colOff>
                <xdr:row>13</xdr:row>
                <xdr:rowOff>0</xdr:rowOff>
              </from>
              <to>
                <xdr:col>16</xdr:col>
                <xdr:colOff>474133</xdr:colOff>
                <xdr:row>15</xdr:row>
                <xdr:rowOff>118533</xdr:rowOff>
              </to>
            </anchor>
          </controlPr>
        </control>
      </mc:Choice>
      <mc:Fallback>
        <control shapeId="5123" r:id="rId15" name="cmdLoadAngle3"/>
      </mc:Fallback>
    </mc:AlternateContent>
    <mc:AlternateContent xmlns:mc="http://schemas.openxmlformats.org/markup-compatibility/2006">
      <mc:Choice Requires="x14">
        <control shapeId="5122" r:id="rId17" name="cmdLoadAngle2">
          <controlPr defaultSize="0" autoLine="0" r:id="rId18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16</xdr:col>
                <xdr:colOff>474133</xdr:colOff>
                <xdr:row>10</xdr:row>
                <xdr:rowOff>93133</xdr:rowOff>
              </to>
            </anchor>
          </controlPr>
        </control>
      </mc:Choice>
      <mc:Fallback>
        <control shapeId="5122" r:id="rId17" name="cmdLoadAngle2"/>
      </mc:Fallback>
    </mc:AlternateContent>
    <mc:AlternateContent xmlns:mc="http://schemas.openxmlformats.org/markup-compatibility/2006">
      <mc:Choice Requires="x14">
        <control shapeId="5121" r:id="rId19" name="cmdLoadAngle1">
          <controlPr defaultSize="0" autoLine="0" r:id="rId20">
            <anchor moveWithCells="1">
              <from>
                <xdr:col>15</xdr:col>
                <xdr:colOff>0</xdr:colOff>
                <xdr:row>2</xdr:row>
                <xdr:rowOff>177800</xdr:rowOff>
              </from>
              <to>
                <xdr:col>16</xdr:col>
                <xdr:colOff>465667</xdr:colOff>
                <xdr:row>5</xdr:row>
                <xdr:rowOff>63500</xdr:rowOff>
              </to>
            </anchor>
          </controlPr>
        </control>
      </mc:Choice>
      <mc:Fallback>
        <control shapeId="5121" r:id="rId19" name="cmdLoadAngle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3:C8"/>
  <sheetViews>
    <sheetView workbookViewId="0">
      <selection activeCell="D11" sqref="D11"/>
    </sheetView>
  </sheetViews>
  <sheetFormatPr defaultRowHeight="14.35" x14ac:dyDescent="0.5"/>
  <cols>
    <col min="1" max="1" width="17.3515625" customWidth="1"/>
    <col min="3" max="3" width="11" bestFit="1" customWidth="1"/>
  </cols>
  <sheetData>
    <row r="3" spans="1:3" ht="16.350000000000001" x14ac:dyDescent="0.5">
      <c r="A3" t="s">
        <v>95</v>
      </c>
      <c r="B3" s="42">
        <v>1.38E-16</v>
      </c>
    </row>
    <row r="4" spans="1:3" x14ac:dyDescent="0.5">
      <c r="A4" t="s">
        <v>10</v>
      </c>
      <c r="B4" s="2">
        <v>6328</v>
      </c>
      <c r="C4" s="41">
        <f>B4/100000000</f>
        <v>6.3280000000000004E-5</v>
      </c>
    </row>
    <row r="5" spans="1:3" x14ac:dyDescent="0.5">
      <c r="A5" t="s">
        <v>11</v>
      </c>
      <c r="B5" s="2">
        <v>1.33</v>
      </c>
    </row>
    <row r="6" spans="1:3" ht="16.350000000000001" x14ac:dyDescent="0.5">
      <c r="A6" t="s">
        <v>96</v>
      </c>
      <c r="B6" s="2">
        <v>0.89039999999999997</v>
      </c>
      <c r="C6" s="41">
        <f>EtaCP/100</f>
        <v>8.9040000000000005E-3</v>
      </c>
    </row>
    <row r="7" spans="1:3" x14ac:dyDescent="0.5">
      <c r="A7" t="s">
        <v>85</v>
      </c>
      <c r="B7" s="2">
        <v>25</v>
      </c>
    </row>
    <row r="8" spans="1:3" x14ac:dyDescent="0.5">
      <c r="A8" t="s">
        <v>86</v>
      </c>
      <c r="B8" s="41">
        <f>273.15+B7</f>
        <v>298.14999999999998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DesignNotes</vt:lpstr>
      <vt:lpstr>Instructions</vt:lpstr>
      <vt:lpstr>Main</vt:lpstr>
      <vt:lpstr>GammaVsQ2</vt:lpstr>
      <vt:lpstr>ForExport</vt:lpstr>
      <vt:lpstr>MEXP</vt:lpstr>
      <vt:lpstr>Parameters</vt:lpstr>
      <vt:lpstr>ampl1</vt:lpstr>
      <vt:lpstr>ampl2</vt:lpstr>
      <vt:lpstr>ampl3</vt:lpstr>
      <vt:lpstr>BaseAdjust</vt:lpstr>
      <vt:lpstr>EtaCP</vt:lpstr>
      <vt:lpstr>EtaP</vt:lpstr>
      <vt:lpstr>FirstChanUsed</vt:lpstr>
      <vt:lpstr>gamma1</vt:lpstr>
      <vt:lpstr>gamma2</vt:lpstr>
      <vt:lpstr>gamma3</vt:lpstr>
      <vt:lpstr>kBoltz</vt:lpstr>
      <vt:lpstr>LamCM</vt:lpstr>
      <vt:lpstr>LastChanUsed</vt:lpstr>
      <vt:lpstr>NumFilesOpened</vt:lpstr>
      <vt:lpstr>Refin</vt:lpstr>
      <vt:lpstr>TdegK</vt:lpstr>
      <vt:lpstr>WhichFunction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Russo</dc:creator>
  <cp:lastModifiedBy>Paul Russo</cp:lastModifiedBy>
  <dcterms:created xsi:type="dcterms:W3CDTF">2011-01-04T03:20:02Z</dcterms:created>
  <dcterms:modified xsi:type="dcterms:W3CDTF">2022-06-13T05:13:47Z</dcterms:modified>
</cp:coreProperties>
</file>