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harts/chart1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PR\Task\Work\ComputerPrograms\SMALS\SMALS_Multirun\Master\"/>
    </mc:Choice>
  </mc:AlternateContent>
  <xr:revisionPtr revIDLastSave="0" documentId="13_ncr:1_{93F665BB-FC0B-4696-8876-F54314AC1391}" xr6:coauthVersionLast="36" xr6:coauthVersionMax="47" xr10:uidLastSave="{00000000-0000-0000-0000-000000000000}"/>
  <bookViews>
    <workbookView xWindow="0" yWindow="0" windowWidth="17067" windowHeight="5960" tabRatio="883" firstSheet="1" activeTab="6" xr2:uid="{00000000-000D-0000-FFFF-FFFF00000000}"/>
  </bookViews>
  <sheets>
    <sheet name="DesignNotes" sheetId="97" r:id="rId1"/>
    <sheet name="Instructions" sheetId="17" r:id="rId2"/>
    <sheet name="Main" sheetId="9" r:id="rId3"/>
    <sheet name="GammaVsQ2" sheetId="38" r:id="rId4"/>
    <sheet name="ForExport" sheetId="102" r:id="rId5"/>
    <sheet name="MEXP" sheetId="106" r:id="rId6"/>
    <sheet name="Cumulant" sheetId="107" r:id="rId7"/>
    <sheet name="Parameters" sheetId="39" r:id="rId8"/>
  </sheets>
  <definedNames>
    <definedName name="ampl1" localSheetId="6">Cumulant!#REF!</definedName>
    <definedName name="ampl1">MEXP!$E$5</definedName>
    <definedName name="ampl2" localSheetId="6">Cumulant!#REF!</definedName>
    <definedName name="ampl2">MEXP!$E$6</definedName>
    <definedName name="ampl3" localSheetId="6">Cumulant!#REF!</definedName>
    <definedName name="ampl3">MEXP!$E$7</definedName>
    <definedName name="BaseAdjust" localSheetId="6">Cumulant!#REF!</definedName>
    <definedName name="BaseAdjust">MEXP!$E$4</definedName>
    <definedName name="CumOffset">Cumulant!$E$4</definedName>
    <definedName name="EtaCP">Parameters!$B$6</definedName>
    <definedName name="EtaP">Parameters!$C$6</definedName>
    <definedName name="fcoh">Cumulant!$E$5</definedName>
    <definedName name="gamma1" localSheetId="6">Cumulant!#REF!</definedName>
    <definedName name="gamma1">MEXP!$G$5</definedName>
    <definedName name="gamma2" localSheetId="6">Cumulant!#REF!</definedName>
    <definedName name="gamma2">MEXP!$G$6</definedName>
    <definedName name="gamma3" localSheetId="6">Cumulant!#REF!</definedName>
    <definedName name="gamma3">MEXP!$G$7</definedName>
    <definedName name="GammaBar">Cumulant!$E$6</definedName>
    <definedName name="kBoltz">Parameters!$B$3</definedName>
    <definedName name="LamCM">Parameters!$C$4</definedName>
    <definedName name="LastChanUsed" localSheetId="6">Cumulant!$H$6</definedName>
    <definedName name="LastChanUsed">MEXP!$K$6</definedName>
    <definedName name="mufour">Cumulant!$H$8</definedName>
    <definedName name="muthree">Cumulant!$E$8</definedName>
    <definedName name="mutwo">Cumulant!$E$7</definedName>
    <definedName name="NumFilesOpened">Main!$B$13</definedName>
    <definedName name="Refin">Parameters!$B$5</definedName>
    <definedName name="solver_adj" localSheetId="6" hidden="1">Cumulant!$D$4:$D$8</definedName>
    <definedName name="solver_adj" localSheetId="5" hidden="1">MEXP!$E$4,MEXP!$E$5,MEXP!$G$5</definedName>
    <definedName name="solver_cvg" localSheetId="6" hidden="1">0.0001</definedName>
    <definedName name="solver_cvg" localSheetId="5" hidden="1">0.0001</definedName>
    <definedName name="solver_drv" localSheetId="6" hidden="1">1</definedName>
    <definedName name="solver_drv" localSheetId="5" hidden="1">1</definedName>
    <definedName name="solver_eng" localSheetId="6" hidden="1">1</definedName>
    <definedName name="solver_eng" localSheetId="5" hidden="1">1</definedName>
    <definedName name="solver_est" localSheetId="6" hidden="1">1</definedName>
    <definedName name="solver_est" localSheetId="5" hidden="1">1</definedName>
    <definedName name="solver_itr" localSheetId="6" hidden="1">2147483647</definedName>
    <definedName name="solver_itr" localSheetId="5" hidden="1">2147483647</definedName>
    <definedName name="solver_mip" localSheetId="6" hidden="1">2147483647</definedName>
    <definedName name="solver_mip" localSheetId="5" hidden="1">2147483647</definedName>
    <definedName name="solver_mni" localSheetId="6" hidden="1">30</definedName>
    <definedName name="solver_mni" localSheetId="5" hidden="1">30</definedName>
    <definedName name="solver_mrt" localSheetId="6" hidden="1">0.075</definedName>
    <definedName name="solver_mrt" localSheetId="5" hidden="1">0.075</definedName>
    <definedName name="solver_msl" localSheetId="6" hidden="1">2</definedName>
    <definedName name="solver_msl" localSheetId="5" hidden="1">2</definedName>
    <definedName name="solver_neg" localSheetId="6" hidden="1">2</definedName>
    <definedName name="solver_neg" localSheetId="5" hidden="1">1</definedName>
    <definedName name="solver_nod" localSheetId="6" hidden="1">2147483647</definedName>
    <definedName name="solver_nod" localSheetId="5" hidden="1">2147483647</definedName>
    <definedName name="solver_num" localSheetId="6" hidden="1">0</definedName>
    <definedName name="solver_num" localSheetId="5" hidden="1">0</definedName>
    <definedName name="solver_nwt" localSheetId="6" hidden="1">1</definedName>
    <definedName name="solver_nwt" localSheetId="5" hidden="1">1</definedName>
    <definedName name="solver_opt" localSheetId="6" hidden="1">Cumulant!$H$11</definedName>
    <definedName name="solver_opt" localSheetId="5" hidden="1">MEXP!$H$11</definedName>
    <definedName name="solver_pre" localSheetId="6" hidden="1">0.000001</definedName>
    <definedName name="solver_pre" localSheetId="5" hidden="1">0.000001</definedName>
    <definedName name="solver_rbv" localSheetId="6" hidden="1">1</definedName>
    <definedName name="solver_rbv" localSheetId="5" hidden="1">1</definedName>
    <definedName name="solver_rlx" localSheetId="6" hidden="1">2</definedName>
    <definedName name="solver_rlx" localSheetId="5" hidden="1">2</definedName>
    <definedName name="solver_rsd" localSheetId="6" hidden="1">0</definedName>
    <definedName name="solver_rsd" localSheetId="5" hidden="1">0</definedName>
    <definedName name="solver_scl" localSheetId="6" hidden="1">1</definedName>
    <definedName name="solver_scl" localSheetId="5" hidden="1">1</definedName>
    <definedName name="solver_sho" localSheetId="6" hidden="1">2</definedName>
    <definedName name="solver_sho" localSheetId="5" hidden="1">2</definedName>
    <definedName name="solver_ssz" localSheetId="6" hidden="1">100</definedName>
    <definedName name="solver_ssz" localSheetId="5" hidden="1">100</definedName>
    <definedName name="solver_tim" localSheetId="6" hidden="1">2147483647</definedName>
    <definedName name="solver_tim" localSheetId="5" hidden="1">2147483647</definedName>
    <definedName name="solver_tol" localSheetId="6" hidden="1">0.01</definedName>
    <definedName name="solver_tol" localSheetId="5" hidden="1">0.01</definedName>
    <definedName name="solver_typ" localSheetId="6" hidden="1">2</definedName>
    <definedName name="solver_typ" localSheetId="5" hidden="1">2</definedName>
    <definedName name="solver_val" localSheetId="6" hidden="1">0</definedName>
    <definedName name="solver_val" localSheetId="5" hidden="1">0</definedName>
    <definedName name="solver_ver" localSheetId="6" hidden="1">3</definedName>
    <definedName name="solver_ver" localSheetId="5" hidden="1">3</definedName>
    <definedName name="TdegK">Parameters!$B$8</definedName>
    <definedName name="WhichFunction">Main!$B$16</definedName>
  </definedNames>
  <calcPr calcId="191029" calcMode="manual"/>
</workbook>
</file>

<file path=xl/calcChain.xml><?xml version="1.0" encoding="utf-8"?>
<calcChain xmlns="http://schemas.openxmlformats.org/spreadsheetml/2006/main">
  <c r="I5" i="107" l="1"/>
  <c r="E11" i="106"/>
  <c r="I6" i="107"/>
  <c r="E12" i="107"/>
  <c r="F12" i="107" s="1"/>
  <c r="G12" i="107" s="1"/>
  <c r="E13" i="107"/>
  <c r="F13" i="107" s="1"/>
  <c r="G13" i="107" s="1"/>
  <c r="E14" i="107"/>
  <c r="F14" i="107" s="1"/>
  <c r="G14" i="107" s="1"/>
  <c r="E15" i="107"/>
  <c r="F15" i="107" s="1"/>
  <c r="G15" i="107" s="1"/>
  <c r="E16" i="107"/>
  <c r="F16" i="107" s="1"/>
  <c r="G16" i="107" s="1"/>
  <c r="E17" i="107"/>
  <c r="F17" i="107" s="1"/>
  <c r="G17" i="107" s="1"/>
  <c r="E18" i="107"/>
  <c r="F18" i="107" s="1"/>
  <c r="G18" i="107" s="1"/>
  <c r="E19" i="107"/>
  <c r="F19" i="107" s="1"/>
  <c r="G19" i="107" s="1"/>
  <c r="E20" i="107"/>
  <c r="F20" i="107" s="1"/>
  <c r="G20" i="107" s="1"/>
  <c r="E21" i="107"/>
  <c r="F21" i="107" s="1"/>
  <c r="G21" i="107" s="1"/>
  <c r="E22" i="107"/>
  <c r="F22" i="107" s="1"/>
  <c r="G22" i="107" s="1"/>
  <c r="E23" i="107"/>
  <c r="F23" i="107" s="1"/>
  <c r="G23" i="107" s="1"/>
  <c r="E24" i="107"/>
  <c r="F24" i="107" s="1"/>
  <c r="G24" i="107" s="1"/>
  <c r="E25" i="107"/>
  <c r="F25" i="107" s="1"/>
  <c r="G25" i="107" s="1"/>
  <c r="E26" i="107"/>
  <c r="F26" i="107" s="1"/>
  <c r="G26" i="107" s="1"/>
  <c r="E27" i="107"/>
  <c r="F27" i="107" s="1"/>
  <c r="G27" i="107" s="1"/>
  <c r="E28" i="107"/>
  <c r="F28" i="107" s="1"/>
  <c r="G28" i="107" s="1"/>
  <c r="E29" i="107"/>
  <c r="F29" i="107" s="1"/>
  <c r="G29" i="107" s="1"/>
  <c r="E30" i="107"/>
  <c r="F30" i="107" s="1"/>
  <c r="G30" i="107" s="1"/>
  <c r="E31" i="107"/>
  <c r="F31" i="107" s="1"/>
  <c r="G31" i="107" s="1"/>
  <c r="E32" i="107"/>
  <c r="F32" i="107" s="1"/>
  <c r="G32" i="107" s="1"/>
  <c r="E33" i="107"/>
  <c r="F33" i="107" s="1"/>
  <c r="G33" i="107" s="1"/>
  <c r="E34" i="107"/>
  <c r="F34" i="107" s="1"/>
  <c r="G34" i="107" s="1"/>
  <c r="E35" i="107"/>
  <c r="F35" i="107" s="1"/>
  <c r="G35" i="107" s="1"/>
  <c r="E36" i="107"/>
  <c r="F36" i="107" s="1"/>
  <c r="G36" i="107" s="1"/>
  <c r="E37" i="107"/>
  <c r="F37" i="107" s="1"/>
  <c r="G37" i="107" s="1"/>
  <c r="E38" i="107"/>
  <c r="F38" i="107" s="1"/>
  <c r="G38" i="107" s="1"/>
  <c r="E39" i="107"/>
  <c r="F39" i="107" s="1"/>
  <c r="G39" i="107" s="1"/>
  <c r="E40" i="107"/>
  <c r="F40" i="107" s="1"/>
  <c r="G40" i="107" s="1"/>
  <c r="E41" i="107"/>
  <c r="F41" i="107" s="1"/>
  <c r="G41" i="107" s="1"/>
  <c r="E42" i="107"/>
  <c r="F42" i="107" s="1"/>
  <c r="G42" i="107" s="1"/>
  <c r="E43" i="107"/>
  <c r="F43" i="107" s="1"/>
  <c r="G43" i="107" s="1"/>
  <c r="E44" i="107"/>
  <c r="F44" i="107" s="1"/>
  <c r="G44" i="107" s="1"/>
  <c r="E45" i="107"/>
  <c r="F45" i="107" s="1"/>
  <c r="G45" i="107" s="1"/>
  <c r="E46" i="107"/>
  <c r="F46" i="107" s="1"/>
  <c r="G46" i="107" s="1"/>
  <c r="E47" i="107"/>
  <c r="F47" i="107" s="1"/>
  <c r="G47" i="107" s="1"/>
  <c r="E48" i="107"/>
  <c r="F48" i="107" s="1"/>
  <c r="G48" i="107" s="1"/>
  <c r="E49" i="107"/>
  <c r="F49" i="107" s="1"/>
  <c r="G49" i="107" s="1"/>
  <c r="E50" i="107"/>
  <c r="F50" i="107" s="1"/>
  <c r="G50" i="107" s="1"/>
  <c r="E51" i="107"/>
  <c r="F51" i="107" s="1"/>
  <c r="G51" i="107" s="1"/>
  <c r="E52" i="107"/>
  <c r="F52" i="107" s="1"/>
  <c r="G52" i="107" s="1"/>
  <c r="E53" i="107"/>
  <c r="F53" i="107" s="1"/>
  <c r="G53" i="107" s="1"/>
  <c r="E54" i="107"/>
  <c r="F54" i="107" s="1"/>
  <c r="G54" i="107" s="1"/>
  <c r="E55" i="107"/>
  <c r="F55" i="107" s="1"/>
  <c r="G55" i="107" s="1"/>
  <c r="E56" i="107"/>
  <c r="F56" i="107" s="1"/>
  <c r="G56" i="107" s="1"/>
  <c r="E57" i="107"/>
  <c r="F57" i="107" s="1"/>
  <c r="G57" i="107" s="1"/>
  <c r="E58" i="107"/>
  <c r="F58" i="107" s="1"/>
  <c r="G58" i="107" s="1"/>
  <c r="E59" i="107"/>
  <c r="F59" i="107" s="1"/>
  <c r="G59" i="107" s="1"/>
  <c r="E60" i="107"/>
  <c r="F60" i="107" s="1"/>
  <c r="G60" i="107" s="1"/>
  <c r="E61" i="107"/>
  <c r="F61" i="107" s="1"/>
  <c r="G61" i="107" s="1"/>
  <c r="E62" i="107"/>
  <c r="F62" i="107" s="1"/>
  <c r="G62" i="107" s="1"/>
  <c r="E63" i="107"/>
  <c r="F63" i="107" s="1"/>
  <c r="G63" i="107" s="1"/>
  <c r="E64" i="107"/>
  <c r="F64" i="107" s="1"/>
  <c r="G64" i="107" s="1"/>
  <c r="E65" i="107"/>
  <c r="F65" i="107" s="1"/>
  <c r="G65" i="107" s="1"/>
  <c r="E66" i="107"/>
  <c r="F66" i="107" s="1"/>
  <c r="G66" i="107" s="1"/>
  <c r="E67" i="107"/>
  <c r="F67" i="107" s="1"/>
  <c r="G67" i="107" s="1"/>
  <c r="E68" i="107"/>
  <c r="F68" i="107" s="1"/>
  <c r="G68" i="107" s="1"/>
  <c r="E69" i="107"/>
  <c r="F69" i="107" s="1"/>
  <c r="G69" i="107" s="1"/>
  <c r="E70" i="107"/>
  <c r="F70" i="107" s="1"/>
  <c r="G70" i="107" s="1"/>
  <c r="E71" i="107"/>
  <c r="F71" i="107" s="1"/>
  <c r="G71" i="107" s="1"/>
  <c r="E72" i="107"/>
  <c r="F72" i="107" s="1"/>
  <c r="G72" i="107" s="1"/>
  <c r="E73" i="107"/>
  <c r="F73" i="107" s="1"/>
  <c r="G73" i="107" s="1"/>
  <c r="E74" i="107"/>
  <c r="F74" i="107" s="1"/>
  <c r="G74" i="107" s="1"/>
  <c r="E75" i="107"/>
  <c r="F75" i="107" s="1"/>
  <c r="G75" i="107" s="1"/>
  <c r="E76" i="107"/>
  <c r="F76" i="107" s="1"/>
  <c r="G76" i="107" s="1"/>
  <c r="E77" i="107"/>
  <c r="F77" i="107" s="1"/>
  <c r="G77" i="107" s="1"/>
  <c r="E78" i="107"/>
  <c r="F78" i="107" s="1"/>
  <c r="G78" i="107" s="1"/>
  <c r="E79" i="107"/>
  <c r="F79" i="107" s="1"/>
  <c r="G79" i="107" s="1"/>
  <c r="E80" i="107"/>
  <c r="F80" i="107" s="1"/>
  <c r="G80" i="107" s="1"/>
  <c r="E81" i="107"/>
  <c r="F81" i="107" s="1"/>
  <c r="G81" i="107" s="1"/>
  <c r="E82" i="107"/>
  <c r="F82" i="107" s="1"/>
  <c r="G82" i="107" s="1"/>
  <c r="E83" i="107"/>
  <c r="F83" i="107" s="1"/>
  <c r="G83" i="107" s="1"/>
  <c r="E84" i="107"/>
  <c r="F84" i="107" s="1"/>
  <c r="G84" i="107" s="1"/>
  <c r="E85" i="107"/>
  <c r="F85" i="107" s="1"/>
  <c r="G85" i="107" s="1"/>
  <c r="E86" i="107"/>
  <c r="F86" i="107" s="1"/>
  <c r="G86" i="107" s="1"/>
  <c r="E87" i="107"/>
  <c r="F87" i="107" s="1"/>
  <c r="G87" i="107" s="1"/>
  <c r="E88" i="107"/>
  <c r="F88" i="107" s="1"/>
  <c r="G88" i="107" s="1"/>
  <c r="E89" i="107"/>
  <c r="F89" i="107" s="1"/>
  <c r="G89" i="107" s="1"/>
  <c r="E90" i="107"/>
  <c r="F90" i="107" s="1"/>
  <c r="G90" i="107" s="1"/>
  <c r="E91" i="107"/>
  <c r="F91" i="107" s="1"/>
  <c r="G91" i="107" s="1"/>
  <c r="E92" i="107"/>
  <c r="F92" i="107" s="1"/>
  <c r="G92" i="107" s="1"/>
  <c r="E93" i="107"/>
  <c r="F93" i="107" s="1"/>
  <c r="G93" i="107" s="1"/>
  <c r="E94" i="107"/>
  <c r="F94" i="107" s="1"/>
  <c r="G94" i="107" s="1"/>
  <c r="E95" i="107"/>
  <c r="F95" i="107" s="1"/>
  <c r="G95" i="107" s="1"/>
  <c r="E96" i="107"/>
  <c r="F96" i="107" s="1"/>
  <c r="G96" i="107" s="1"/>
  <c r="E97" i="107"/>
  <c r="F97" i="107" s="1"/>
  <c r="G97" i="107" s="1"/>
  <c r="E98" i="107"/>
  <c r="F98" i="107" s="1"/>
  <c r="G98" i="107" s="1"/>
  <c r="E99" i="107"/>
  <c r="F99" i="107" s="1"/>
  <c r="G99" i="107" s="1"/>
  <c r="E100" i="107"/>
  <c r="F100" i="107" s="1"/>
  <c r="G100" i="107" s="1"/>
  <c r="E101" i="107"/>
  <c r="F101" i="107" s="1"/>
  <c r="G101" i="107" s="1"/>
  <c r="E102" i="107"/>
  <c r="F102" i="107" s="1"/>
  <c r="G102" i="107" s="1"/>
  <c r="E103" i="107"/>
  <c r="F103" i="107" s="1"/>
  <c r="G103" i="107" s="1"/>
  <c r="E104" i="107"/>
  <c r="F104" i="107" s="1"/>
  <c r="G104" i="107" s="1"/>
  <c r="E105" i="107"/>
  <c r="F105" i="107" s="1"/>
  <c r="G105" i="107" s="1"/>
  <c r="E106" i="107"/>
  <c r="F106" i="107" s="1"/>
  <c r="G106" i="107" s="1"/>
  <c r="E107" i="107"/>
  <c r="F107" i="107" s="1"/>
  <c r="G107" i="107" s="1"/>
  <c r="E108" i="107"/>
  <c r="F108" i="107" s="1"/>
  <c r="G108" i="107" s="1"/>
  <c r="E109" i="107"/>
  <c r="F109" i="107" s="1"/>
  <c r="G109" i="107" s="1"/>
  <c r="E110" i="107"/>
  <c r="F110" i="107" s="1"/>
  <c r="G110" i="107" s="1"/>
  <c r="E111" i="107"/>
  <c r="F111" i="107" s="1"/>
  <c r="G111" i="107" s="1"/>
  <c r="E112" i="107"/>
  <c r="F112" i="107" s="1"/>
  <c r="G112" i="107" s="1"/>
  <c r="E113" i="107"/>
  <c r="F113" i="107" s="1"/>
  <c r="G113" i="107" s="1"/>
  <c r="E114" i="107"/>
  <c r="F114" i="107" s="1"/>
  <c r="G114" i="107" s="1"/>
  <c r="E115" i="107"/>
  <c r="F115" i="107" s="1"/>
  <c r="G115" i="107" s="1"/>
  <c r="E116" i="107"/>
  <c r="F116" i="107" s="1"/>
  <c r="G116" i="107" s="1"/>
  <c r="E117" i="107"/>
  <c r="F117" i="107" s="1"/>
  <c r="G117" i="107" s="1"/>
  <c r="E118" i="107"/>
  <c r="F118" i="107" s="1"/>
  <c r="G118" i="107" s="1"/>
  <c r="E119" i="107"/>
  <c r="F119" i="107" s="1"/>
  <c r="G119" i="107" s="1"/>
  <c r="E120" i="107"/>
  <c r="F120" i="107" s="1"/>
  <c r="G120" i="107" s="1"/>
  <c r="E121" i="107"/>
  <c r="F121" i="107" s="1"/>
  <c r="G121" i="107" s="1"/>
  <c r="E122" i="107"/>
  <c r="F122" i="107" s="1"/>
  <c r="G122" i="107" s="1"/>
  <c r="E123" i="107"/>
  <c r="F123" i="107" s="1"/>
  <c r="G123" i="107" s="1"/>
  <c r="E124" i="107"/>
  <c r="F124" i="107" s="1"/>
  <c r="G124" i="107" s="1"/>
  <c r="E125" i="107"/>
  <c r="F125" i="107" s="1"/>
  <c r="G125" i="107" s="1"/>
  <c r="E126" i="107"/>
  <c r="F126" i="107" s="1"/>
  <c r="G126" i="107" s="1"/>
  <c r="E127" i="107"/>
  <c r="F127" i="107" s="1"/>
  <c r="G127" i="107" s="1"/>
  <c r="E128" i="107"/>
  <c r="F128" i="107" s="1"/>
  <c r="G128" i="107" s="1"/>
  <c r="E129" i="107"/>
  <c r="F129" i="107" s="1"/>
  <c r="G129" i="107" s="1"/>
  <c r="E130" i="107"/>
  <c r="F130" i="107" s="1"/>
  <c r="G130" i="107" s="1"/>
  <c r="E131" i="107"/>
  <c r="F131" i="107" s="1"/>
  <c r="G131" i="107" s="1"/>
  <c r="E132" i="107"/>
  <c r="F132" i="107" s="1"/>
  <c r="G132" i="107" s="1"/>
  <c r="E133" i="107"/>
  <c r="F133" i="107" s="1"/>
  <c r="G133" i="107" s="1"/>
  <c r="E134" i="107"/>
  <c r="F134" i="107" s="1"/>
  <c r="G134" i="107" s="1"/>
  <c r="E135" i="107"/>
  <c r="F135" i="107" s="1"/>
  <c r="G135" i="107" s="1"/>
  <c r="E136" i="107"/>
  <c r="F136" i="107" s="1"/>
  <c r="G136" i="107" s="1"/>
  <c r="E137" i="107"/>
  <c r="F137" i="107" s="1"/>
  <c r="G137" i="107" s="1"/>
  <c r="E138" i="107"/>
  <c r="F138" i="107" s="1"/>
  <c r="G138" i="107" s="1"/>
  <c r="E139" i="107"/>
  <c r="F139" i="107" s="1"/>
  <c r="G139" i="107" s="1"/>
  <c r="E140" i="107"/>
  <c r="F140" i="107" s="1"/>
  <c r="G140" i="107" s="1"/>
  <c r="E141" i="107"/>
  <c r="F141" i="107" s="1"/>
  <c r="G141" i="107" s="1"/>
  <c r="E142" i="107"/>
  <c r="F142" i="107" s="1"/>
  <c r="G142" i="107" s="1"/>
  <c r="E143" i="107"/>
  <c r="F143" i="107" s="1"/>
  <c r="G143" i="107" s="1"/>
  <c r="E144" i="107"/>
  <c r="F144" i="107" s="1"/>
  <c r="G144" i="107" s="1"/>
  <c r="E145" i="107"/>
  <c r="F145" i="107" s="1"/>
  <c r="G145" i="107" s="1"/>
  <c r="E146" i="107"/>
  <c r="F146" i="107" s="1"/>
  <c r="G146" i="107" s="1"/>
  <c r="E147" i="107"/>
  <c r="F147" i="107" s="1"/>
  <c r="G147" i="107" s="1"/>
  <c r="E148" i="107"/>
  <c r="F148" i="107" s="1"/>
  <c r="G148" i="107" s="1"/>
  <c r="E149" i="107"/>
  <c r="F149" i="107" s="1"/>
  <c r="G149" i="107" s="1"/>
  <c r="E150" i="107"/>
  <c r="F150" i="107" s="1"/>
  <c r="G150" i="107" s="1"/>
  <c r="E151" i="107"/>
  <c r="F151" i="107" s="1"/>
  <c r="G151" i="107" s="1"/>
  <c r="E152" i="107"/>
  <c r="F152" i="107" s="1"/>
  <c r="G152" i="107" s="1"/>
  <c r="E153" i="107"/>
  <c r="F153" i="107" s="1"/>
  <c r="G153" i="107" s="1"/>
  <c r="E154" i="107"/>
  <c r="F154" i="107" s="1"/>
  <c r="G154" i="107" s="1"/>
  <c r="E155" i="107"/>
  <c r="F155" i="107" s="1"/>
  <c r="G155" i="107" s="1"/>
  <c r="E156" i="107"/>
  <c r="F156" i="107" s="1"/>
  <c r="G156" i="107" s="1"/>
  <c r="E157" i="107"/>
  <c r="F157" i="107" s="1"/>
  <c r="G157" i="107" s="1"/>
  <c r="E158" i="107"/>
  <c r="F158" i="107" s="1"/>
  <c r="G158" i="107" s="1"/>
  <c r="E159" i="107"/>
  <c r="F159" i="107" s="1"/>
  <c r="G159" i="107" s="1"/>
  <c r="E160" i="107"/>
  <c r="F160" i="107" s="1"/>
  <c r="G160" i="107" s="1"/>
  <c r="E161" i="107"/>
  <c r="F161" i="107" s="1"/>
  <c r="G161" i="107" s="1"/>
  <c r="E162" i="107"/>
  <c r="F162" i="107" s="1"/>
  <c r="G162" i="107" s="1"/>
  <c r="E163" i="107"/>
  <c r="F163" i="107" s="1"/>
  <c r="G163" i="107" s="1"/>
  <c r="E164" i="107"/>
  <c r="F164" i="107" s="1"/>
  <c r="G164" i="107" s="1"/>
  <c r="E165" i="107"/>
  <c r="F165" i="107" s="1"/>
  <c r="G165" i="107" s="1"/>
  <c r="E166" i="107"/>
  <c r="F166" i="107" s="1"/>
  <c r="G166" i="107" s="1"/>
  <c r="E167" i="107"/>
  <c r="F167" i="107" s="1"/>
  <c r="G167" i="107" s="1"/>
  <c r="E168" i="107"/>
  <c r="F168" i="107" s="1"/>
  <c r="G168" i="107" s="1"/>
  <c r="E169" i="107"/>
  <c r="F169" i="107" s="1"/>
  <c r="G169" i="107" s="1"/>
  <c r="E170" i="107"/>
  <c r="F170" i="107" s="1"/>
  <c r="G170" i="107" s="1"/>
  <c r="E171" i="107"/>
  <c r="F171" i="107" s="1"/>
  <c r="G171" i="107" s="1"/>
  <c r="E172" i="107"/>
  <c r="F172" i="107" s="1"/>
  <c r="G172" i="107" s="1"/>
  <c r="E173" i="107"/>
  <c r="F173" i="107" s="1"/>
  <c r="G173" i="107" s="1"/>
  <c r="E174" i="107"/>
  <c r="F174" i="107" s="1"/>
  <c r="G174" i="107" s="1"/>
  <c r="E175" i="107"/>
  <c r="F175" i="107" s="1"/>
  <c r="G175" i="107" s="1"/>
  <c r="E176" i="107"/>
  <c r="F176" i="107" s="1"/>
  <c r="G176" i="107" s="1"/>
  <c r="E177" i="107"/>
  <c r="F177" i="107" s="1"/>
  <c r="G177" i="107" s="1"/>
  <c r="E178" i="107"/>
  <c r="F178" i="107" s="1"/>
  <c r="G178" i="107" s="1"/>
  <c r="E179" i="107"/>
  <c r="F179" i="107" s="1"/>
  <c r="G179" i="107" s="1"/>
  <c r="E180" i="107"/>
  <c r="F180" i="107" s="1"/>
  <c r="G180" i="107" s="1"/>
  <c r="E181" i="107"/>
  <c r="F181" i="107" s="1"/>
  <c r="G181" i="107" s="1"/>
  <c r="E182" i="107"/>
  <c r="F182" i="107" s="1"/>
  <c r="G182" i="107" s="1"/>
  <c r="E183" i="107"/>
  <c r="F183" i="107" s="1"/>
  <c r="G183" i="107" s="1"/>
  <c r="E184" i="107"/>
  <c r="F184" i="107" s="1"/>
  <c r="G184" i="107" s="1"/>
  <c r="E185" i="107"/>
  <c r="F185" i="107" s="1"/>
  <c r="G185" i="107" s="1"/>
  <c r="E186" i="107"/>
  <c r="F186" i="107" s="1"/>
  <c r="G186" i="107" s="1"/>
  <c r="E187" i="107"/>
  <c r="F187" i="107" s="1"/>
  <c r="G187" i="107" s="1"/>
  <c r="E188" i="107"/>
  <c r="F188" i="107" s="1"/>
  <c r="G188" i="107" s="1"/>
  <c r="E189" i="107"/>
  <c r="F189" i="107" s="1"/>
  <c r="G189" i="107" s="1"/>
  <c r="E190" i="107"/>
  <c r="F190" i="107" s="1"/>
  <c r="G190" i="107" s="1"/>
  <c r="E191" i="107"/>
  <c r="F191" i="107" s="1"/>
  <c r="G191" i="107" s="1"/>
  <c r="E192" i="107"/>
  <c r="F192" i="107" s="1"/>
  <c r="G192" i="107" s="1"/>
  <c r="E193" i="107"/>
  <c r="F193" i="107" s="1"/>
  <c r="G193" i="107" s="1"/>
  <c r="E194" i="107"/>
  <c r="F194" i="107" s="1"/>
  <c r="G194" i="107" s="1"/>
  <c r="E195" i="107"/>
  <c r="F195" i="107" s="1"/>
  <c r="G195" i="107" s="1"/>
  <c r="E196" i="107"/>
  <c r="F196" i="107" s="1"/>
  <c r="G196" i="107" s="1"/>
  <c r="E197" i="107"/>
  <c r="F197" i="107" s="1"/>
  <c r="G197" i="107" s="1"/>
  <c r="E198" i="107"/>
  <c r="F198" i="107" s="1"/>
  <c r="G198" i="107" s="1"/>
  <c r="E199" i="107"/>
  <c r="F199" i="107" s="1"/>
  <c r="G199" i="107" s="1"/>
  <c r="E200" i="107"/>
  <c r="F200" i="107" s="1"/>
  <c r="G200" i="107" s="1"/>
  <c r="E201" i="107"/>
  <c r="F201" i="107" s="1"/>
  <c r="G201" i="107" s="1"/>
  <c r="E202" i="107"/>
  <c r="F202" i="107" s="1"/>
  <c r="G202" i="107" s="1"/>
  <c r="E203" i="107"/>
  <c r="F203" i="107" s="1"/>
  <c r="G203" i="107" s="1"/>
  <c r="E204" i="107"/>
  <c r="F204" i="107" s="1"/>
  <c r="G204" i="107" s="1"/>
  <c r="E205" i="107"/>
  <c r="F205" i="107" s="1"/>
  <c r="G205" i="107" s="1"/>
  <c r="E206" i="107"/>
  <c r="F206" i="107" s="1"/>
  <c r="G206" i="107" s="1"/>
  <c r="E207" i="107"/>
  <c r="F207" i="107" s="1"/>
  <c r="G207" i="107" s="1"/>
  <c r="E208" i="107"/>
  <c r="F208" i="107" s="1"/>
  <c r="G208" i="107" s="1"/>
  <c r="E209" i="107"/>
  <c r="F209" i="107" s="1"/>
  <c r="G209" i="107" s="1"/>
  <c r="E210" i="107"/>
  <c r="F210" i="107" s="1"/>
  <c r="G210" i="107" s="1"/>
  <c r="E211" i="107"/>
  <c r="F211" i="107" s="1"/>
  <c r="G211" i="107" s="1"/>
  <c r="E212" i="107"/>
  <c r="F212" i="107" s="1"/>
  <c r="G212" i="107" s="1"/>
  <c r="E213" i="107"/>
  <c r="F213" i="107" s="1"/>
  <c r="G213" i="107" s="1"/>
  <c r="E214" i="107"/>
  <c r="F214" i="107" s="1"/>
  <c r="G214" i="107" s="1"/>
  <c r="E215" i="107"/>
  <c r="F215" i="107" s="1"/>
  <c r="G215" i="107" s="1"/>
  <c r="E216" i="107"/>
  <c r="F216" i="107" s="1"/>
  <c r="G216" i="107" s="1"/>
  <c r="E217" i="107"/>
  <c r="F217" i="107" s="1"/>
  <c r="G217" i="107" s="1"/>
  <c r="E218" i="107"/>
  <c r="F218" i="107" s="1"/>
  <c r="G218" i="107" s="1"/>
  <c r="E219" i="107"/>
  <c r="F219" i="107" s="1"/>
  <c r="G219" i="107" s="1"/>
  <c r="E220" i="107"/>
  <c r="F220" i="107" s="1"/>
  <c r="G220" i="107" s="1"/>
  <c r="E221" i="107"/>
  <c r="F221" i="107" s="1"/>
  <c r="G221" i="107" s="1"/>
  <c r="E222" i="107"/>
  <c r="F222" i="107" s="1"/>
  <c r="G222" i="107" s="1"/>
  <c r="E223" i="107"/>
  <c r="F223" i="107" s="1"/>
  <c r="G223" i="107" s="1"/>
  <c r="E224" i="107"/>
  <c r="F224" i="107" s="1"/>
  <c r="G224" i="107" s="1"/>
  <c r="E225" i="107"/>
  <c r="F225" i="107" s="1"/>
  <c r="G225" i="107" s="1"/>
  <c r="E226" i="107"/>
  <c r="F226" i="107" s="1"/>
  <c r="G226" i="107" s="1"/>
  <c r="E227" i="107"/>
  <c r="F227" i="107" s="1"/>
  <c r="G227" i="107" s="1"/>
  <c r="E228" i="107"/>
  <c r="F228" i="107" s="1"/>
  <c r="G228" i="107" s="1"/>
  <c r="E229" i="107"/>
  <c r="F229" i="107" s="1"/>
  <c r="G229" i="107" s="1"/>
  <c r="E230" i="107"/>
  <c r="F230" i="107" s="1"/>
  <c r="G230" i="107" s="1"/>
  <c r="E231" i="107"/>
  <c r="F231" i="107" s="1"/>
  <c r="G231" i="107" s="1"/>
  <c r="E232" i="107"/>
  <c r="F232" i="107" s="1"/>
  <c r="G232" i="107" s="1"/>
  <c r="E233" i="107"/>
  <c r="F233" i="107" s="1"/>
  <c r="G233" i="107" s="1"/>
  <c r="E234" i="107"/>
  <c r="F234" i="107" s="1"/>
  <c r="G234" i="107" s="1"/>
  <c r="E235" i="107"/>
  <c r="F235" i="107" s="1"/>
  <c r="G235" i="107" s="1"/>
  <c r="E236" i="107"/>
  <c r="F236" i="107" s="1"/>
  <c r="G236" i="107" s="1"/>
  <c r="E237" i="107"/>
  <c r="F237" i="107" s="1"/>
  <c r="G237" i="107" s="1"/>
  <c r="E238" i="107"/>
  <c r="F238" i="107" s="1"/>
  <c r="G238" i="107" s="1"/>
  <c r="E239" i="107"/>
  <c r="F239" i="107" s="1"/>
  <c r="G239" i="107" s="1"/>
  <c r="E240" i="107"/>
  <c r="F240" i="107" s="1"/>
  <c r="G240" i="107" s="1"/>
  <c r="E241" i="107"/>
  <c r="F241" i="107" s="1"/>
  <c r="G241" i="107" s="1"/>
  <c r="E242" i="107"/>
  <c r="F242" i="107" s="1"/>
  <c r="G242" i="107" s="1"/>
  <c r="E243" i="107"/>
  <c r="F243" i="107" s="1"/>
  <c r="G243" i="107" s="1"/>
  <c r="E244" i="107"/>
  <c r="F244" i="107" s="1"/>
  <c r="G244" i="107" s="1"/>
  <c r="E245" i="107"/>
  <c r="F245" i="107" s="1"/>
  <c r="G245" i="107" s="1"/>
  <c r="E246" i="107"/>
  <c r="F246" i="107" s="1"/>
  <c r="G246" i="107" s="1"/>
  <c r="E247" i="107"/>
  <c r="F247" i="107" s="1"/>
  <c r="G247" i="107" s="1"/>
  <c r="E248" i="107"/>
  <c r="F248" i="107" s="1"/>
  <c r="G248" i="107" s="1"/>
  <c r="E249" i="107"/>
  <c r="F249" i="107" s="1"/>
  <c r="G249" i="107" s="1"/>
  <c r="E250" i="107"/>
  <c r="F250" i="107" s="1"/>
  <c r="G250" i="107" s="1"/>
  <c r="E251" i="107"/>
  <c r="F251" i="107" s="1"/>
  <c r="G251" i="107" s="1"/>
  <c r="E252" i="107"/>
  <c r="F252" i="107" s="1"/>
  <c r="G252" i="107" s="1"/>
  <c r="E253" i="107"/>
  <c r="F253" i="107" s="1"/>
  <c r="G253" i="107" s="1"/>
  <c r="E254" i="107"/>
  <c r="F254" i="107" s="1"/>
  <c r="G254" i="107" s="1"/>
  <c r="E255" i="107"/>
  <c r="F255" i="107" s="1"/>
  <c r="G255" i="107" s="1"/>
  <c r="E256" i="107"/>
  <c r="F256" i="107" s="1"/>
  <c r="G256" i="107" s="1"/>
  <c r="E257" i="107"/>
  <c r="F257" i="107" s="1"/>
  <c r="G257" i="107" s="1"/>
  <c r="E258" i="107"/>
  <c r="F258" i="107" s="1"/>
  <c r="G258" i="107" s="1"/>
  <c r="E259" i="107"/>
  <c r="F259" i="107" s="1"/>
  <c r="G259" i="107" s="1"/>
  <c r="E260" i="107"/>
  <c r="F260" i="107" s="1"/>
  <c r="G260" i="107" s="1"/>
  <c r="E261" i="107"/>
  <c r="F261" i="107" s="1"/>
  <c r="G261" i="107" s="1"/>
  <c r="E262" i="107"/>
  <c r="F262" i="107" s="1"/>
  <c r="G262" i="107" s="1"/>
  <c r="E263" i="107"/>
  <c r="F263" i="107" s="1"/>
  <c r="G263" i="107" s="1"/>
  <c r="E264" i="107"/>
  <c r="F264" i="107" s="1"/>
  <c r="G264" i="107" s="1"/>
  <c r="E265" i="107"/>
  <c r="F265" i="107" s="1"/>
  <c r="G265" i="107" s="1"/>
  <c r="E266" i="107"/>
  <c r="F266" i="107" s="1"/>
  <c r="G266" i="107" s="1"/>
  <c r="E267" i="107"/>
  <c r="F267" i="107" s="1"/>
  <c r="G267" i="107" s="1"/>
  <c r="E268" i="107"/>
  <c r="F268" i="107" s="1"/>
  <c r="G268" i="107" s="1"/>
  <c r="E269" i="107"/>
  <c r="F269" i="107" s="1"/>
  <c r="G269" i="107" s="1"/>
  <c r="E270" i="107"/>
  <c r="F270" i="107" s="1"/>
  <c r="G270" i="107" s="1"/>
  <c r="E271" i="107"/>
  <c r="F271" i="107" s="1"/>
  <c r="G271" i="107" s="1"/>
  <c r="E272" i="107"/>
  <c r="F272" i="107" s="1"/>
  <c r="G272" i="107" s="1"/>
  <c r="E273" i="107"/>
  <c r="F273" i="107" s="1"/>
  <c r="G273" i="107" s="1"/>
  <c r="E274" i="107"/>
  <c r="F274" i="107" s="1"/>
  <c r="G274" i="107" s="1"/>
  <c r="E275" i="107"/>
  <c r="F275" i="107" s="1"/>
  <c r="G275" i="107" s="1"/>
  <c r="E276" i="107"/>
  <c r="F276" i="107" s="1"/>
  <c r="G276" i="107" s="1"/>
  <c r="E277" i="107"/>
  <c r="F277" i="107" s="1"/>
  <c r="G277" i="107" s="1"/>
  <c r="E278" i="107"/>
  <c r="F278" i="107" s="1"/>
  <c r="G278" i="107" s="1"/>
  <c r="E279" i="107"/>
  <c r="F279" i="107" s="1"/>
  <c r="G279" i="107" s="1"/>
  <c r="E280" i="107"/>
  <c r="F280" i="107" s="1"/>
  <c r="G280" i="107" s="1"/>
  <c r="E281" i="107"/>
  <c r="F281" i="107" s="1"/>
  <c r="G281" i="107" s="1"/>
  <c r="E282" i="107"/>
  <c r="F282" i="107" s="1"/>
  <c r="G282" i="107" s="1"/>
  <c r="E283" i="107"/>
  <c r="F283" i="107" s="1"/>
  <c r="G283" i="107" s="1"/>
  <c r="E284" i="107"/>
  <c r="F284" i="107" s="1"/>
  <c r="G284" i="107" s="1"/>
  <c r="E285" i="107"/>
  <c r="F285" i="107" s="1"/>
  <c r="G285" i="107" s="1"/>
  <c r="E286" i="107"/>
  <c r="F286" i="107" s="1"/>
  <c r="G286" i="107" s="1"/>
  <c r="E287" i="107"/>
  <c r="F287" i="107" s="1"/>
  <c r="G287" i="107" s="1"/>
  <c r="E288" i="107"/>
  <c r="F288" i="107" s="1"/>
  <c r="G288" i="107" s="1"/>
  <c r="E289" i="107"/>
  <c r="F289" i="107" s="1"/>
  <c r="G289" i="107" s="1"/>
  <c r="E290" i="107"/>
  <c r="F290" i="107" s="1"/>
  <c r="G290" i="107" s="1"/>
  <c r="E291" i="107"/>
  <c r="F291" i="107" s="1"/>
  <c r="G291" i="107" s="1"/>
  <c r="E292" i="107"/>
  <c r="F292" i="107" s="1"/>
  <c r="G292" i="107" s="1"/>
  <c r="E293" i="107"/>
  <c r="F293" i="107" s="1"/>
  <c r="G293" i="107" s="1"/>
  <c r="E294" i="107"/>
  <c r="F294" i="107" s="1"/>
  <c r="G294" i="107" s="1"/>
  <c r="E295" i="107"/>
  <c r="F295" i="107" s="1"/>
  <c r="G295" i="107" s="1"/>
  <c r="E296" i="107"/>
  <c r="F296" i="107" s="1"/>
  <c r="G296" i="107" s="1"/>
  <c r="E297" i="107"/>
  <c r="F297" i="107" s="1"/>
  <c r="G297" i="107" s="1"/>
  <c r="E298" i="107"/>
  <c r="F298" i="107" s="1"/>
  <c r="G298" i="107" s="1"/>
  <c r="E299" i="107"/>
  <c r="F299" i="107" s="1"/>
  <c r="G299" i="107" s="1"/>
  <c r="E300" i="107"/>
  <c r="F300" i="107" s="1"/>
  <c r="G300" i="107" s="1"/>
  <c r="E301" i="107"/>
  <c r="F301" i="107" s="1"/>
  <c r="G301" i="107" s="1"/>
  <c r="E302" i="107"/>
  <c r="F302" i="107" s="1"/>
  <c r="G302" i="107" s="1"/>
  <c r="E303" i="107"/>
  <c r="F303" i="107" s="1"/>
  <c r="G303" i="107" s="1"/>
  <c r="E304" i="107"/>
  <c r="F304" i="107" s="1"/>
  <c r="G304" i="107" s="1"/>
  <c r="E305" i="107"/>
  <c r="F305" i="107" s="1"/>
  <c r="G305" i="107" s="1"/>
  <c r="E306" i="107"/>
  <c r="F306" i="107" s="1"/>
  <c r="G306" i="107" s="1"/>
  <c r="E307" i="107"/>
  <c r="F307" i="107" s="1"/>
  <c r="G307" i="107" s="1"/>
  <c r="E308" i="107"/>
  <c r="F308" i="107" s="1"/>
  <c r="G308" i="107" s="1"/>
  <c r="E309" i="107"/>
  <c r="F309" i="107" s="1"/>
  <c r="G309" i="107" s="1"/>
  <c r="E310" i="107"/>
  <c r="F310" i="107" s="1"/>
  <c r="G310" i="107" s="1"/>
  <c r="E311" i="107"/>
  <c r="F311" i="107" s="1"/>
  <c r="G311" i="107" s="1"/>
  <c r="E312" i="107"/>
  <c r="F312" i="107" s="1"/>
  <c r="G312" i="107" s="1"/>
  <c r="E313" i="107"/>
  <c r="F313" i="107" s="1"/>
  <c r="G313" i="107" s="1"/>
  <c r="E314" i="107"/>
  <c r="F314" i="107" s="1"/>
  <c r="G314" i="107" s="1"/>
  <c r="E315" i="107"/>
  <c r="F315" i="107" s="1"/>
  <c r="G315" i="107" s="1"/>
  <c r="E316" i="107"/>
  <c r="F316" i="107" s="1"/>
  <c r="G316" i="107" s="1"/>
  <c r="E317" i="107"/>
  <c r="F317" i="107" s="1"/>
  <c r="G317" i="107" s="1"/>
  <c r="E318" i="107"/>
  <c r="F318" i="107" s="1"/>
  <c r="G318" i="107" s="1"/>
  <c r="E319" i="107"/>
  <c r="F319" i="107" s="1"/>
  <c r="G319" i="107" s="1"/>
  <c r="E320" i="107"/>
  <c r="F320" i="107" s="1"/>
  <c r="G320" i="107" s="1"/>
  <c r="E321" i="107"/>
  <c r="F321" i="107" s="1"/>
  <c r="G321" i="107" s="1"/>
  <c r="E322" i="107"/>
  <c r="F322" i="107" s="1"/>
  <c r="G322" i="107" s="1"/>
  <c r="E323" i="107"/>
  <c r="F323" i="107" s="1"/>
  <c r="G323" i="107" s="1"/>
  <c r="E324" i="107"/>
  <c r="F324" i="107" s="1"/>
  <c r="G324" i="107" s="1"/>
  <c r="E325" i="107"/>
  <c r="F325" i="107" s="1"/>
  <c r="G325" i="107" s="1"/>
  <c r="E326" i="107"/>
  <c r="F326" i="107" s="1"/>
  <c r="G326" i="107" s="1"/>
  <c r="E327" i="107"/>
  <c r="F327" i="107" s="1"/>
  <c r="G327" i="107" s="1"/>
  <c r="E328" i="107"/>
  <c r="F328" i="107" s="1"/>
  <c r="G328" i="107" s="1"/>
  <c r="E329" i="107"/>
  <c r="F329" i="107" s="1"/>
  <c r="G329" i="107" s="1"/>
  <c r="E330" i="107"/>
  <c r="F330" i="107" s="1"/>
  <c r="G330" i="107" s="1"/>
  <c r="E331" i="107"/>
  <c r="F331" i="107" s="1"/>
  <c r="G331" i="107" s="1"/>
  <c r="E332" i="107"/>
  <c r="F332" i="107" s="1"/>
  <c r="G332" i="107" s="1"/>
  <c r="E333" i="107"/>
  <c r="F333" i="107" s="1"/>
  <c r="G333" i="107" s="1"/>
  <c r="E334" i="107"/>
  <c r="F334" i="107" s="1"/>
  <c r="G334" i="107" s="1"/>
  <c r="E335" i="107"/>
  <c r="F335" i="107" s="1"/>
  <c r="G335" i="107" s="1"/>
  <c r="E336" i="107"/>
  <c r="F336" i="107" s="1"/>
  <c r="G336" i="107" s="1"/>
  <c r="E337" i="107"/>
  <c r="F337" i="107" s="1"/>
  <c r="G337" i="107" s="1"/>
  <c r="E338" i="107"/>
  <c r="F338" i="107" s="1"/>
  <c r="G338" i="107" s="1"/>
  <c r="E339" i="107"/>
  <c r="F339" i="107" s="1"/>
  <c r="G339" i="107" s="1"/>
  <c r="E340" i="107"/>
  <c r="F340" i="107" s="1"/>
  <c r="G340" i="107" s="1"/>
  <c r="E341" i="107"/>
  <c r="F341" i="107" s="1"/>
  <c r="G341" i="107" s="1"/>
  <c r="E342" i="107"/>
  <c r="F342" i="107" s="1"/>
  <c r="G342" i="107" s="1"/>
  <c r="E343" i="107"/>
  <c r="F343" i="107" s="1"/>
  <c r="G343" i="107" s="1"/>
  <c r="E344" i="107"/>
  <c r="F344" i="107" s="1"/>
  <c r="G344" i="107" s="1"/>
  <c r="E345" i="107"/>
  <c r="F345" i="107" s="1"/>
  <c r="G345" i="107" s="1"/>
  <c r="E346" i="107"/>
  <c r="F346" i="107" s="1"/>
  <c r="G346" i="107" s="1"/>
  <c r="E347" i="107"/>
  <c r="F347" i="107" s="1"/>
  <c r="G347" i="107" s="1"/>
  <c r="E348" i="107"/>
  <c r="F348" i="107" s="1"/>
  <c r="G348" i="107" s="1"/>
  <c r="E349" i="107"/>
  <c r="F349" i="107" s="1"/>
  <c r="G349" i="107" s="1"/>
  <c r="E350" i="107"/>
  <c r="F350" i="107" s="1"/>
  <c r="G350" i="107" s="1"/>
  <c r="E351" i="107"/>
  <c r="F351" i="107" s="1"/>
  <c r="G351" i="107" s="1"/>
  <c r="E352" i="107"/>
  <c r="F352" i="107" s="1"/>
  <c r="G352" i="107" s="1"/>
  <c r="E353" i="107"/>
  <c r="F353" i="107" s="1"/>
  <c r="G353" i="107" s="1"/>
  <c r="E354" i="107"/>
  <c r="F354" i="107" s="1"/>
  <c r="G354" i="107" s="1"/>
  <c r="E355" i="107"/>
  <c r="F355" i="107" s="1"/>
  <c r="G355" i="107" s="1"/>
  <c r="E356" i="107"/>
  <c r="F356" i="107" s="1"/>
  <c r="G356" i="107" s="1"/>
  <c r="E357" i="107"/>
  <c r="F357" i="107" s="1"/>
  <c r="G357" i="107" s="1"/>
  <c r="E358" i="107"/>
  <c r="F358" i="107" s="1"/>
  <c r="G358" i="107" s="1"/>
  <c r="E359" i="107"/>
  <c r="F359" i="107" s="1"/>
  <c r="G359" i="107" s="1"/>
  <c r="E360" i="107"/>
  <c r="F360" i="107" s="1"/>
  <c r="G360" i="107" s="1"/>
  <c r="E361" i="107"/>
  <c r="F361" i="107" s="1"/>
  <c r="G361" i="107" s="1"/>
  <c r="E362" i="107"/>
  <c r="F362" i="107" s="1"/>
  <c r="G362" i="107" s="1"/>
  <c r="E363" i="107"/>
  <c r="F363" i="107" s="1"/>
  <c r="G363" i="107" s="1"/>
  <c r="E364" i="107"/>
  <c r="F364" i="107" s="1"/>
  <c r="G364" i="107" s="1"/>
  <c r="E365" i="107"/>
  <c r="F365" i="107" s="1"/>
  <c r="G365" i="107" s="1"/>
  <c r="E366" i="107"/>
  <c r="F366" i="107" s="1"/>
  <c r="G366" i="107" s="1"/>
  <c r="E367" i="107"/>
  <c r="F367" i="107" s="1"/>
  <c r="G367" i="107" s="1"/>
  <c r="E368" i="107"/>
  <c r="F368" i="107" s="1"/>
  <c r="G368" i="107" s="1"/>
  <c r="E369" i="107"/>
  <c r="F369" i="107" s="1"/>
  <c r="G369" i="107" s="1"/>
  <c r="E370" i="107"/>
  <c r="F370" i="107" s="1"/>
  <c r="G370" i="107" s="1"/>
  <c r="E371" i="107"/>
  <c r="F371" i="107" s="1"/>
  <c r="G371" i="107" s="1"/>
  <c r="E372" i="107"/>
  <c r="F372" i="107" s="1"/>
  <c r="G372" i="107" s="1"/>
  <c r="E373" i="107"/>
  <c r="F373" i="107" s="1"/>
  <c r="G373" i="107" s="1"/>
  <c r="E374" i="107"/>
  <c r="F374" i="107" s="1"/>
  <c r="G374" i="107" s="1"/>
  <c r="E375" i="107"/>
  <c r="F375" i="107" s="1"/>
  <c r="G375" i="107" s="1"/>
  <c r="E376" i="107"/>
  <c r="F376" i="107" s="1"/>
  <c r="G376" i="107" s="1"/>
  <c r="E377" i="107"/>
  <c r="F377" i="107" s="1"/>
  <c r="G377" i="107" s="1"/>
  <c r="E378" i="107"/>
  <c r="F378" i="107" s="1"/>
  <c r="G378" i="107" s="1"/>
  <c r="E379" i="107"/>
  <c r="F379" i="107" s="1"/>
  <c r="G379" i="107" s="1"/>
  <c r="E380" i="107"/>
  <c r="F380" i="107" s="1"/>
  <c r="G380" i="107" s="1"/>
  <c r="E381" i="107"/>
  <c r="F381" i="107" s="1"/>
  <c r="G381" i="107" s="1"/>
  <c r="E382" i="107"/>
  <c r="F382" i="107" s="1"/>
  <c r="G382" i="107" s="1"/>
  <c r="E383" i="107"/>
  <c r="F383" i="107" s="1"/>
  <c r="G383" i="107" s="1"/>
  <c r="E384" i="107"/>
  <c r="F384" i="107" s="1"/>
  <c r="G384" i="107" s="1"/>
  <c r="E385" i="107"/>
  <c r="F385" i="107" s="1"/>
  <c r="G385" i="107" s="1"/>
  <c r="E386" i="107"/>
  <c r="F386" i="107" s="1"/>
  <c r="G386" i="107" s="1"/>
  <c r="E387" i="107"/>
  <c r="F387" i="107" s="1"/>
  <c r="G387" i="107" s="1"/>
  <c r="E388" i="107"/>
  <c r="F388" i="107" s="1"/>
  <c r="G388" i="107" s="1"/>
  <c r="E389" i="107"/>
  <c r="F389" i="107" s="1"/>
  <c r="G389" i="107" s="1"/>
  <c r="E390" i="107"/>
  <c r="F390" i="107" s="1"/>
  <c r="G390" i="107" s="1"/>
  <c r="E391" i="107"/>
  <c r="F391" i="107" s="1"/>
  <c r="G391" i="107" s="1"/>
  <c r="E392" i="107"/>
  <c r="F392" i="107" s="1"/>
  <c r="G392" i="107" s="1"/>
  <c r="E393" i="107"/>
  <c r="F393" i="107" s="1"/>
  <c r="G393" i="107" s="1"/>
  <c r="E394" i="107"/>
  <c r="F394" i="107" s="1"/>
  <c r="G394" i="107" s="1"/>
  <c r="E395" i="107"/>
  <c r="F395" i="107" s="1"/>
  <c r="G395" i="107" s="1"/>
  <c r="E396" i="107"/>
  <c r="F396" i="107" s="1"/>
  <c r="G396" i="107" s="1"/>
  <c r="E397" i="107"/>
  <c r="F397" i="107" s="1"/>
  <c r="G397" i="107" s="1"/>
  <c r="E398" i="107"/>
  <c r="F398" i="107" s="1"/>
  <c r="G398" i="107" s="1"/>
  <c r="E399" i="107"/>
  <c r="F399" i="107" s="1"/>
  <c r="G399" i="107" s="1"/>
  <c r="E400" i="107"/>
  <c r="F400" i="107" s="1"/>
  <c r="G400" i="107" s="1"/>
  <c r="E401" i="107"/>
  <c r="F401" i="107" s="1"/>
  <c r="G401" i="107" s="1"/>
  <c r="E402" i="107"/>
  <c r="F402" i="107" s="1"/>
  <c r="G402" i="107" s="1"/>
  <c r="E403" i="107"/>
  <c r="F403" i="107" s="1"/>
  <c r="G403" i="107" s="1"/>
  <c r="E404" i="107"/>
  <c r="F404" i="107" s="1"/>
  <c r="G404" i="107" s="1"/>
  <c r="E405" i="107"/>
  <c r="F405" i="107" s="1"/>
  <c r="G405" i="107" s="1"/>
  <c r="E406" i="107"/>
  <c r="F406" i="107" s="1"/>
  <c r="G406" i="107" s="1"/>
  <c r="E407" i="107"/>
  <c r="F407" i="107" s="1"/>
  <c r="G407" i="107" s="1"/>
  <c r="E408" i="107"/>
  <c r="F408" i="107" s="1"/>
  <c r="G408" i="107" s="1"/>
  <c r="E409" i="107"/>
  <c r="F409" i="107" s="1"/>
  <c r="G409" i="107" s="1"/>
  <c r="E410" i="107"/>
  <c r="F410" i="107" s="1"/>
  <c r="G410" i="107" s="1"/>
  <c r="E411" i="107"/>
  <c r="F411" i="107" s="1"/>
  <c r="G411" i="107" s="1"/>
  <c r="E412" i="107"/>
  <c r="F412" i="107" s="1"/>
  <c r="G412" i="107" s="1"/>
  <c r="E413" i="107"/>
  <c r="F413" i="107" s="1"/>
  <c r="G413" i="107" s="1"/>
  <c r="E414" i="107"/>
  <c r="F414" i="107" s="1"/>
  <c r="G414" i="107" s="1"/>
  <c r="E415" i="107"/>
  <c r="F415" i="107" s="1"/>
  <c r="G415" i="107" s="1"/>
  <c r="E416" i="107"/>
  <c r="F416" i="107" s="1"/>
  <c r="G416" i="107" s="1"/>
  <c r="E417" i="107"/>
  <c r="F417" i="107" s="1"/>
  <c r="G417" i="107" s="1"/>
  <c r="E418" i="107"/>
  <c r="F418" i="107" s="1"/>
  <c r="G418" i="107" s="1"/>
  <c r="E419" i="107"/>
  <c r="F419" i="107" s="1"/>
  <c r="G419" i="107" s="1"/>
  <c r="E420" i="107"/>
  <c r="F420" i="107" s="1"/>
  <c r="G420" i="107" s="1"/>
  <c r="E421" i="107"/>
  <c r="F421" i="107" s="1"/>
  <c r="G421" i="107" s="1"/>
  <c r="E422" i="107"/>
  <c r="F422" i="107" s="1"/>
  <c r="G422" i="107" s="1"/>
  <c r="E423" i="107"/>
  <c r="F423" i="107" s="1"/>
  <c r="G423" i="107" s="1"/>
  <c r="E424" i="107"/>
  <c r="F424" i="107" s="1"/>
  <c r="G424" i="107" s="1"/>
  <c r="E425" i="107"/>
  <c r="F425" i="107" s="1"/>
  <c r="G425" i="107" s="1"/>
  <c r="E426" i="107"/>
  <c r="F426" i="107" s="1"/>
  <c r="G426" i="107" s="1"/>
  <c r="E427" i="107"/>
  <c r="F427" i="107" s="1"/>
  <c r="G427" i="107" s="1"/>
  <c r="E428" i="107"/>
  <c r="F428" i="107" s="1"/>
  <c r="G428" i="107" s="1"/>
  <c r="E429" i="107"/>
  <c r="F429" i="107" s="1"/>
  <c r="G429" i="107" s="1"/>
  <c r="E430" i="107"/>
  <c r="F430" i="107" s="1"/>
  <c r="G430" i="107" s="1"/>
  <c r="E431" i="107"/>
  <c r="F431" i="107" s="1"/>
  <c r="G431" i="107" s="1"/>
  <c r="E432" i="107"/>
  <c r="F432" i="107" s="1"/>
  <c r="G432" i="107" s="1"/>
  <c r="E433" i="107"/>
  <c r="F433" i="107" s="1"/>
  <c r="G433" i="107" s="1"/>
  <c r="E434" i="107"/>
  <c r="F434" i="107" s="1"/>
  <c r="G434" i="107" s="1"/>
  <c r="E435" i="107"/>
  <c r="F435" i="107" s="1"/>
  <c r="G435" i="107" s="1"/>
  <c r="E436" i="107"/>
  <c r="F436" i="107" s="1"/>
  <c r="G436" i="107" s="1"/>
  <c r="E437" i="107"/>
  <c r="F437" i="107" s="1"/>
  <c r="G437" i="107" s="1"/>
  <c r="E438" i="107"/>
  <c r="F438" i="107" s="1"/>
  <c r="G438" i="107" s="1"/>
  <c r="E439" i="107"/>
  <c r="F439" i="107" s="1"/>
  <c r="G439" i="107" s="1"/>
  <c r="E440" i="107"/>
  <c r="F440" i="107" s="1"/>
  <c r="G440" i="107" s="1"/>
  <c r="E441" i="107"/>
  <c r="F441" i="107" s="1"/>
  <c r="G441" i="107" s="1"/>
  <c r="E442" i="107"/>
  <c r="F442" i="107" s="1"/>
  <c r="G442" i="107" s="1"/>
  <c r="E443" i="107"/>
  <c r="F443" i="107" s="1"/>
  <c r="G443" i="107" s="1"/>
  <c r="E444" i="107"/>
  <c r="F444" i="107" s="1"/>
  <c r="G444" i="107" s="1"/>
  <c r="E445" i="107"/>
  <c r="F445" i="107" s="1"/>
  <c r="G445" i="107" s="1"/>
  <c r="E446" i="107"/>
  <c r="F446" i="107" s="1"/>
  <c r="G446" i="107" s="1"/>
  <c r="E447" i="107"/>
  <c r="F447" i="107" s="1"/>
  <c r="G447" i="107" s="1"/>
  <c r="E448" i="107"/>
  <c r="F448" i="107" s="1"/>
  <c r="G448" i="107" s="1"/>
  <c r="E449" i="107"/>
  <c r="F449" i="107" s="1"/>
  <c r="G449" i="107" s="1"/>
  <c r="E450" i="107"/>
  <c r="F450" i="107" s="1"/>
  <c r="G450" i="107" s="1"/>
  <c r="E451" i="107"/>
  <c r="F451" i="107" s="1"/>
  <c r="G451" i="107" s="1"/>
  <c r="E452" i="107"/>
  <c r="F452" i="107" s="1"/>
  <c r="G452" i="107" s="1"/>
  <c r="E453" i="107"/>
  <c r="F453" i="107" s="1"/>
  <c r="G453" i="107" s="1"/>
  <c r="E454" i="107"/>
  <c r="F454" i="107" s="1"/>
  <c r="G454" i="107" s="1"/>
  <c r="E455" i="107"/>
  <c r="F455" i="107" s="1"/>
  <c r="G455" i="107" s="1"/>
  <c r="E456" i="107"/>
  <c r="F456" i="107" s="1"/>
  <c r="G456" i="107" s="1"/>
  <c r="E457" i="107"/>
  <c r="F457" i="107" s="1"/>
  <c r="G457" i="107" s="1"/>
  <c r="E458" i="107"/>
  <c r="F458" i="107" s="1"/>
  <c r="G458" i="107" s="1"/>
  <c r="E459" i="107"/>
  <c r="F459" i="107" s="1"/>
  <c r="G459" i="107" s="1"/>
  <c r="E460" i="107"/>
  <c r="F460" i="107" s="1"/>
  <c r="G460" i="107" s="1"/>
  <c r="E461" i="107"/>
  <c r="F461" i="107" s="1"/>
  <c r="G461" i="107" s="1"/>
  <c r="E462" i="107"/>
  <c r="F462" i="107" s="1"/>
  <c r="G462" i="107" s="1"/>
  <c r="E463" i="107"/>
  <c r="F463" i="107" s="1"/>
  <c r="G463" i="107" s="1"/>
  <c r="E464" i="107"/>
  <c r="F464" i="107" s="1"/>
  <c r="G464" i="107" s="1"/>
  <c r="E465" i="107"/>
  <c r="F465" i="107" s="1"/>
  <c r="G465" i="107" s="1"/>
  <c r="E466" i="107"/>
  <c r="F466" i="107" s="1"/>
  <c r="G466" i="107" s="1"/>
  <c r="E467" i="107"/>
  <c r="F467" i="107" s="1"/>
  <c r="G467" i="107" s="1"/>
  <c r="E468" i="107"/>
  <c r="F468" i="107" s="1"/>
  <c r="G468" i="107" s="1"/>
  <c r="E469" i="107"/>
  <c r="F469" i="107" s="1"/>
  <c r="G469" i="107" s="1"/>
  <c r="E470" i="107"/>
  <c r="F470" i="107" s="1"/>
  <c r="G470" i="107" s="1"/>
  <c r="E471" i="107"/>
  <c r="F471" i="107" s="1"/>
  <c r="G471" i="107" s="1"/>
  <c r="E472" i="107"/>
  <c r="F472" i="107" s="1"/>
  <c r="G472" i="107" s="1"/>
  <c r="E473" i="107"/>
  <c r="F473" i="107" s="1"/>
  <c r="G473" i="107" s="1"/>
  <c r="E474" i="107"/>
  <c r="F474" i="107" s="1"/>
  <c r="G474" i="107" s="1"/>
  <c r="E475" i="107"/>
  <c r="F475" i="107" s="1"/>
  <c r="G475" i="107" s="1"/>
  <c r="E476" i="107"/>
  <c r="F476" i="107" s="1"/>
  <c r="G476" i="107" s="1"/>
  <c r="E477" i="107"/>
  <c r="F477" i="107" s="1"/>
  <c r="G477" i="107" s="1"/>
  <c r="E478" i="107"/>
  <c r="F478" i="107" s="1"/>
  <c r="G478" i="107" s="1"/>
  <c r="E479" i="107"/>
  <c r="F479" i="107" s="1"/>
  <c r="G479" i="107" s="1"/>
  <c r="E480" i="107"/>
  <c r="F480" i="107" s="1"/>
  <c r="G480" i="107" s="1"/>
  <c r="E481" i="107"/>
  <c r="F481" i="107" s="1"/>
  <c r="G481" i="107" s="1"/>
  <c r="E482" i="107"/>
  <c r="F482" i="107" s="1"/>
  <c r="G482" i="107" s="1"/>
  <c r="E483" i="107"/>
  <c r="F483" i="107" s="1"/>
  <c r="G483" i="107" s="1"/>
  <c r="E484" i="107"/>
  <c r="F484" i="107" s="1"/>
  <c r="G484" i="107" s="1"/>
  <c r="E485" i="107"/>
  <c r="F485" i="107" s="1"/>
  <c r="G485" i="107" s="1"/>
  <c r="E486" i="107"/>
  <c r="F486" i="107" s="1"/>
  <c r="G486" i="107" s="1"/>
  <c r="E487" i="107"/>
  <c r="F487" i="107" s="1"/>
  <c r="G487" i="107" s="1"/>
  <c r="E488" i="107"/>
  <c r="F488" i="107" s="1"/>
  <c r="G488" i="107" s="1"/>
  <c r="E489" i="107"/>
  <c r="F489" i="107" s="1"/>
  <c r="G489" i="107" s="1"/>
  <c r="E490" i="107"/>
  <c r="F490" i="107" s="1"/>
  <c r="G490" i="107" s="1"/>
  <c r="E491" i="107"/>
  <c r="F491" i="107" s="1"/>
  <c r="G491" i="107" s="1"/>
  <c r="E492" i="107"/>
  <c r="F492" i="107" s="1"/>
  <c r="G492" i="107" s="1"/>
  <c r="E493" i="107"/>
  <c r="F493" i="107" s="1"/>
  <c r="G493" i="107" s="1"/>
  <c r="E494" i="107"/>
  <c r="F494" i="107" s="1"/>
  <c r="G494" i="107" s="1"/>
  <c r="E495" i="107"/>
  <c r="F495" i="107" s="1"/>
  <c r="G495" i="107" s="1"/>
  <c r="E496" i="107"/>
  <c r="F496" i="107" s="1"/>
  <c r="G496" i="107" s="1"/>
  <c r="E497" i="107"/>
  <c r="F497" i="107" s="1"/>
  <c r="G497" i="107" s="1"/>
  <c r="E498" i="107"/>
  <c r="F498" i="107" s="1"/>
  <c r="G498" i="107" s="1"/>
  <c r="E499" i="107"/>
  <c r="F499" i="107" s="1"/>
  <c r="G499" i="107" s="1"/>
  <c r="E500" i="107"/>
  <c r="F500" i="107" s="1"/>
  <c r="G500" i="107" s="1"/>
  <c r="E501" i="107"/>
  <c r="F501" i="107" s="1"/>
  <c r="G501" i="107" s="1"/>
  <c r="E502" i="107"/>
  <c r="F502" i="107" s="1"/>
  <c r="G502" i="107" s="1"/>
  <c r="E503" i="107"/>
  <c r="F503" i="107" s="1"/>
  <c r="G503" i="107" s="1"/>
  <c r="E504" i="107"/>
  <c r="F504" i="107" s="1"/>
  <c r="G504" i="107" s="1"/>
  <c r="E505" i="107"/>
  <c r="F505" i="107" s="1"/>
  <c r="G505" i="107" s="1"/>
  <c r="E506" i="107"/>
  <c r="F506" i="107" s="1"/>
  <c r="G506" i="107" s="1"/>
  <c r="E507" i="107"/>
  <c r="F507" i="107" s="1"/>
  <c r="G507" i="107" s="1"/>
  <c r="E508" i="107"/>
  <c r="F508" i="107" s="1"/>
  <c r="G508" i="107" s="1"/>
  <c r="E509" i="107"/>
  <c r="F509" i="107" s="1"/>
  <c r="G509" i="107" s="1"/>
  <c r="E510" i="107"/>
  <c r="F510" i="107" s="1"/>
  <c r="G510" i="107" s="1"/>
  <c r="E511" i="107"/>
  <c r="F511" i="107" s="1"/>
  <c r="G511" i="107" s="1"/>
  <c r="E512" i="107"/>
  <c r="F512" i="107" s="1"/>
  <c r="G512" i="107" s="1"/>
  <c r="E513" i="107"/>
  <c r="F513" i="107" s="1"/>
  <c r="G513" i="107" s="1"/>
  <c r="E514" i="107"/>
  <c r="F514" i="107" s="1"/>
  <c r="G514" i="107" s="1"/>
  <c r="E515" i="107"/>
  <c r="F515" i="107" s="1"/>
  <c r="G515" i="107" s="1"/>
  <c r="E516" i="107"/>
  <c r="F516" i="107" s="1"/>
  <c r="G516" i="107" s="1"/>
  <c r="E517" i="107"/>
  <c r="F517" i="107" s="1"/>
  <c r="G517" i="107" s="1"/>
  <c r="E518" i="107"/>
  <c r="F518" i="107" s="1"/>
  <c r="G518" i="107" s="1"/>
  <c r="E519" i="107"/>
  <c r="F519" i="107" s="1"/>
  <c r="G519" i="107" s="1"/>
  <c r="E520" i="107"/>
  <c r="F520" i="107" s="1"/>
  <c r="G520" i="107" s="1"/>
  <c r="E521" i="107"/>
  <c r="F521" i="107" s="1"/>
  <c r="G521" i="107" s="1"/>
  <c r="E522" i="107"/>
  <c r="F522" i="107" s="1"/>
  <c r="G522" i="107" s="1"/>
  <c r="E523" i="107"/>
  <c r="F523" i="107" s="1"/>
  <c r="G523" i="107" s="1"/>
  <c r="E524" i="107"/>
  <c r="F524" i="107" s="1"/>
  <c r="G524" i="107" s="1"/>
  <c r="E525" i="107"/>
  <c r="F525" i="107" s="1"/>
  <c r="G525" i="107" s="1"/>
  <c r="E526" i="107"/>
  <c r="F526" i="107" s="1"/>
  <c r="G526" i="107" s="1"/>
  <c r="E527" i="107"/>
  <c r="F527" i="107" s="1"/>
  <c r="G527" i="107" s="1"/>
  <c r="E528" i="107"/>
  <c r="F528" i="107" s="1"/>
  <c r="G528" i="107" s="1"/>
  <c r="E529" i="107"/>
  <c r="F529" i="107" s="1"/>
  <c r="G529" i="107" s="1"/>
  <c r="E530" i="107"/>
  <c r="F530" i="107" s="1"/>
  <c r="G530" i="107" s="1"/>
  <c r="E531" i="107"/>
  <c r="F531" i="107" s="1"/>
  <c r="G531" i="107" s="1"/>
  <c r="E532" i="107"/>
  <c r="F532" i="107" s="1"/>
  <c r="G532" i="107" s="1"/>
  <c r="E533" i="107"/>
  <c r="F533" i="107" s="1"/>
  <c r="G533" i="107" s="1"/>
  <c r="E534" i="107"/>
  <c r="F534" i="107" s="1"/>
  <c r="G534" i="107" s="1"/>
  <c r="E535" i="107"/>
  <c r="F535" i="107" s="1"/>
  <c r="G535" i="107" s="1"/>
  <c r="E536" i="107"/>
  <c r="F536" i="107" s="1"/>
  <c r="G536" i="107" s="1"/>
  <c r="E537" i="107"/>
  <c r="F537" i="107" s="1"/>
  <c r="G537" i="107" s="1"/>
  <c r="E538" i="107"/>
  <c r="F538" i="107" s="1"/>
  <c r="G538" i="107" s="1"/>
  <c r="E539" i="107"/>
  <c r="F539" i="107" s="1"/>
  <c r="G539" i="107" s="1"/>
  <c r="E540" i="107"/>
  <c r="F540" i="107" s="1"/>
  <c r="G540" i="107" s="1"/>
  <c r="E541" i="107"/>
  <c r="F541" i="107" s="1"/>
  <c r="G541" i="107" s="1"/>
  <c r="E542" i="107"/>
  <c r="F542" i="107" s="1"/>
  <c r="G542" i="107" s="1"/>
  <c r="E543" i="107"/>
  <c r="F543" i="107" s="1"/>
  <c r="G543" i="107" s="1"/>
  <c r="E544" i="107"/>
  <c r="F544" i="107" s="1"/>
  <c r="G544" i="107" s="1"/>
  <c r="E545" i="107"/>
  <c r="F545" i="107" s="1"/>
  <c r="G545" i="107" s="1"/>
  <c r="E546" i="107"/>
  <c r="F546" i="107" s="1"/>
  <c r="G546" i="107" s="1"/>
  <c r="E547" i="107"/>
  <c r="F547" i="107" s="1"/>
  <c r="G547" i="107" s="1"/>
  <c r="E548" i="107"/>
  <c r="F548" i="107" s="1"/>
  <c r="G548" i="107" s="1"/>
  <c r="E549" i="107"/>
  <c r="F549" i="107" s="1"/>
  <c r="G549" i="107" s="1"/>
  <c r="E550" i="107"/>
  <c r="F550" i="107" s="1"/>
  <c r="G550" i="107" s="1"/>
  <c r="E551" i="107"/>
  <c r="F551" i="107" s="1"/>
  <c r="G551" i="107" s="1"/>
  <c r="E552" i="107"/>
  <c r="F552" i="107" s="1"/>
  <c r="G552" i="107" s="1"/>
  <c r="E553" i="107"/>
  <c r="F553" i="107" s="1"/>
  <c r="G553" i="107" s="1"/>
  <c r="E554" i="107"/>
  <c r="F554" i="107" s="1"/>
  <c r="G554" i="107" s="1"/>
  <c r="E555" i="107"/>
  <c r="F555" i="107" s="1"/>
  <c r="G555" i="107" s="1"/>
  <c r="E556" i="107"/>
  <c r="F556" i="107" s="1"/>
  <c r="G556" i="107" s="1"/>
  <c r="E557" i="107"/>
  <c r="F557" i="107" s="1"/>
  <c r="G557" i="107" s="1"/>
  <c r="E558" i="107"/>
  <c r="F558" i="107" s="1"/>
  <c r="G558" i="107" s="1"/>
  <c r="E559" i="107"/>
  <c r="F559" i="107" s="1"/>
  <c r="G559" i="107" s="1"/>
  <c r="E560" i="107"/>
  <c r="F560" i="107" s="1"/>
  <c r="G560" i="107" s="1"/>
  <c r="E561" i="107"/>
  <c r="F561" i="107" s="1"/>
  <c r="G561" i="107" s="1"/>
  <c r="E562" i="107"/>
  <c r="F562" i="107" s="1"/>
  <c r="G562" i="107" s="1"/>
  <c r="E563" i="107"/>
  <c r="F563" i="107" s="1"/>
  <c r="G563" i="107" s="1"/>
  <c r="E564" i="107"/>
  <c r="F564" i="107" s="1"/>
  <c r="G564" i="107" s="1"/>
  <c r="E565" i="107"/>
  <c r="F565" i="107" s="1"/>
  <c r="G565" i="107" s="1"/>
  <c r="E566" i="107"/>
  <c r="F566" i="107" s="1"/>
  <c r="G566" i="107" s="1"/>
  <c r="E567" i="107"/>
  <c r="F567" i="107" s="1"/>
  <c r="G567" i="107" s="1"/>
  <c r="E568" i="107"/>
  <c r="F568" i="107" s="1"/>
  <c r="G568" i="107" s="1"/>
  <c r="E569" i="107"/>
  <c r="F569" i="107" s="1"/>
  <c r="G569" i="107" s="1"/>
  <c r="E570" i="107"/>
  <c r="F570" i="107" s="1"/>
  <c r="G570" i="107" s="1"/>
  <c r="E571" i="107"/>
  <c r="F571" i="107" s="1"/>
  <c r="G571" i="107" s="1"/>
  <c r="E572" i="107"/>
  <c r="F572" i="107" s="1"/>
  <c r="G572" i="107" s="1"/>
  <c r="E573" i="107"/>
  <c r="F573" i="107" s="1"/>
  <c r="G573" i="107" s="1"/>
  <c r="E574" i="107"/>
  <c r="F574" i="107" s="1"/>
  <c r="G574" i="107" s="1"/>
  <c r="E575" i="107"/>
  <c r="F575" i="107" s="1"/>
  <c r="G575" i="107" s="1"/>
  <c r="E576" i="107"/>
  <c r="F576" i="107" s="1"/>
  <c r="G576" i="107" s="1"/>
  <c r="E577" i="107"/>
  <c r="F577" i="107" s="1"/>
  <c r="G577" i="107" s="1"/>
  <c r="E578" i="107"/>
  <c r="F578" i="107" s="1"/>
  <c r="G578" i="107" s="1"/>
  <c r="E579" i="107"/>
  <c r="F579" i="107" s="1"/>
  <c r="G579" i="107" s="1"/>
  <c r="E580" i="107"/>
  <c r="F580" i="107" s="1"/>
  <c r="G580" i="107" s="1"/>
  <c r="E581" i="107"/>
  <c r="F581" i="107" s="1"/>
  <c r="G581" i="107" s="1"/>
  <c r="E582" i="107"/>
  <c r="F582" i="107" s="1"/>
  <c r="G582" i="107" s="1"/>
  <c r="E583" i="107"/>
  <c r="F583" i="107" s="1"/>
  <c r="G583" i="107" s="1"/>
  <c r="E584" i="107"/>
  <c r="F584" i="107" s="1"/>
  <c r="G584" i="107" s="1"/>
  <c r="E585" i="107"/>
  <c r="F585" i="107" s="1"/>
  <c r="G585" i="107" s="1"/>
  <c r="E586" i="107"/>
  <c r="F586" i="107" s="1"/>
  <c r="G586" i="107" s="1"/>
  <c r="E587" i="107"/>
  <c r="F587" i="107" s="1"/>
  <c r="G587" i="107" s="1"/>
  <c r="E588" i="107"/>
  <c r="F588" i="107" s="1"/>
  <c r="G588" i="107" s="1"/>
  <c r="E589" i="107"/>
  <c r="F589" i="107" s="1"/>
  <c r="G589" i="107" s="1"/>
  <c r="E590" i="107"/>
  <c r="F590" i="107" s="1"/>
  <c r="G590" i="107" s="1"/>
  <c r="E591" i="107"/>
  <c r="F591" i="107" s="1"/>
  <c r="G591" i="107" s="1"/>
  <c r="E592" i="107"/>
  <c r="F592" i="107" s="1"/>
  <c r="G592" i="107" s="1"/>
  <c r="E593" i="107"/>
  <c r="F593" i="107" s="1"/>
  <c r="G593" i="107" s="1"/>
  <c r="E594" i="107"/>
  <c r="F594" i="107" s="1"/>
  <c r="G594" i="107" s="1"/>
  <c r="E595" i="107"/>
  <c r="F595" i="107" s="1"/>
  <c r="G595" i="107" s="1"/>
  <c r="E596" i="107"/>
  <c r="F596" i="107" s="1"/>
  <c r="G596" i="107" s="1"/>
  <c r="E597" i="107"/>
  <c r="F597" i="107" s="1"/>
  <c r="G597" i="107" s="1"/>
  <c r="E598" i="107"/>
  <c r="F598" i="107" s="1"/>
  <c r="G598" i="107" s="1"/>
  <c r="E599" i="107"/>
  <c r="F599" i="107" s="1"/>
  <c r="G599" i="107" s="1"/>
  <c r="E600" i="107"/>
  <c r="F600" i="107" s="1"/>
  <c r="G600" i="107" s="1"/>
  <c r="E601" i="107"/>
  <c r="F601" i="107" s="1"/>
  <c r="G601" i="107" s="1"/>
  <c r="E602" i="107"/>
  <c r="F602" i="107" s="1"/>
  <c r="G602" i="107" s="1"/>
  <c r="E603" i="107"/>
  <c r="F603" i="107" s="1"/>
  <c r="G603" i="107" s="1"/>
  <c r="E604" i="107"/>
  <c r="F604" i="107" s="1"/>
  <c r="G604" i="107" s="1"/>
  <c r="E605" i="107"/>
  <c r="F605" i="107" s="1"/>
  <c r="G605" i="107" s="1"/>
  <c r="E606" i="107"/>
  <c r="F606" i="107" s="1"/>
  <c r="G606" i="107" s="1"/>
  <c r="E607" i="107"/>
  <c r="F607" i="107" s="1"/>
  <c r="G607" i="107" s="1"/>
  <c r="E608" i="107"/>
  <c r="F608" i="107" s="1"/>
  <c r="G608" i="107" s="1"/>
  <c r="E609" i="107"/>
  <c r="F609" i="107" s="1"/>
  <c r="G609" i="107" s="1"/>
  <c r="E610" i="107"/>
  <c r="F610" i="107" s="1"/>
  <c r="G610" i="107" s="1"/>
  <c r="E11" i="107"/>
  <c r="F11" i="107" s="1"/>
  <c r="G11" i="107" s="1"/>
  <c r="H11" i="107"/>
  <c r="B610" i="107" l="1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2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AG11" i="107"/>
  <c r="AF11" i="107"/>
  <c r="AE11" i="107"/>
  <c r="AC11" i="107"/>
  <c r="B11" i="107"/>
  <c r="AG10" i="107"/>
  <c r="AF10" i="107"/>
  <c r="AE10" i="107"/>
  <c r="AC10" i="107"/>
  <c r="AF9" i="107"/>
  <c r="AE9" i="107"/>
  <c r="AC9" i="107"/>
  <c r="AG8" i="107"/>
  <c r="AF8" i="107"/>
  <c r="AE8" i="107"/>
  <c r="AC8" i="107"/>
  <c r="AG7" i="107"/>
  <c r="AF7" i="107"/>
  <c r="AE7" i="107"/>
  <c r="AC7" i="107"/>
  <c r="AG6" i="107"/>
  <c r="AF6" i="107"/>
  <c r="AE6" i="107"/>
  <c r="AC6" i="107"/>
  <c r="AI6" i="107" s="1"/>
  <c r="AG5" i="107"/>
  <c r="AF5" i="107"/>
  <c r="AE5" i="107"/>
  <c r="AC5" i="107"/>
  <c r="C5" i="107"/>
  <c r="AG4" i="107"/>
  <c r="AF4" i="107"/>
  <c r="AE4" i="107"/>
  <c r="AC4" i="107"/>
  <c r="AH7" i="107" l="1"/>
  <c r="AH9" i="107"/>
  <c r="AH11" i="107"/>
  <c r="AI7" i="107"/>
  <c r="AI11" i="107"/>
  <c r="AI5" i="107"/>
  <c r="AH6" i="107"/>
  <c r="AI9" i="107"/>
  <c r="AI10" i="107"/>
  <c r="AH5" i="107"/>
  <c r="AH8" i="107"/>
  <c r="AH4" i="107"/>
  <c r="AI8" i="107"/>
  <c r="AH10" i="107"/>
  <c r="AI4" i="107"/>
  <c r="AD9" i="106"/>
  <c r="C6" i="39" l="1"/>
  <c r="B8" i="39"/>
  <c r="AD11" i="106"/>
  <c r="AD10" i="106"/>
  <c r="AD8" i="106"/>
  <c r="AD7" i="106"/>
  <c r="AD6" i="106"/>
  <c r="AD5" i="106"/>
  <c r="AD4" i="106"/>
  <c r="AC4" i="106"/>
  <c r="AC5" i="106"/>
  <c r="AC6" i="106"/>
  <c r="AC7" i="106"/>
  <c r="AC8" i="106"/>
  <c r="AC9" i="106"/>
  <c r="AC10" i="106"/>
  <c r="AC11" i="106"/>
  <c r="AF11" i="106"/>
  <c r="AE11" i="106"/>
  <c r="AF10" i="106"/>
  <c r="AE10" i="106"/>
  <c r="AE9" i="106"/>
  <c r="AF8" i="106"/>
  <c r="AE8" i="106"/>
  <c r="AF7" i="106"/>
  <c r="AE7" i="106"/>
  <c r="AF6" i="106"/>
  <c r="AE6" i="106"/>
  <c r="AF5" i="106"/>
  <c r="AE5" i="106"/>
  <c r="AF4" i="106"/>
  <c r="AE4" i="106"/>
  <c r="AK11" i="107" l="1"/>
  <c r="AJ10" i="107"/>
  <c r="AL9" i="107"/>
  <c r="AK7" i="107"/>
  <c r="AL5" i="107"/>
  <c r="AL4" i="107"/>
  <c r="AK10" i="107"/>
  <c r="AK9" i="107"/>
  <c r="AK8" i="107"/>
  <c r="AL7" i="107"/>
  <c r="AL6" i="107"/>
  <c r="AK4" i="107"/>
  <c r="AJ8" i="107"/>
  <c r="AJ4" i="107"/>
  <c r="AJ9" i="107"/>
  <c r="AJ7" i="107"/>
  <c r="AK6" i="107"/>
  <c r="AL8" i="107"/>
  <c r="AJ5" i="107"/>
  <c r="AL11" i="107"/>
  <c r="AJ6" i="107"/>
  <c r="AK5" i="107"/>
  <c r="AJ11" i="107"/>
  <c r="AL10" i="107"/>
  <c r="AI11" i="106"/>
  <c r="AL11" i="106" s="1"/>
  <c r="AH11" i="106"/>
  <c r="AK11" i="106" s="1"/>
  <c r="AG11" i="106"/>
  <c r="AJ11" i="106" s="1"/>
  <c r="AG10" i="106"/>
  <c r="AJ10" i="106" s="1"/>
  <c r="AI9" i="106"/>
  <c r="AL9" i="106" s="1"/>
  <c r="AG9" i="106"/>
  <c r="AJ9" i="106" s="1"/>
  <c r="AH6" i="106"/>
  <c r="AK6" i="106" s="1"/>
  <c r="AH10" i="106"/>
  <c r="AK10" i="106" s="1"/>
  <c r="AI10" i="106"/>
  <c r="AL10" i="106" s="1"/>
  <c r="AH9" i="106"/>
  <c r="AK9" i="106" s="1"/>
  <c r="AG8" i="106"/>
  <c r="AJ8" i="106" s="1"/>
  <c r="AI8" i="106"/>
  <c r="AL8" i="106" s="1"/>
  <c r="AH8" i="106"/>
  <c r="AK8" i="106" s="1"/>
  <c r="AI7" i="106"/>
  <c r="AL7" i="106" s="1"/>
  <c r="AH7" i="106"/>
  <c r="AK7" i="106" s="1"/>
  <c r="AG7" i="106"/>
  <c r="AJ7" i="106" s="1"/>
  <c r="AI6" i="106"/>
  <c r="AL6" i="106" s="1"/>
  <c r="AG6" i="106"/>
  <c r="AJ6" i="106" s="1"/>
  <c r="AH5" i="106"/>
  <c r="AK5" i="106" s="1"/>
  <c r="AI5" i="106"/>
  <c r="AL5" i="106" s="1"/>
  <c r="AG5" i="106"/>
  <c r="AJ5" i="106" s="1"/>
  <c r="AI4" i="106"/>
  <c r="AL4" i="106" s="1"/>
  <c r="AG4" i="106"/>
  <c r="AJ4" i="106" s="1"/>
  <c r="AH4" i="106"/>
  <c r="AK4" i="106" s="1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4" i="106"/>
  <c r="E25" i="106"/>
  <c r="E26" i="106"/>
  <c r="E27" i="106"/>
  <c r="E28" i="106"/>
  <c r="E29" i="106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60" i="106"/>
  <c r="E61" i="106"/>
  <c r="E62" i="106"/>
  <c r="E63" i="106"/>
  <c r="E64" i="106"/>
  <c r="E65" i="106"/>
  <c r="E66" i="106"/>
  <c r="E67" i="106"/>
  <c r="E68" i="106"/>
  <c r="E69" i="106"/>
  <c r="E70" i="106"/>
  <c r="E71" i="106"/>
  <c r="E72" i="106"/>
  <c r="E73" i="106"/>
  <c r="E74" i="106"/>
  <c r="E75" i="106"/>
  <c r="E76" i="106"/>
  <c r="E77" i="106"/>
  <c r="E78" i="106"/>
  <c r="E79" i="106"/>
  <c r="E80" i="106"/>
  <c r="E81" i="106"/>
  <c r="E82" i="106"/>
  <c r="E83" i="106"/>
  <c r="E84" i="106"/>
  <c r="E85" i="106"/>
  <c r="E86" i="106"/>
  <c r="E87" i="106"/>
  <c r="E88" i="106"/>
  <c r="E89" i="106"/>
  <c r="E90" i="106"/>
  <c r="E91" i="106"/>
  <c r="E92" i="106"/>
  <c r="E93" i="106"/>
  <c r="E94" i="106"/>
  <c r="E95" i="106"/>
  <c r="E96" i="106"/>
  <c r="E97" i="106"/>
  <c r="E98" i="106"/>
  <c r="E99" i="106"/>
  <c r="E100" i="106"/>
  <c r="E101" i="106"/>
  <c r="E102" i="106"/>
  <c r="E103" i="106"/>
  <c r="E104" i="106"/>
  <c r="E105" i="106"/>
  <c r="E106" i="106"/>
  <c r="E107" i="106"/>
  <c r="E108" i="106"/>
  <c r="E109" i="106"/>
  <c r="E110" i="106"/>
  <c r="E111" i="106"/>
  <c r="E112" i="106"/>
  <c r="E113" i="106"/>
  <c r="E114" i="106"/>
  <c r="E115" i="106"/>
  <c r="E116" i="106"/>
  <c r="E117" i="106"/>
  <c r="E118" i="106"/>
  <c r="E119" i="106"/>
  <c r="E120" i="106"/>
  <c r="E121" i="106"/>
  <c r="E122" i="106"/>
  <c r="E123" i="106"/>
  <c r="E124" i="106"/>
  <c r="E125" i="106"/>
  <c r="E126" i="106"/>
  <c r="E127" i="106"/>
  <c r="E128" i="106"/>
  <c r="E129" i="106"/>
  <c r="E130" i="106"/>
  <c r="E131" i="106"/>
  <c r="E132" i="106"/>
  <c r="E133" i="106"/>
  <c r="E134" i="106"/>
  <c r="E135" i="106"/>
  <c r="E136" i="106"/>
  <c r="E137" i="106"/>
  <c r="E138" i="106"/>
  <c r="E139" i="106"/>
  <c r="E140" i="106"/>
  <c r="E141" i="106"/>
  <c r="E142" i="106"/>
  <c r="E143" i="106"/>
  <c r="E144" i="106"/>
  <c r="E145" i="106"/>
  <c r="E146" i="106"/>
  <c r="E147" i="106"/>
  <c r="E148" i="106"/>
  <c r="E149" i="106"/>
  <c r="E150" i="106"/>
  <c r="E151" i="106"/>
  <c r="E152" i="106"/>
  <c r="E153" i="106"/>
  <c r="E154" i="106"/>
  <c r="E155" i="106"/>
  <c r="E156" i="106"/>
  <c r="E157" i="106"/>
  <c r="E158" i="106"/>
  <c r="E159" i="106"/>
  <c r="E160" i="106"/>
  <c r="E161" i="106"/>
  <c r="E162" i="106"/>
  <c r="E163" i="106"/>
  <c r="E164" i="106"/>
  <c r="E165" i="106"/>
  <c r="E166" i="106"/>
  <c r="E167" i="106"/>
  <c r="E168" i="106"/>
  <c r="E169" i="106"/>
  <c r="E170" i="106"/>
  <c r="E171" i="106"/>
  <c r="E172" i="106"/>
  <c r="E173" i="106"/>
  <c r="E174" i="106"/>
  <c r="E175" i="106"/>
  <c r="E176" i="106"/>
  <c r="E177" i="106"/>
  <c r="E178" i="106"/>
  <c r="E179" i="106"/>
  <c r="E180" i="106"/>
  <c r="E181" i="106"/>
  <c r="E182" i="106"/>
  <c r="E183" i="106"/>
  <c r="E184" i="106"/>
  <c r="E185" i="106"/>
  <c r="E186" i="106"/>
  <c r="E187" i="106"/>
  <c r="E188" i="106"/>
  <c r="E189" i="106"/>
  <c r="E190" i="106"/>
  <c r="E191" i="106"/>
  <c r="E192" i="106"/>
  <c r="E193" i="106"/>
  <c r="E194" i="106"/>
  <c r="E195" i="106"/>
  <c r="E196" i="106"/>
  <c r="E197" i="106"/>
  <c r="E198" i="106"/>
  <c r="E199" i="106"/>
  <c r="E200" i="106"/>
  <c r="E201" i="106"/>
  <c r="E202" i="106"/>
  <c r="E203" i="106"/>
  <c r="E204" i="106"/>
  <c r="E205" i="106"/>
  <c r="E206" i="106"/>
  <c r="E207" i="106"/>
  <c r="E208" i="106"/>
  <c r="E209" i="106"/>
  <c r="E210" i="106"/>
  <c r="E211" i="106"/>
  <c r="E212" i="106"/>
  <c r="E213" i="106"/>
  <c r="E214" i="106"/>
  <c r="E215" i="106"/>
  <c r="E216" i="106"/>
  <c r="E217" i="106"/>
  <c r="E218" i="106"/>
  <c r="E219" i="106"/>
  <c r="E220" i="106"/>
  <c r="E221" i="106"/>
  <c r="E222" i="106"/>
  <c r="E223" i="106"/>
  <c r="E224" i="106"/>
  <c r="E225" i="106"/>
  <c r="E226" i="106"/>
  <c r="E227" i="106"/>
  <c r="E228" i="106"/>
  <c r="E229" i="106"/>
  <c r="E230" i="106"/>
  <c r="E231" i="106"/>
  <c r="E232" i="106"/>
  <c r="E233" i="106"/>
  <c r="E234" i="106"/>
  <c r="E235" i="106"/>
  <c r="E236" i="106"/>
  <c r="E237" i="106"/>
  <c r="E238" i="106"/>
  <c r="E239" i="106"/>
  <c r="E240" i="106"/>
  <c r="E241" i="106"/>
  <c r="E242" i="106"/>
  <c r="E243" i="106"/>
  <c r="E244" i="106"/>
  <c r="E245" i="106"/>
  <c r="E246" i="106"/>
  <c r="E247" i="106"/>
  <c r="E248" i="106"/>
  <c r="E249" i="106"/>
  <c r="E250" i="106"/>
  <c r="E251" i="106"/>
  <c r="E252" i="106"/>
  <c r="E253" i="106"/>
  <c r="E254" i="106"/>
  <c r="E255" i="106"/>
  <c r="E256" i="106"/>
  <c r="E257" i="106"/>
  <c r="E258" i="106"/>
  <c r="E259" i="106"/>
  <c r="E260" i="106"/>
  <c r="E261" i="106"/>
  <c r="E262" i="106"/>
  <c r="E263" i="106"/>
  <c r="E264" i="106"/>
  <c r="E265" i="106"/>
  <c r="E266" i="106"/>
  <c r="E267" i="106"/>
  <c r="E268" i="106"/>
  <c r="E269" i="106"/>
  <c r="E270" i="106"/>
  <c r="E271" i="106"/>
  <c r="E272" i="106"/>
  <c r="E273" i="106"/>
  <c r="E274" i="106"/>
  <c r="E275" i="106"/>
  <c r="E276" i="106"/>
  <c r="E277" i="106"/>
  <c r="E278" i="106"/>
  <c r="E279" i="106"/>
  <c r="E280" i="106"/>
  <c r="E281" i="106"/>
  <c r="E282" i="106"/>
  <c r="E283" i="106"/>
  <c r="E284" i="106"/>
  <c r="E285" i="106"/>
  <c r="E286" i="106"/>
  <c r="E287" i="106"/>
  <c r="E288" i="106"/>
  <c r="E289" i="106"/>
  <c r="E290" i="106"/>
  <c r="E291" i="106"/>
  <c r="E292" i="106"/>
  <c r="E293" i="106"/>
  <c r="E294" i="106"/>
  <c r="E295" i="106"/>
  <c r="E296" i="106"/>
  <c r="E297" i="106"/>
  <c r="E298" i="106"/>
  <c r="E299" i="106"/>
  <c r="E300" i="106"/>
  <c r="E301" i="106"/>
  <c r="E302" i="106"/>
  <c r="E303" i="106"/>
  <c r="E304" i="106"/>
  <c r="E305" i="106"/>
  <c r="E306" i="106"/>
  <c r="E307" i="106"/>
  <c r="E308" i="106"/>
  <c r="E309" i="106"/>
  <c r="E310" i="106"/>
  <c r="E311" i="106"/>
  <c r="E312" i="106"/>
  <c r="E313" i="106"/>
  <c r="E314" i="106"/>
  <c r="E315" i="106"/>
  <c r="E316" i="106"/>
  <c r="E317" i="106"/>
  <c r="E318" i="106"/>
  <c r="E319" i="106"/>
  <c r="E320" i="106"/>
  <c r="E321" i="106"/>
  <c r="E322" i="106"/>
  <c r="E323" i="106"/>
  <c r="E324" i="106"/>
  <c r="E325" i="106"/>
  <c r="E326" i="106"/>
  <c r="E327" i="106"/>
  <c r="E328" i="106"/>
  <c r="E329" i="106"/>
  <c r="E330" i="106"/>
  <c r="E331" i="106"/>
  <c r="E332" i="106"/>
  <c r="E333" i="106"/>
  <c r="E334" i="106"/>
  <c r="E335" i="106"/>
  <c r="E336" i="106"/>
  <c r="E337" i="106"/>
  <c r="E338" i="106"/>
  <c r="E339" i="106"/>
  <c r="E340" i="106"/>
  <c r="E341" i="106"/>
  <c r="E342" i="106"/>
  <c r="E343" i="106"/>
  <c r="E344" i="106"/>
  <c r="E345" i="106"/>
  <c r="E346" i="106"/>
  <c r="E347" i="106"/>
  <c r="E348" i="106"/>
  <c r="E349" i="106"/>
  <c r="E350" i="106"/>
  <c r="E351" i="106"/>
  <c r="E352" i="106"/>
  <c r="E353" i="106"/>
  <c r="E354" i="106"/>
  <c r="E355" i="106"/>
  <c r="E356" i="106"/>
  <c r="E357" i="106"/>
  <c r="E358" i="106"/>
  <c r="E359" i="106"/>
  <c r="E360" i="106"/>
  <c r="E361" i="106"/>
  <c r="E362" i="106"/>
  <c r="E363" i="106"/>
  <c r="E364" i="106"/>
  <c r="E365" i="106"/>
  <c r="E366" i="106"/>
  <c r="E367" i="106"/>
  <c r="E368" i="106"/>
  <c r="E369" i="106"/>
  <c r="E370" i="106"/>
  <c r="E371" i="106"/>
  <c r="E372" i="106"/>
  <c r="E373" i="106"/>
  <c r="E374" i="106"/>
  <c r="E375" i="106"/>
  <c r="E376" i="106"/>
  <c r="E377" i="106"/>
  <c r="E378" i="106"/>
  <c r="E379" i="106"/>
  <c r="E380" i="106"/>
  <c r="E381" i="106"/>
  <c r="E382" i="106"/>
  <c r="E383" i="106"/>
  <c r="E384" i="106"/>
  <c r="E385" i="106"/>
  <c r="E386" i="106"/>
  <c r="E387" i="106"/>
  <c r="E388" i="106"/>
  <c r="E389" i="106"/>
  <c r="E390" i="106"/>
  <c r="E391" i="106"/>
  <c r="E392" i="106"/>
  <c r="E393" i="106"/>
  <c r="E394" i="106"/>
  <c r="E395" i="106"/>
  <c r="E396" i="106"/>
  <c r="E397" i="106"/>
  <c r="E398" i="106"/>
  <c r="E399" i="106"/>
  <c r="E400" i="106"/>
  <c r="E401" i="106"/>
  <c r="E402" i="106"/>
  <c r="E403" i="106"/>
  <c r="E404" i="106"/>
  <c r="E405" i="106"/>
  <c r="E406" i="106"/>
  <c r="E407" i="106"/>
  <c r="E408" i="106"/>
  <c r="E409" i="106"/>
  <c r="E410" i="106"/>
  <c r="E411" i="106"/>
  <c r="E412" i="106"/>
  <c r="E413" i="106"/>
  <c r="E414" i="106"/>
  <c r="E415" i="106"/>
  <c r="E416" i="106"/>
  <c r="E417" i="106"/>
  <c r="E418" i="106"/>
  <c r="E419" i="106"/>
  <c r="E420" i="106"/>
  <c r="E421" i="106"/>
  <c r="E422" i="106"/>
  <c r="E423" i="106"/>
  <c r="E424" i="106"/>
  <c r="E425" i="106"/>
  <c r="E426" i="106"/>
  <c r="E427" i="106"/>
  <c r="E428" i="106"/>
  <c r="E429" i="106"/>
  <c r="E430" i="106"/>
  <c r="E431" i="106"/>
  <c r="E432" i="106"/>
  <c r="E433" i="106"/>
  <c r="E434" i="106"/>
  <c r="E435" i="106"/>
  <c r="E436" i="106"/>
  <c r="E437" i="106"/>
  <c r="E438" i="106"/>
  <c r="E439" i="106"/>
  <c r="E440" i="106"/>
  <c r="E441" i="106"/>
  <c r="E442" i="106"/>
  <c r="E443" i="106"/>
  <c r="E444" i="106"/>
  <c r="E445" i="106"/>
  <c r="E446" i="106"/>
  <c r="E447" i="106"/>
  <c r="E448" i="106"/>
  <c r="E449" i="106"/>
  <c r="E450" i="106"/>
  <c r="E451" i="106"/>
  <c r="E452" i="106"/>
  <c r="E453" i="106"/>
  <c r="E454" i="106"/>
  <c r="E455" i="106"/>
  <c r="E456" i="106"/>
  <c r="E457" i="106"/>
  <c r="E458" i="106"/>
  <c r="E459" i="106"/>
  <c r="E460" i="106"/>
  <c r="E461" i="106"/>
  <c r="E462" i="106"/>
  <c r="E463" i="106"/>
  <c r="E464" i="106"/>
  <c r="E465" i="106"/>
  <c r="E466" i="106"/>
  <c r="E467" i="106"/>
  <c r="E468" i="106"/>
  <c r="E469" i="106"/>
  <c r="E470" i="106"/>
  <c r="E471" i="106"/>
  <c r="E472" i="106"/>
  <c r="E473" i="106"/>
  <c r="E474" i="106"/>
  <c r="E475" i="106"/>
  <c r="E476" i="106"/>
  <c r="E477" i="106"/>
  <c r="E478" i="106"/>
  <c r="E479" i="106"/>
  <c r="E480" i="106"/>
  <c r="E481" i="106"/>
  <c r="E482" i="106"/>
  <c r="E483" i="106"/>
  <c r="E484" i="106"/>
  <c r="E485" i="106"/>
  <c r="E486" i="106"/>
  <c r="E487" i="106"/>
  <c r="E488" i="106"/>
  <c r="E489" i="106"/>
  <c r="E490" i="106"/>
  <c r="E491" i="106"/>
  <c r="E492" i="106"/>
  <c r="E493" i="106"/>
  <c r="E494" i="106"/>
  <c r="E495" i="106"/>
  <c r="E496" i="106"/>
  <c r="E497" i="106"/>
  <c r="E498" i="106"/>
  <c r="E499" i="106"/>
  <c r="E500" i="106"/>
  <c r="E501" i="106"/>
  <c r="E502" i="106"/>
  <c r="E503" i="106"/>
  <c r="E504" i="106"/>
  <c r="E505" i="106"/>
  <c r="E506" i="106"/>
  <c r="E507" i="106"/>
  <c r="E508" i="106"/>
  <c r="E509" i="106"/>
  <c r="E510" i="106"/>
  <c r="E511" i="106"/>
  <c r="E512" i="106"/>
  <c r="E513" i="106"/>
  <c r="E514" i="106"/>
  <c r="E515" i="106"/>
  <c r="E516" i="106"/>
  <c r="E517" i="106"/>
  <c r="E518" i="106"/>
  <c r="E519" i="106"/>
  <c r="E520" i="106"/>
  <c r="E521" i="106"/>
  <c r="E522" i="106"/>
  <c r="E523" i="106"/>
  <c r="E524" i="106"/>
  <c r="E525" i="106"/>
  <c r="E526" i="106"/>
  <c r="E527" i="106"/>
  <c r="E528" i="106"/>
  <c r="E529" i="106"/>
  <c r="E530" i="106"/>
  <c r="E531" i="106"/>
  <c r="E532" i="106"/>
  <c r="E533" i="106"/>
  <c r="E534" i="106"/>
  <c r="E535" i="106"/>
  <c r="E536" i="106"/>
  <c r="E537" i="106"/>
  <c r="E538" i="106"/>
  <c r="E539" i="106"/>
  <c r="E540" i="106"/>
  <c r="E541" i="106"/>
  <c r="E542" i="106"/>
  <c r="E543" i="106"/>
  <c r="E544" i="106"/>
  <c r="E545" i="106"/>
  <c r="E546" i="106"/>
  <c r="E547" i="106"/>
  <c r="E548" i="106"/>
  <c r="E549" i="106"/>
  <c r="E550" i="106"/>
  <c r="E551" i="106"/>
  <c r="E552" i="106"/>
  <c r="E553" i="106"/>
  <c r="E554" i="106"/>
  <c r="E555" i="106"/>
  <c r="E556" i="106"/>
  <c r="E557" i="106"/>
  <c r="E558" i="106"/>
  <c r="E559" i="106"/>
  <c r="E560" i="106"/>
  <c r="E561" i="106"/>
  <c r="E562" i="106"/>
  <c r="E563" i="106"/>
  <c r="E564" i="106"/>
  <c r="E565" i="106"/>
  <c r="E566" i="106"/>
  <c r="E567" i="106"/>
  <c r="E568" i="106"/>
  <c r="E569" i="106"/>
  <c r="E570" i="106"/>
  <c r="E571" i="106"/>
  <c r="E572" i="106"/>
  <c r="E573" i="106"/>
  <c r="E574" i="106"/>
  <c r="E575" i="106"/>
  <c r="E576" i="106"/>
  <c r="E577" i="106"/>
  <c r="E578" i="106"/>
  <c r="E579" i="106"/>
  <c r="E580" i="106"/>
  <c r="E581" i="106"/>
  <c r="E582" i="106"/>
  <c r="E583" i="106"/>
  <c r="E584" i="106"/>
  <c r="E585" i="106"/>
  <c r="E586" i="106"/>
  <c r="E587" i="106"/>
  <c r="E588" i="106"/>
  <c r="E589" i="106"/>
  <c r="E590" i="106"/>
  <c r="E591" i="106"/>
  <c r="E592" i="106"/>
  <c r="E593" i="106"/>
  <c r="E594" i="106"/>
  <c r="E595" i="106"/>
  <c r="E596" i="106"/>
  <c r="E597" i="106"/>
  <c r="E598" i="106"/>
  <c r="E599" i="106"/>
  <c r="E600" i="106"/>
  <c r="E601" i="106"/>
  <c r="E602" i="106"/>
  <c r="E603" i="106"/>
  <c r="E604" i="106"/>
  <c r="E605" i="106"/>
  <c r="E606" i="106"/>
  <c r="E607" i="106"/>
  <c r="E608" i="106"/>
  <c r="E609" i="106"/>
  <c r="E610" i="106"/>
  <c r="F11" i="106"/>
  <c r="C5" i="106"/>
  <c r="K6" i="106" l="1"/>
  <c r="K5" i="106"/>
  <c r="B12" i="106"/>
  <c r="F12" i="106" s="1"/>
  <c r="G12" i="106" s="1"/>
  <c r="B13" i="106"/>
  <c r="F13" i="106" s="1"/>
  <c r="G13" i="106" s="1"/>
  <c r="B14" i="106"/>
  <c r="F14" i="106" s="1"/>
  <c r="G14" i="106" s="1"/>
  <c r="B15" i="106"/>
  <c r="F15" i="106"/>
  <c r="G15" i="106" s="1"/>
  <c r="B16" i="106"/>
  <c r="F16" i="106" s="1"/>
  <c r="G16" i="106" s="1"/>
  <c r="B17" i="106"/>
  <c r="F17" i="106" s="1"/>
  <c r="G17" i="106" s="1"/>
  <c r="B18" i="106"/>
  <c r="F18" i="106" s="1"/>
  <c r="G18" i="106" s="1"/>
  <c r="B19" i="106"/>
  <c r="F19" i="106" s="1"/>
  <c r="G19" i="106" s="1"/>
  <c r="B20" i="106"/>
  <c r="F20" i="106" s="1"/>
  <c r="G20" i="106" s="1"/>
  <c r="B21" i="106"/>
  <c r="F21" i="106" s="1"/>
  <c r="G21" i="106" s="1"/>
  <c r="B22" i="106"/>
  <c r="F22" i="106" s="1"/>
  <c r="G22" i="106" s="1"/>
  <c r="B23" i="106"/>
  <c r="F23" i="106" s="1"/>
  <c r="G23" i="106" s="1"/>
  <c r="B24" i="106"/>
  <c r="F24" i="106" s="1"/>
  <c r="G24" i="106" s="1"/>
  <c r="B25" i="106"/>
  <c r="F25" i="106" s="1"/>
  <c r="G25" i="106" s="1"/>
  <c r="B26" i="106"/>
  <c r="F26" i="106" s="1"/>
  <c r="G26" i="106" s="1"/>
  <c r="B27" i="106"/>
  <c r="F27" i="106" s="1"/>
  <c r="G27" i="106" s="1"/>
  <c r="B28" i="106"/>
  <c r="F28" i="106" s="1"/>
  <c r="G28" i="106" s="1"/>
  <c r="B29" i="106"/>
  <c r="F29" i="106"/>
  <c r="G29" i="106" s="1"/>
  <c r="B30" i="106"/>
  <c r="F30" i="106" s="1"/>
  <c r="G30" i="106" s="1"/>
  <c r="B31" i="106"/>
  <c r="F31" i="106"/>
  <c r="G31" i="106" s="1"/>
  <c r="B32" i="106"/>
  <c r="F32" i="106" s="1"/>
  <c r="G32" i="106" s="1"/>
  <c r="B33" i="106"/>
  <c r="F33" i="106" s="1"/>
  <c r="G33" i="106" s="1"/>
  <c r="B34" i="106"/>
  <c r="F34" i="106" s="1"/>
  <c r="G34" i="106" s="1"/>
  <c r="B35" i="106"/>
  <c r="F35" i="106" s="1"/>
  <c r="G35" i="106" s="1"/>
  <c r="B36" i="106"/>
  <c r="F36" i="106" s="1"/>
  <c r="G36" i="106" s="1"/>
  <c r="B37" i="106"/>
  <c r="F37" i="106"/>
  <c r="G37" i="106" s="1"/>
  <c r="B38" i="106"/>
  <c r="F38" i="106" s="1"/>
  <c r="G38" i="106" s="1"/>
  <c r="B39" i="106"/>
  <c r="F39" i="106" s="1"/>
  <c r="G39" i="106" s="1"/>
  <c r="B40" i="106"/>
  <c r="F40" i="106" s="1"/>
  <c r="G40" i="106" s="1"/>
  <c r="B41" i="106"/>
  <c r="F41" i="106" s="1"/>
  <c r="G41" i="106" s="1"/>
  <c r="B42" i="106"/>
  <c r="F42" i="106" s="1"/>
  <c r="G42" i="106" s="1"/>
  <c r="B43" i="106"/>
  <c r="F43" i="106" s="1"/>
  <c r="G43" i="106" s="1"/>
  <c r="B44" i="106"/>
  <c r="F44" i="106" s="1"/>
  <c r="G44" i="106" s="1"/>
  <c r="B45" i="106"/>
  <c r="F45" i="106"/>
  <c r="G45" i="106" s="1"/>
  <c r="B46" i="106"/>
  <c r="F46" i="106" s="1"/>
  <c r="G46" i="106" s="1"/>
  <c r="B47" i="106"/>
  <c r="F47" i="106" s="1"/>
  <c r="G47" i="106" s="1"/>
  <c r="B48" i="106"/>
  <c r="F48" i="106" s="1"/>
  <c r="G48" i="106" s="1"/>
  <c r="B49" i="106"/>
  <c r="F49" i="106" s="1"/>
  <c r="G49" i="106" s="1"/>
  <c r="B50" i="106"/>
  <c r="F50" i="106" s="1"/>
  <c r="G50" i="106" s="1"/>
  <c r="B51" i="106"/>
  <c r="F51" i="106" s="1"/>
  <c r="G51" i="106" s="1"/>
  <c r="B52" i="106"/>
  <c r="F52" i="106" s="1"/>
  <c r="G52" i="106" s="1"/>
  <c r="B53" i="106"/>
  <c r="F53" i="106"/>
  <c r="G53" i="106" s="1"/>
  <c r="B54" i="106"/>
  <c r="F54" i="106" s="1"/>
  <c r="G54" i="106" s="1"/>
  <c r="B55" i="106"/>
  <c r="F55" i="106" s="1"/>
  <c r="G55" i="106" s="1"/>
  <c r="B56" i="106"/>
  <c r="F56" i="106" s="1"/>
  <c r="G56" i="106" s="1"/>
  <c r="B57" i="106"/>
  <c r="F57" i="106"/>
  <c r="G57" i="106" s="1"/>
  <c r="B58" i="106"/>
  <c r="F58" i="106" s="1"/>
  <c r="G58" i="106" s="1"/>
  <c r="B59" i="106"/>
  <c r="F59" i="106" s="1"/>
  <c r="G59" i="106" s="1"/>
  <c r="B60" i="106"/>
  <c r="F60" i="106" s="1"/>
  <c r="G60" i="106" s="1"/>
  <c r="B61" i="106"/>
  <c r="F61" i="106" s="1"/>
  <c r="G61" i="106" s="1"/>
  <c r="B62" i="106"/>
  <c r="F62" i="106" s="1"/>
  <c r="G62" i="106" s="1"/>
  <c r="B63" i="106"/>
  <c r="F63" i="106" s="1"/>
  <c r="G63" i="106" s="1"/>
  <c r="B64" i="106"/>
  <c r="F64" i="106" s="1"/>
  <c r="G64" i="106" s="1"/>
  <c r="B65" i="106"/>
  <c r="F65" i="106"/>
  <c r="G65" i="106" s="1"/>
  <c r="B66" i="106"/>
  <c r="F66" i="106" s="1"/>
  <c r="G66" i="106" s="1"/>
  <c r="B67" i="106"/>
  <c r="F67" i="106" s="1"/>
  <c r="G67" i="106" s="1"/>
  <c r="B68" i="106"/>
  <c r="F68" i="106" s="1"/>
  <c r="G68" i="106" s="1"/>
  <c r="B69" i="106"/>
  <c r="F69" i="106" s="1"/>
  <c r="G69" i="106" s="1"/>
  <c r="B70" i="106"/>
  <c r="F70" i="106" s="1"/>
  <c r="G70" i="106" s="1"/>
  <c r="B71" i="106"/>
  <c r="F71" i="106" s="1"/>
  <c r="G71" i="106" s="1"/>
  <c r="B72" i="106"/>
  <c r="F72" i="106" s="1"/>
  <c r="G72" i="106" s="1"/>
  <c r="B73" i="106"/>
  <c r="F73" i="106"/>
  <c r="G73" i="106" s="1"/>
  <c r="B74" i="106"/>
  <c r="F74" i="106" s="1"/>
  <c r="G74" i="106" s="1"/>
  <c r="B75" i="106"/>
  <c r="F75" i="106" s="1"/>
  <c r="G75" i="106" s="1"/>
  <c r="B76" i="106"/>
  <c r="F76" i="106" s="1"/>
  <c r="G76" i="106" s="1"/>
  <c r="B77" i="106"/>
  <c r="F77" i="106" s="1"/>
  <c r="G77" i="106" s="1"/>
  <c r="B78" i="106"/>
  <c r="F78" i="106" s="1"/>
  <c r="G78" i="106" s="1"/>
  <c r="B79" i="106"/>
  <c r="F79" i="106" s="1"/>
  <c r="G79" i="106" s="1"/>
  <c r="B80" i="106"/>
  <c r="F80" i="106" s="1"/>
  <c r="G80" i="106" s="1"/>
  <c r="B81" i="106"/>
  <c r="F81" i="106"/>
  <c r="G81" i="106" s="1"/>
  <c r="B82" i="106"/>
  <c r="F82" i="106" s="1"/>
  <c r="G82" i="106" s="1"/>
  <c r="B83" i="106"/>
  <c r="F83" i="106" s="1"/>
  <c r="G83" i="106" s="1"/>
  <c r="B84" i="106"/>
  <c r="F84" i="106" s="1"/>
  <c r="G84" i="106" s="1"/>
  <c r="B85" i="106"/>
  <c r="F85" i="106" s="1"/>
  <c r="G85" i="106" s="1"/>
  <c r="B86" i="106"/>
  <c r="F86" i="106" s="1"/>
  <c r="G86" i="106" s="1"/>
  <c r="B87" i="106"/>
  <c r="F87" i="106" s="1"/>
  <c r="G87" i="106" s="1"/>
  <c r="B88" i="106"/>
  <c r="F88" i="106" s="1"/>
  <c r="G88" i="106" s="1"/>
  <c r="B89" i="106"/>
  <c r="F89" i="106"/>
  <c r="G89" i="106" s="1"/>
  <c r="B90" i="106"/>
  <c r="F90" i="106" s="1"/>
  <c r="G90" i="106" s="1"/>
  <c r="B91" i="106"/>
  <c r="F91" i="106" s="1"/>
  <c r="G91" i="106" s="1"/>
  <c r="B92" i="106"/>
  <c r="F92" i="106" s="1"/>
  <c r="G92" i="106" s="1"/>
  <c r="B93" i="106"/>
  <c r="F93" i="106" s="1"/>
  <c r="G93" i="106" s="1"/>
  <c r="B94" i="106"/>
  <c r="F94" i="106" s="1"/>
  <c r="G94" i="106" s="1"/>
  <c r="B95" i="106"/>
  <c r="F95" i="106" s="1"/>
  <c r="G95" i="106" s="1"/>
  <c r="B96" i="106"/>
  <c r="F96" i="106" s="1"/>
  <c r="G96" i="106" s="1"/>
  <c r="B97" i="106"/>
  <c r="F97" i="106"/>
  <c r="G97" i="106" s="1"/>
  <c r="B98" i="106"/>
  <c r="F98" i="106" s="1"/>
  <c r="G98" i="106" s="1"/>
  <c r="B99" i="106"/>
  <c r="F99" i="106" s="1"/>
  <c r="G99" i="106" s="1"/>
  <c r="B100" i="106"/>
  <c r="F100" i="106" s="1"/>
  <c r="G100" i="106" s="1"/>
  <c r="B101" i="106"/>
  <c r="F101" i="106" s="1"/>
  <c r="G101" i="106" s="1"/>
  <c r="B102" i="106"/>
  <c r="F102" i="106" s="1"/>
  <c r="G102" i="106" s="1"/>
  <c r="B103" i="106"/>
  <c r="F103" i="106" s="1"/>
  <c r="G103" i="106" s="1"/>
  <c r="B104" i="106"/>
  <c r="F104" i="106" s="1"/>
  <c r="G104" i="106" s="1"/>
  <c r="B105" i="106"/>
  <c r="F105" i="106"/>
  <c r="G105" i="106" s="1"/>
  <c r="B106" i="106"/>
  <c r="F106" i="106" s="1"/>
  <c r="G106" i="106" s="1"/>
  <c r="B107" i="106"/>
  <c r="F107" i="106" s="1"/>
  <c r="G107" i="106" s="1"/>
  <c r="B108" i="106"/>
  <c r="F108" i="106" s="1"/>
  <c r="G108" i="106" s="1"/>
  <c r="B109" i="106"/>
  <c r="F109" i="106" s="1"/>
  <c r="G109" i="106" s="1"/>
  <c r="B110" i="106"/>
  <c r="F110" i="106" s="1"/>
  <c r="G110" i="106" s="1"/>
  <c r="B111" i="106"/>
  <c r="F111" i="106" s="1"/>
  <c r="G111" i="106" s="1"/>
  <c r="B112" i="106"/>
  <c r="F112" i="106" s="1"/>
  <c r="G112" i="106" s="1"/>
  <c r="B113" i="106"/>
  <c r="F113" i="106"/>
  <c r="G113" i="106" s="1"/>
  <c r="B114" i="106"/>
  <c r="F114" i="106" s="1"/>
  <c r="G114" i="106" s="1"/>
  <c r="B115" i="106"/>
  <c r="F115" i="106" s="1"/>
  <c r="G115" i="106" s="1"/>
  <c r="B116" i="106"/>
  <c r="F116" i="106" s="1"/>
  <c r="G116" i="106" s="1"/>
  <c r="B117" i="106"/>
  <c r="F117" i="106" s="1"/>
  <c r="G117" i="106" s="1"/>
  <c r="B118" i="106"/>
  <c r="F118" i="106" s="1"/>
  <c r="G118" i="106" s="1"/>
  <c r="B119" i="106"/>
  <c r="F119" i="106" s="1"/>
  <c r="G119" i="106" s="1"/>
  <c r="B120" i="106"/>
  <c r="F120" i="106" s="1"/>
  <c r="G120" i="106" s="1"/>
  <c r="B121" i="106"/>
  <c r="F121" i="106"/>
  <c r="G121" i="106" s="1"/>
  <c r="B122" i="106"/>
  <c r="F122" i="106" s="1"/>
  <c r="G122" i="106" s="1"/>
  <c r="B123" i="106"/>
  <c r="F123" i="106" s="1"/>
  <c r="G123" i="106" s="1"/>
  <c r="B124" i="106"/>
  <c r="F124" i="106" s="1"/>
  <c r="G124" i="106" s="1"/>
  <c r="B125" i="106"/>
  <c r="F125" i="106" s="1"/>
  <c r="G125" i="106" s="1"/>
  <c r="B126" i="106"/>
  <c r="F126" i="106" s="1"/>
  <c r="G126" i="106" s="1"/>
  <c r="B127" i="106"/>
  <c r="F127" i="106" s="1"/>
  <c r="G127" i="106" s="1"/>
  <c r="B128" i="106"/>
  <c r="F128" i="106" s="1"/>
  <c r="G128" i="106" s="1"/>
  <c r="B129" i="106"/>
  <c r="F129" i="106"/>
  <c r="G129" i="106" s="1"/>
  <c r="B130" i="106"/>
  <c r="F130" i="106" s="1"/>
  <c r="G130" i="106" s="1"/>
  <c r="B131" i="106"/>
  <c r="F131" i="106" s="1"/>
  <c r="G131" i="106" s="1"/>
  <c r="B132" i="106"/>
  <c r="F132" i="106" s="1"/>
  <c r="G132" i="106" s="1"/>
  <c r="B133" i="106"/>
  <c r="F133" i="106" s="1"/>
  <c r="G133" i="106" s="1"/>
  <c r="B134" i="106"/>
  <c r="F134" i="106" s="1"/>
  <c r="G134" i="106" s="1"/>
  <c r="B135" i="106"/>
  <c r="F135" i="106" s="1"/>
  <c r="G135" i="106" s="1"/>
  <c r="B136" i="106"/>
  <c r="F136" i="106" s="1"/>
  <c r="G136" i="106" s="1"/>
  <c r="B137" i="106"/>
  <c r="F137" i="106"/>
  <c r="G137" i="106" s="1"/>
  <c r="B138" i="106"/>
  <c r="F138" i="106" s="1"/>
  <c r="G138" i="106" s="1"/>
  <c r="B139" i="106"/>
  <c r="F139" i="106" s="1"/>
  <c r="G139" i="106" s="1"/>
  <c r="B140" i="106"/>
  <c r="F140" i="106" s="1"/>
  <c r="G140" i="106" s="1"/>
  <c r="B141" i="106"/>
  <c r="F141" i="106" s="1"/>
  <c r="G141" i="106" s="1"/>
  <c r="B142" i="106"/>
  <c r="F142" i="106" s="1"/>
  <c r="G142" i="106" s="1"/>
  <c r="B143" i="106"/>
  <c r="F143" i="106" s="1"/>
  <c r="G143" i="106" s="1"/>
  <c r="B144" i="106"/>
  <c r="F144" i="106" s="1"/>
  <c r="G144" i="106" s="1"/>
  <c r="B145" i="106"/>
  <c r="F145" i="106"/>
  <c r="G145" i="106" s="1"/>
  <c r="B146" i="106"/>
  <c r="F146" i="106" s="1"/>
  <c r="G146" i="106" s="1"/>
  <c r="B147" i="106"/>
  <c r="F147" i="106" s="1"/>
  <c r="G147" i="106" s="1"/>
  <c r="B148" i="106"/>
  <c r="F148" i="106" s="1"/>
  <c r="G148" i="106" s="1"/>
  <c r="B149" i="106"/>
  <c r="F149" i="106" s="1"/>
  <c r="G149" i="106" s="1"/>
  <c r="B150" i="106"/>
  <c r="F150" i="106" s="1"/>
  <c r="G150" i="106" s="1"/>
  <c r="B151" i="106"/>
  <c r="F151" i="106" s="1"/>
  <c r="G151" i="106" s="1"/>
  <c r="B152" i="106"/>
  <c r="F152" i="106" s="1"/>
  <c r="G152" i="106" s="1"/>
  <c r="B153" i="106"/>
  <c r="F153" i="106"/>
  <c r="G153" i="106" s="1"/>
  <c r="B154" i="106"/>
  <c r="F154" i="106" s="1"/>
  <c r="G154" i="106" s="1"/>
  <c r="B155" i="106"/>
  <c r="F155" i="106" s="1"/>
  <c r="G155" i="106" s="1"/>
  <c r="B156" i="106"/>
  <c r="F156" i="106" s="1"/>
  <c r="G156" i="106" s="1"/>
  <c r="B157" i="106"/>
  <c r="F157" i="106" s="1"/>
  <c r="G157" i="106" s="1"/>
  <c r="B158" i="106"/>
  <c r="F158" i="106" s="1"/>
  <c r="G158" i="106" s="1"/>
  <c r="B159" i="106"/>
  <c r="F159" i="106" s="1"/>
  <c r="G159" i="106" s="1"/>
  <c r="B160" i="106"/>
  <c r="F160" i="106" s="1"/>
  <c r="G160" i="106" s="1"/>
  <c r="B161" i="106"/>
  <c r="F161" i="106"/>
  <c r="G161" i="106" s="1"/>
  <c r="B162" i="106"/>
  <c r="F162" i="106" s="1"/>
  <c r="G162" i="106" s="1"/>
  <c r="B163" i="106"/>
  <c r="F163" i="106" s="1"/>
  <c r="G163" i="106" s="1"/>
  <c r="B164" i="106"/>
  <c r="F164" i="106" s="1"/>
  <c r="G164" i="106" s="1"/>
  <c r="B165" i="106"/>
  <c r="F165" i="106" s="1"/>
  <c r="G165" i="106" s="1"/>
  <c r="B166" i="106"/>
  <c r="F166" i="106" s="1"/>
  <c r="G166" i="106" s="1"/>
  <c r="B167" i="106"/>
  <c r="F167" i="106" s="1"/>
  <c r="G167" i="106" s="1"/>
  <c r="B168" i="106"/>
  <c r="F168" i="106" s="1"/>
  <c r="G168" i="106" s="1"/>
  <c r="B169" i="106"/>
  <c r="F169" i="106"/>
  <c r="G169" i="106" s="1"/>
  <c r="B170" i="106"/>
  <c r="F170" i="106" s="1"/>
  <c r="G170" i="106" s="1"/>
  <c r="B171" i="106"/>
  <c r="F171" i="106" s="1"/>
  <c r="G171" i="106" s="1"/>
  <c r="B172" i="106"/>
  <c r="F172" i="106" s="1"/>
  <c r="G172" i="106" s="1"/>
  <c r="B173" i="106"/>
  <c r="F173" i="106" s="1"/>
  <c r="G173" i="106" s="1"/>
  <c r="B174" i="106"/>
  <c r="F174" i="106" s="1"/>
  <c r="G174" i="106" s="1"/>
  <c r="B175" i="106"/>
  <c r="F175" i="106" s="1"/>
  <c r="G175" i="106" s="1"/>
  <c r="B176" i="106"/>
  <c r="F176" i="106" s="1"/>
  <c r="G176" i="106" s="1"/>
  <c r="B177" i="106"/>
  <c r="F177" i="106"/>
  <c r="G177" i="106" s="1"/>
  <c r="B178" i="106"/>
  <c r="F178" i="106" s="1"/>
  <c r="G178" i="106" s="1"/>
  <c r="B179" i="106"/>
  <c r="F179" i="106" s="1"/>
  <c r="G179" i="106" s="1"/>
  <c r="B180" i="106"/>
  <c r="F180" i="106" s="1"/>
  <c r="G180" i="106" s="1"/>
  <c r="B181" i="106"/>
  <c r="F181" i="106" s="1"/>
  <c r="G181" i="106" s="1"/>
  <c r="B182" i="106"/>
  <c r="F182" i="106" s="1"/>
  <c r="G182" i="106" s="1"/>
  <c r="B183" i="106"/>
  <c r="F183" i="106"/>
  <c r="G183" i="106" s="1"/>
  <c r="B184" i="106"/>
  <c r="F184" i="106" s="1"/>
  <c r="G184" i="106" s="1"/>
  <c r="B185" i="106"/>
  <c r="F185" i="106" s="1"/>
  <c r="G185" i="106" s="1"/>
  <c r="B186" i="106"/>
  <c r="F186" i="106" s="1"/>
  <c r="G186" i="106" s="1"/>
  <c r="B187" i="106"/>
  <c r="F187" i="106" s="1"/>
  <c r="G187" i="106" s="1"/>
  <c r="B188" i="106"/>
  <c r="F188" i="106" s="1"/>
  <c r="G188" i="106" s="1"/>
  <c r="B189" i="106"/>
  <c r="F189" i="106" s="1"/>
  <c r="G189" i="106" s="1"/>
  <c r="B190" i="106"/>
  <c r="F190" i="106" s="1"/>
  <c r="G190" i="106" s="1"/>
  <c r="B191" i="106"/>
  <c r="F191" i="106" s="1"/>
  <c r="G191" i="106" s="1"/>
  <c r="B192" i="106"/>
  <c r="F192" i="106" s="1"/>
  <c r="G192" i="106" s="1"/>
  <c r="B193" i="106"/>
  <c r="F193" i="106" s="1"/>
  <c r="G193" i="106" s="1"/>
  <c r="B194" i="106"/>
  <c r="F194" i="106" s="1"/>
  <c r="G194" i="106" s="1"/>
  <c r="B195" i="106"/>
  <c r="F195" i="106" s="1"/>
  <c r="G195" i="106" s="1"/>
  <c r="B196" i="106"/>
  <c r="F196" i="106" s="1"/>
  <c r="G196" i="106" s="1"/>
  <c r="B197" i="106"/>
  <c r="F197" i="106" s="1"/>
  <c r="G197" i="106" s="1"/>
  <c r="B198" i="106"/>
  <c r="F198" i="106" s="1"/>
  <c r="G198" i="106" s="1"/>
  <c r="B199" i="106"/>
  <c r="F199" i="106" s="1"/>
  <c r="G199" i="106" s="1"/>
  <c r="B200" i="106"/>
  <c r="F200" i="106" s="1"/>
  <c r="G200" i="106" s="1"/>
  <c r="B201" i="106"/>
  <c r="F201" i="106" s="1"/>
  <c r="G201" i="106" s="1"/>
  <c r="B202" i="106"/>
  <c r="F202" i="106" s="1"/>
  <c r="G202" i="106" s="1"/>
  <c r="B203" i="106"/>
  <c r="F203" i="106" s="1"/>
  <c r="G203" i="106" s="1"/>
  <c r="B204" i="106"/>
  <c r="F204" i="106" s="1"/>
  <c r="G204" i="106" s="1"/>
  <c r="B205" i="106"/>
  <c r="F205" i="106" s="1"/>
  <c r="G205" i="106" s="1"/>
  <c r="B206" i="106"/>
  <c r="F206" i="106" s="1"/>
  <c r="G206" i="106" s="1"/>
  <c r="B207" i="106"/>
  <c r="F207" i="106" s="1"/>
  <c r="G207" i="106" s="1"/>
  <c r="B208" i="106"/>
  <c r="F208" i="106" s="1"/>
  <c r="G208" i="106" s="1"/>
  <c r="B209" i="106"/>
  <c r="F209" i="106" s="1"/>
  <c r="G209" i="106" s="1"/>
  <c r="B210" i="106"/>
  <c r="F210" i="106" s="1"/>
  <c r="G210" i="106" s="1"/>
  <c r="B211" i="106"/>
  <c r="F211" i="106" s="1"/>
  <c r="G211" i="106" s="1"/>
  <c r="B212" i="106"/>
  <c r="F212" i="106" s="1"/>
  <c r="G212" i="106" s="1"/>
  <c r="B213" i="106"/>
  <c r="F213" i="106" s="1"/>
  <c r="G213" i="106" s="1"/>
  <c r="B214" i="106"/>
  <c r="F214" i="106" s="1"/>
  <c r="G214" i="106" s="1"/>
  <c r="B215" i="106"/>
  <c r="F215" i="106" s="1"/>
  <c r="G215" i="106" s="1"/>
  <c r="B216" i="106"/>
  <c r="F216" i="106" s="1"/>
  <c r="G216" i="106" s="1"/>
  <c r="B217" i="106"/>
  <c r="F217" i="106" s="1"/>
  <c r="G217" i="106" s="1"/>
  <c r="B218" i="106"/>
  <c r="F218" i="106" s="1"/>
  <c r="G218" i="106" s="1"/>
  <c r="B219" i="106"/>
  <c r="F219" i="106"/>
  <c r="G219" i="106" s="1"/>
  <c r="B220" i="106"/>
  <c r="F220" i="106"/>
  <c r="G220" i="106" s="1"/>
  <c r="B221" i="106"/>
  <c r="F221" i="106"/>
  <c r="G221" i="106" s="1"/>
  <c r="B222" i="106"/>
  <c r="F222" i="106"/>
  <c r="G222" i="106" s="1"/>
  <c r="B223" i="106"/>
  <c r="F223" i="106"/>
  <c r="G223" i="106" s="1"/>
  <c r="B224" i="106"/>
  <c r="F224" i="106"/>
  <c r="G224" i="106" s="1"/>
  <c r="B225" i="106"/>
  <c r="F225" i="106"/>
  <c r="G225" i="106" s="1"/>
  <c r="B226" i="106"/>
  <c r="F226" i="106"/>
  <c r="G226" i="106" s="1"/>
  <c r="B227" i="106"/>
  <c r="F227" i="106"/>
  <c r="G227" i="106" s="1"/>
  <c r="B228" i="106"/>
  <c r="F228" i="106"/>
  <c r="G228" i="106" s="1"/>
  <c r="B229" i="106"/>
  <c r="F229" i="106"/>
  <c r="G229" i="106" s="1"/>
  <c r="B230" i="106"/>
  <c r="F230" i="106"/>
  <c r="G230" i="106" s="1"/>
  <c r="B231" i="106"/>
  <c r="F231" i="106"/>
  <c r="G231" i="106" s="1"/>
  <c r="B232" i="106"/>
  <c r="F232" i="106"/>
  <c r="G232" i="106" s="1"/>
  <c r="B233" i="106"/>
  <c r="F233" i="106"/>
  <c r="G233" i="106" s="1"/>
  <c r="B234" i="106"/>
  <c r="F234" i="106"/>
  <c r="G234" i="106" s="1"/>
  <c r="B235" i="106"/>
  <c r="F235" i="106"/>
  <c r="G235" i="106" s="1"/>
  <c r="B236" i="106"/>
  <c r="F236" i="106"/>
  <c r="G236" i="106" s="1"/>
  <c r="B237" i="106"/>
  <c r="F237" i="106"/>
  <c r="G237" i="106" s="1"/>
  <c r="B238" i="106"/>
  <c r="F238" i="106"/>
  <c r="G238" i="106" s="1"/>
  <c r="B239" i="106"/>
  <c r="F239" i="106"/>
  <c r="G239" i="106" s="1"/>
  <c r="B240" i="106"/>
  <c r="F240" i="106"/>
  <c r="G240" i="106" s="1"/>
  <c r="B241" i="106"/>
  <c r="F241" i="106"/>
  <c r="G241" i="106" s="1"/>
  <c r="B242" i="106"/>
  <c r="F242" i="106"/>
  <c r="G242" i="106" s="1"/>
  <c r="B243" i="106"/>
  <c r="F243" i="106"/>
  <c r="G243" i="106" s="1"/>
  <c r="B244" i="106"/>
  <c r="F244" i="106"/>
  <c r="G244" i="106" s="1"/>
  <c r="B245" i="106"/>
  <c r="F245" i="106"/>
  <c r="G245" i="106" s="1"/>
  <c r="B246" i="106"/>
  <c r="F246" i="106"/>
  <c r="G246" i="106" s="1"/>
  <c r="B247" i="106"/>
  <c r="F247" i="106"/>
  <c r="G247" i="106" s="1"/>
  <c r="B248" i="106"/>
  <c r="F248" i="106"/>
  <c r="G248" i="106" s="1"/>
  <c r="B249" i="106"/>
  <c r="F249" i="106"/>
  <c r="G249" i="106" s="1"/>
  <c r="B250" i="106"/>
  <c r="F250" i="106"/>
  <c r="G250" i="106" s="1"/>
  <c r="B251" i="106"/>
  <c r="F251" i="106"/>
  <c r="G251" i="106" s="1"/>
  <c r="B252" i="106"/>
  <c r="F252" i="106"/>
  <c r="G252" i="106" s="1"/>
  <c r="B253" i="106"/>
  <c r="F253" i="106"/>
  <c r="G253" i="106" s="1"/>
  <c r="B254" i="106"/>
  <c r="F254" i="106"/>
  <c r="G254" i="106" s="1"/>
  <c r="B255" i="106"/>
  <c r="F255" i="106"/>
  <c r="G255" i="106" s="1"/>
  <c r="B256" i="106"/>
  <c r="F256" i="106"/>
  <c r="G256" i="106" s="1"/>
  <c r="B257" i="106"/>
  <c r="F257" i="106"/>
  <c r="G257" i="106" s="1"/>
  <c r="B258" i="106"/>
  <c r="F258" i="106"/>
  <c r="G258" i="106" s="1"/>
  <c r="B259" i="106"/>
  <c r="F259" i="106"/>
  <c r="G259" i="106" s="1"/>
  <c r="B260" i="106"/>
  <c r="F260" i="106"/>
  <c r="G260" i="106" s="1"/>
  <c r="B261" i="106"/>
  <c r="F261" i="106"/>
  <c r="G261" i="106" s="1"/>
  <c r="B262" i="106"/>
  <c r="F262" i="106"/>
  <c r="G262" i="106" s="1"/>
  <c r="B263" i="106"/>
  <c r="F263" i="106"/>
  <c r="G263" i="106" s="1"/>
  <c r="B264" i="106"/>
  <c r="F264" i="106"/>
  <c r="G264" i="106" s="1"/>
  <c r="B265" i="106"/>
  <c r="F265" i="106"/>
  <c r="G265" i="106" s="1"/>
  <c r="B266" i="106"/>
  <c r="F266" i="106"/>
  <c r="G266" i="106" s="1"/>
  <c r="B267" i="106"/>
  <c r="F267" i="106"/>
  <c r="G267" i="106" s="1"/>
  <c r="B268" i="106"/>
  <c r="F268" i="106"/>
  <c r="G268" i="106" s="1"/>
  <c r="B269" i="106"/>
  <c r="F269" i="106"/>
  <c r="G269" i="106" s="1"/>
  <c r="B270" i="106"/>
  <c r="F270" i="106"/>
  <c r="G270" i="106" s="1"/>
  <c r="B271" i="106"/>
  <c r="F271" i="106"/>
  <c r="G271" i="106" s="1"/>
  <c r="B272" i="106"/>
  <c r="F272" i="106"/>
  <c r="G272" i="106" s="1"/>
  <c r="B273" i="106"/>
  <c r="F273" i="106"/>
  <c r="G273" i="106" s="1"/>
  <c r="B274" i="106"/>
  <c r="F274" i="106"/>
  <c r="G274" i="106" s="1"/>
  <c r="B275" i="106"/>
  <c r="F275" i="106"/>
  <c r="G275" i="106" s="1"/>
  <c r="B276" i="106"/>
  <c r="F276" i="106"/>
  <c r="G276" i="106" s="1"/>
  <c r="B277" i="106"/>
  <c r="F277" i="106"/>
  <c r="G277" i="106" s="1"/>
  <c r="B278" i="106"/>
  <c r="F278" i="106"/>
  <c r="G278" i="106" s="1"/>
  <c r="B279" i="106"/>
  <c r="F279" i="106"/>
  <c r="G279" i="106" s="1"/>
  <c r="B280" i="106"/>
  <c r="F280" i="106"/>
  <c r="G280" i="106" s="1"/>
  <c r="B281" i="106"/>
  <c r="F281" i="106"/>
  <c r="G281" i="106" s="1"/>
  <c r="B282" i="106"/>
  <c r="F282" i="106"/>
  <c r="G282" i="106" s="1"/>
  <c r="B283" i="106"/>
  <c r="F283" i="106"/>
  <c r="G283" i="106" s="1"/>
  <c r="B284" i="106"/>
  <c r="F284" i="106"/>
  <c r="G284" i="106" s="1"/>
  <c r="B285" i="106"/>
  <c r="F285" i="106"/>
  <c r="G285" i="106" s="1"/>
  <c r="B286" i="106"/>
  <c r="F286" i="106"/>
  <c r="G286" i="106" s="1"/>
  <c r="B287" i="106"/>
  <c r="F287" i="106"/>
  <c r="G287" i="106" s="1"/>
  <c r="B288" i="106"/>
  <c r="F288" i="106"/>
  <c r="G288" i="106" s="1"/>
  <c r="B289" i="106"/>
  <c r="F289" i="106"/>
  <c r="G289" i="106" s="1"/>
  <c r="B290" i="106"/>
  <c r="F290" i="106"/>
  <c r="G290" i="106" s="1"/>
  <c r="B291" i="106"/>
  <c r="F291" i="106"/>
  <c r="G291" i="106" s="1"/>
  <c r="B292" i="106"/>
  <c r="F292" i="106"/>
  <c r="G292" i="106" s="1"/>
  <c r="B293" i="106"/>
  <c r="F293" i="106"/>
  <c r="G293" i="106" s="1"/>
  <c r="B294" i="106"/>
  <c r="F294" i="106"/>
  <c r="G294" i="106" s="1"/>
  <c r="B295" i="106"/>
  <c r="F295" i="106"/>
  <c r="G295" i="106" s="1"/>
  <c r="B296" i="106"/>
  <c r="F296" i="106"/>
  <c r="G296" i="106" s="1"/>
  <c r="B297" i="106"/>
  <c r="F297" i="106"/>
  <c r="G297" i="106" s="1"/>
  <c r="B298" i="106"/>
  <c r="F298" i="106"/>
  <c r="G298" i="106" s="1"/>
  <c r="B299" i="106"/>
  <c r="F299" i="106"/>
  <c r="G299" i="106" s="1"/>
  <c r="B300" i="106"/>
  <c r="F300" i="106"/>
  <c r="G300" i="106" s="1"/>
  <c r="B301" i="106"/>
  <c r="F301" i="106"/>
  <c r="G301" i="106" s="1"/>
  <c r="B302" i="106"/>
  <c r="F302" i="106"/>
  <c r="G302" i="106" s="1"/>
  <c r="B303" i="106"/>
  <c r="F303" i="106"/>
  <c r="G303" i="106" s="1"/>
  <c r="B304" i="106"/>
  <c r="F304" i="106"/>
  <c r="G304" i="106" s="1"/>
  <c r="B305" i="106"/>
  <c r="F305" i="106"/>
  <c r="G305" i="106" s="1"/>
  <c r="B306" i="106"/>
  <c r="F306" i="106"/>
  <c r="G306" i="106" s="1"/>
  <c r="B307" i="106"/>
  <c r="F307" i="106"/>
  <c r="G307" i="106" s="1"/>
  <c r="B308" i="106"/>
  <c r="F308" i="106"/>
  <c r="G308" i="106" s="1"/>
  <c r="B309" i="106"/>
  <c r="F309" i="106"/>
  <c r="G309" i="106" s="1"/>
  <c r="B310" i="106"/>
  <c r="F310" i="106"/>
  <c r="G310" i="106" s="1"/>
  <c r="B311" i="106"/>
  <c r="F311" i="106"/>
  <c r="G311" i="106" s="1"/>
  <c r="B312" i="106"/>
  <c r="F312" i="106"/>
  <c r="G312" i="106" s="1"/>
  <c r="B313" i="106"/>
  <c r="F313" i="106"/>
  <c r="G313" i="106" s="1"/>
  <c r="B314" i="106"/>
  <c r="F314" i="106"/>
  <c r="G314" i="106" s="1"/>
  <c r="B315" i="106"/>
  <c r="F315" i="106"/>
  <c r="G315" i="106" s="1"/>
  <c r="B316" i="106"/>
  <c r="F316" i="106"/>
  <c r="G316" i="106" s="1"/>
  <c r="B317" i="106"/>
  <c r="F317" i="106"/>
  <c r="G317" i="106" s="1"/>
  <c r="B318" i="106"/>
  <c r="F318" i="106"/>
  <c r="G318" i="106" s="1"/>
  <c r="B319" i="106"/>
  <c r="F319" i="106"/>
  <c r="G319" i="106" s="1"/>
  <c r="B320" i="106"/>
  <c r="F320" i="106"/>
  <c r="G320" i="106" s="1"/>
  <c r="B321" i="106"/>
  <c r="F321" i="106"/>
  <c r="G321" i="106" s="1"/>
  <c r="B322" i="106"/>
  <c r="F322" i="106"/>
  <c r="G322" i="106" s="1"/>
  <c r="B323" i="106"/>
  <c r="F323" i="106"/>
  <c r="G323" i="106" s="1"/>
  <c r="B324" i="106"/>
  <c r="F324" i="106"/>
  <c r="G324" i="106" s="1"/>
  <c r="B325" i="106"/>
  <c r="F325" i="106"/>
  <c r="G325" i="106" s="1"/>
  <c r="B326" i="106"/>
  <c r="F326" i="106"/>
  <c r="G326" i="106" s="1"/>
  <c r="B327" i="106"/>
  <c r="F327" i="106"/>
  <c r="G327" i="106" s="1"/>
  <c r="B328" i="106"/>
  <c r="F328" i="106"/>
  <c r="G328" i="106" s="1"/>
  <c r="B329" i="106"/>
  <c r="F329" i="106"/>
  <c r="G329" i="106" s="1"/>
  <c r="B330" i="106"/>
  <c r="F330" i="106"/>
  <c r="G330" i="106" s="1"/>
  <c r="B331" i="106"/>
  <c r="F331" i="106"/>
  <c r="G331" i="106" s="1"/>
  <c r="B332" i="106"/>
  <c r="F332" i="106"/>
  <c r="G332" i="106" s="1"/>
  <c r="B333" i="106"/>
  <c r="F333" i="106"/>
  <c r="G333" i="106" s="1"/>
  <c r="B334" i="106"/>
  <c r="F334" i="106"/>
  <c r="G334" i="106" s="1"/>
  <c r="B335" i="106"/>
  <c r="F335" i="106"/>
  <c r="G335" i="106" s="1"/>
  <c r="B336" i="106"/>
  <c r="F336" i="106"/>
  <c r="G336" i="106" s="1"/>
  <c r="B337" i="106"/>
  <c r="F337" i="106"/>
  <c r="G337" i="106" s="1"/>
  <c r="B338" i="106"/>
  <c r="F338" i="106"/>
  <c r="G338" i="106" s="1"/>
  <c r="B339" i="106"/>
  <c r="F339" i="106"/>
  <c r="G339" i="106" s="1"/>
  <c r="B340" i="106"/>
  <c r="F340" i="106"/>
  <c r="G340" i="106" s="1"/>
  <c r="B341" i="106"/>
  <c r="F341" i="106"/>
  <c r="G341" i="106" s="1"/>
  <c r="B342" i="106"/>
  <c r="F342" i="106"/>
  <c r="G342" i="106" s="1"/>
  <c r="B343" i="106"/>
  <c r="F343" i="106"/>
  <c r="G343" i="106" s="1"/>
  <c r="B344" i="106"/>
  <c r="F344" i="106"/>
  <c r="G344" i="106" s="1"/>
  <c r="B345" i="106"/>
  <c r="F345" i="106"/>
  <c r="G345" i="106" s="1"/>
  <c r="B346" i="106"/>
  <c r="F346" i="106"/>
  <c r="G346" i="106" s="1"/>
  <c r="B347" i="106"/>
  <c r="F347" i="106"/>
  <c r="G347" i="106" s="1"/>
  <c r="B348" i="106"/>
  <c r="F348" i="106"/>
  <c r="G348" i="106" s="1"/>
  <c r="B349" i="106"/>
  <c r="F349" i="106"/>
  <c r="G349" i="106" s="1"/>
  <c r="B350" i="106"/>
  <c r="F350" i="106"/>
  <c r="G350" i="106" s="1"/>
  <c r="B351" i="106"/>
  <c r="F351" i="106"/>
  <c r="G351" i="106" s="1"/>
  <c r="B352" i="106"/>
  <c r="F352" i="106"/>
  <c r="G352" i="106" s="1"/>
  <c r="B353" i="106"/>
  <c r="F353" i="106"/>
  <c r="G353" i="106" s="1"/>
  <c r="B354" i="106"/>
  <c r="F354" i="106"/>
  <c r="G354" i="106" s="1"/>
  <c r="B355" i="106"/>
  <c r="F355" i="106"/>
  <c r="G355" i="106" s="1"/>
  <c r="B356" i="106"/>
  <c r="F356" i="106"/>
  <c r="G356" i="106" s="1"/>
  <c r="B357" i="106"/>
  <c r="F357" i="106"/>
  <c r="G357" i="106" s="1"/>
  <c r="B358" i="106"/>
  <c r="F358" i="106"/>
  <c r="G358" i="106" s="1"/>
  <c r="B359" i="106"/>
  <c r="F359" i="106"/>
  <c r="G359" i="106" s="1"/>
  <c r="B360" i="106"/>
  <c r="F360" i="106"/>
  <c r="G360" i="106" s="1"/>
  <c r="B361" i="106"/>
  <c r="F361" i="106"/>
  <c r="G361" i="106" s="1"/>
  <c r="B362" i="106"/>
  <c r="F362" i="106"/>
  <c r="G362" i="106" s="1"/>
  <c r="B363" i="106"/>
  <c r="F363" i="106"/>
  <c r="G363" i="106" s="1"/>
  <c r="B364" i="106"/>
  <c r="F364" i="106"/>
  <c r="G364" i="106" s="1"/>
  <c r="B365" i="106"/>
  <c r="F365" i="106"/>
  <c r="G365" i="106" s="1"/>
  <c r="B366" i="106"/>
  <c r="F366" i="106"/>
  <c r="G366" i="106" s="1"/>
  <c r="B367" i="106"/>
  <c r="F367" i="106"/>
  <c r="G367" i="106" s="1"/>
  <c r="B368" i="106"/>
  <c r="F368" i="106"/>
  <c r="G368" i="106" s="1"/>
  <c r="B369" i="106"/>
  <c r="F369" i="106"/>
  <c r="G369" i="106" s="1"/>
  <c r="B370" i="106"/>
  <c r="F370" i="106"/>
  <c r="G370" i="106" s="1"/>
  <c r="B371" i="106"/>
  <c r="F371" i="106"/>
  <c r="G371" i="106" s="1"/>
  <c r="B372" i="106"/>
  <c r="F372" i="106"/>
  <c r="G372" i="106" s="1"/>
  <c r="B373" i="106"/>
  <c r="F373" i="106"/>
  <c r="G373" i="106" s="1"/>
  <c r="B374" i="106"/>
  <c r="F374" i="106"/>
  <c r="G374" i="106" s="1"/>
  <c r="B375" i="106"/>
  <c r="F375" i="106"/>
  <c r="G375" i="106" s="1"/>
  <c r="B376" i="106"/>
  <c r="F376" i="106"/>
  <c r="G376" i="106" s="1"/>
  <c r="B377" i="106"/>
  <c r="F377" i="106"/>
  <c r="G377" i="106" s="1"/>
  <c r="B378" i="106"/>
  <c r="F378" i="106"/>
  <c r="G378" i="106" s="1"/>
  <c r="B379" i="106"/>
  <c r="F379" i="106"/>
  <c r="G379" i="106" s="1"/>
  <c r="B380" i="106"/>
  <c r="F380" i="106"/>
  <c r="G380" i="106" s="1"/>
  <c r="B381" i="106"/>
  <c r="F381" i="106"/>
  <c r="G381" i="106" s="1"/>
  <c r="B382" i="106"/>
  <c r="F382" i="106"/>
  <c r="G382" i="106" s="1"/>
  <c r="B383" i="106"/>
  <c r="F383" i="106"/>
  <c r="G383" i="106" s="1"/>
  <c r="B384" i="106"/>
  <c r="F384" i="106"/>
  <c r="G384" i="106" s="1"/>
  <c r="B385" i="106"/>
  <c r="F385" i="106"/>
  <c r="G385" i="106" s="1"/>
  <c r="B386" i="106"/>
  <c r="F386" i="106"/>
  <c r="G386" i="106" s="1"/>
  <c r="B387" i="106"/>
  <c r="F387" i="106"/>
  <c r="G387" i="106" s="1"/>
  <c r="B388" i="106"/>
  <c r="F388" i="106"/>
  <c r="G388" i="106" s="1"/>
  <c r="B389" i="106"/>
  <c r="F389" i="106"/>
  <c r="G389" i="106" s="1"/>
  <c r="B390" i="106"/>
  <c r="F390" i="106"/>
  <c r="G390" i="106" s="1"/>
  <c r="B391" i="106"/>
  <c r="F391" i="106"/>
  <c r="G391" i="106" s="1"/>
  <c r="B392" i="106"/>
  <c r="F392" i="106"/>
  <c r="G392" i="106" s="1"/>
  <c r="B393" i="106"/>
  <c r="F393" i="106"/>
  <c r="G393" i="106" s="1"/>
  <c r="B394" i="106"/>
  <c r="F394" i="106"/>
  <c r="G394" i="106" s="1"/>
  <c r="B395" i="106"/>
  <c r="F395" i="106"/>
  <c r="G395" i="106" s="1"/>
  <c r="B396" i="106"/>
  <c r="F396" i="106"/>
  <c r="G396" i="106" s="1"/>
  <c r="B397" i="106"/>
  <c r="F397" i="106"/>
  <c r="G397" i="106" s="1"/>
  <c r="B398" i="106"/>
  <c r="F398" i="106"/>
  <c r="G398" i="106" s="1"/>
  <c r="B399" i="106"/>
  <c r="F399" i="106"/>
  <c r="G399" i="106" s="1"/>
  <c r="B400" i="106"/>
  <c r="F400" i="106"/>
  <c r="G400" i="106" s="1"/>
  <c r="B401" i="106"/>
  <c r="F401" i="106"/>
  <c r="G401" i="106" s="1"/>
  <c r="B402" i="106"/>
  <c r="F402" i="106"/>
  <c r="G402" i="106" s="1"/>
  <c r="B403" i="106"/>
  <c r="F403" i="106"/>
  <c r="G403" i="106" s="1"/>
  <c r="B404" i="106"/>
  <c r="F404" i="106"/>
  <c r="G404" i="106" s="1"/>
  <c r="B405" i="106"/>
  <c r="F405" i="106"/>
  <c r="G405" i="106" s="1"/>
  <c r="B406" i="106"/>
  <c r="F406" i="106"/>
  <c r="G406" i="106" s="1"/>
  <c r="B407" i="106"/>
  <c r="F407" i="106"/>
  <c r="G407" i="106" s="1"/>
  <c r="B408" i="106"/>
  <c r="F408" i="106"/>
  <c r="G408" i="106" s="1"/>
  <c r="B409" i="106"/>
  <c r="F409" i="106"/>
  <c r="G409" i="106" s="1"/>
  <c r="B410" i="106"/>
  <c r="F410" i="106"/>
  <c r="G410" i="106" s="1"/>
  <c r="B411" i="106"/>
  <c r="F411" i="106"/>
  <c r="G411" i="106" s="1"/>
  <c r="B412" i="106"/>
  <c r="F412" i="106"/>
  <c r="G412" i="106" s="1"/>
  <c r="B413" i="106"/>
  <c r="F413" i="106"/>
  <c r="G413" i="106" s="1"/>
  <c r="B414" i="106"/>
  <c r="F414" i="106"/>
  <c r="G414" i="106" s="1"/>
  <c r="B415" i="106"/>
  <c r="F415" i="106"/>
  <c r="G415" i="106" s="1"/>
  <c r="B416" i="106"/>
  <c r="F416" i="106"/>
  <c r="G416" i="106" s="1"/>
  <c r="B417" i="106"/>
  <c r="F417" i="106"/>
  <c r="G417" i="106" s="1"/>
  <c r="B418" i="106"/>
  <c r="F418" i="106"/>
  <c r="G418" i="106" s="1"/>
  <c r="B419" i="106"/>
  <c r="F419" i="106"/>
  <c r="G419" i="106" s="1"/>
  <c r="B420" i="106"/>
  <c r="F420" i="106"/>
  <c r="G420" i="106" s="1"/>
  <c r="B421" i="106"/>
  <c r="F421" i="106"/>
  <c r="G421" i="106" s="1"/>
  <c r="B422" i="106"/>
  <c r="F422" i="106"/>
  <c r="G422" i="106" s="1"/>
  <c r="B423" i="106"/>
  <c r="F423" i="106"/>
  <c r="G423" i="106" s="1"/>
  <c r="B424" i="106"/>
  <c r="F424" i="106"/>
  <c r="G424" i="106" s="1"/>
  <c r="B425" i="106"/>
  <c r="F425" i="106"/>
  <c r="G425" i="106" s="1"/>
  <c r="B426" i="106"/>
  <c r="F426" i="106"/>
  <c r="G426" i="106" s="1"/>
  <c r="B427" i="106"/>
  <c r="F427" i="106"/>
  <c r="G427" i="106" s="1"/>
  <c r="B428" i="106"/>
  <c r="F428" i="106"/>
  <c r="G428" i="106" s="1"/>
  <c r="B429" i="106"/>
  <c r="F429" i="106"/>
  <c r="G429" i="106" s="1"/>
  <c r="B430" i="106"/>
  <c r="F430" i="106"/>
  <c r="G430" i="106" s="1"/>
  <c r="B431" i="106"/>
  <c r="F431" i="106"/>
  <c r="G431" i="106" s="1"/>
  <c r="B432" i="106"/>
  <c r="F432" i="106"/>
  <c r="G432" i="106" s="1"/>
  <c r="B433" i="106"/>
  <c r="F433" i="106"/>
  <c r="G433" i="106" s="1"/>
  <c r="B434" i="106"/>
  <c r="F434" i="106"/>
  <c r="G434" i="106" s="1"/>
  <c r="B435" i="106"/>
  <c r="F435" i="106"/>
  <c r="G435" i="106" s="1"/>
  <c r="B436" i="106"/>
  <c r="F436" i="106"/>
  <c r="G436" i="106" s="1"/>
  <c r="B437" i="106"/>
  <c r="F437" i="106"/>
  <c r="G437" i="106" s="1"/>
  <c r="B438" i="106"/>
  <c r="F438" i="106"/>
  <c r="G438" i="106" s="1"/>
  <c r="B439" i="106"/>
  <c r="F439" i="106"/>
  <c r="G439" i="106" s="1"/>
  <c r="B440" i="106"/>
  <c r="F440" i="106"/>
  <c r="G440" i="106" s="1"/>
  <c r="B441" i="106"/>
  <c r="F441" i="106"/>
  <c r="G441" i="106" s="1"/>
  <c r="B442" i="106"/>
  <c r="F442" i="106"/>
  <c r="G442" i="106" s="1"/>
  <c r="B443" i="106"/>
  <c r="F443" i="106"/>
  <c r="G443" i="106" s="1"/>
  <c r="B444" i="106"/>
  <c r="F444" i="106"/>
  <c r="G444" i="106" s="1"/>
  <c r="B445" i="106"/>
  <c r="F445" i="106"/>
  <c r="G445" i="106" s="1"/>
  <c r="B446" i="106"/>
  <c r="F446" i="106"/>
  <c r="G446" i="106" s="1"/>
  <c r="B447" i="106"/>
  <c r="F447" i="106"/>
  <c r="G447" i="106" s="1"/>
  <c r="B448" i="106"/>
  <c r="F448" i="106"/>
  <c r="G448" i="106" s="1"/>
  <c r="B449" i="106"/>
  <c r="F449" i="106"/>
  <c r="G449" i="106" s="1"/>
  <c r="B450" i="106"/>
  <c r="F450" i="106"/>
  <c r="G450" i="106" s="1"/>
  <c r="B451" i="106"/>
  <c r="F451" i="106"/>
  <c r="G451" i="106" s="1"/>
  <c r="B452" i="106"/>
  <c r="F452" i="106"/>
  <c r="G452" i="106" s="1"/>
  <c r="B453" i="106"/>
  <c r="F453" i="106"/>
  <c r="G453" i="106" s="1"/>
  <c r="B454" i="106"/>
  <c r="F454" i="106"/>
  <c r="G454" i="106" s="1"/>
  <c r="B455" i="106"/>
  <c r="F455" i="106"/>
  <c r="G455" i="106" s="1"/>
  <c r="B456" i="106"/>
  <c r="F456" i="106"/>
  <c r="G456" i="106" s="1"/>
  <c r="B457" i="106"/>
  <c r="F457" i="106"/>
  <c r="G457" i="106" s="1"/>
  <c r="B458" i="106"/>
  <c r="F458" i="106"/>
  <c r="G458" i="106" s="1"/>
  <c r="B459" i="106"/>
  <c r="F459" i="106"/>
  <c r="G459" i="106" s="1"/>
  <c r="B460" i="106"/>
  <c r="F460" i="106"/>
  <c r="G460" i="106" s="1"/>
  <c r="B461" i="106"/>
  <c r="F461" i="106"/>
  <c r="G461" i="106" s="1"/>
  <c r="B462" i="106"/>
  <c r="F462" i="106"/>
  <c r="G462" i="106" s="1"/>
  <c r="B463" i="106"/>
  <c r="F463" i="106"/>
  <c r="G463" i="106" s="1"/>
  <c r="B464" i="106"/>
  <c r="F464" i="106"/>
  <c r="G464" i="106" s="1"/>
  <c r="B465" i="106"/>
  <c r="F465" i="106"/>
  <c r="G465" i="106" s="1"/>
  <c r="B466" i="106"/>
  <c r="F466" i="106"/>
  <c r="G466" i="106" s="1"/>
  <c r="B467" i="106"/>
  <c r="F467" i="106"/>
  <c r="G467" i="106" s="1"/>
  <c r="B468" i="106"/>
  <c r="F468" i="106"/>
  <c r="G468" i="106" s="1"/>
  <c r="B469" i="106"/>
  <c r="F469" i="106"/>
  <c r="G469" i="106" s="1"/>
  <c r="B470" i="106"/>
  <c r="F470" i="106"/>
  <c r="G470" i="106" s="1"/>
  <c r="B471" i="106"/>
  <c r="F471" i="106"/>
  <c r="G471" i="106" s="1"/>
  <c r="B472" i="106"/>
  <c r="F472" i="106"/>
  <c r="G472" i="106" s="1"/>
  <c r="B473" i="106"/>
  <c r="F473" i="106"/>
  <c r="G473" i="106" s="1"/>
  <c r="B474" i="106"/>
  <c r="F474" i="106"/>
  <c r="G474" i="106" s="1"/>
  <c r="B475" i="106"/>
  <c r="F475" i="106"/>
  <c r="G475" i="106" s="1"/>
  <c r="B476" i="106"/>
  <c r="F476" i="106"/>
  <c r="G476" i="106" s="1"/>
  <c r="B477" i="106"/>
  <c r="F477" i="106"/>
  <c r="G477" i="106" s="1"/>
  <c r="B478" i="106"/>
  <c r="F478" i="106"/>
  <c r="G478" i="106" s="1"/>
  <c r="B479" i="106"/>
  <c r="F479" i="106"/>
  <c r="G479" i="106" s="1"/>
  <c r="B480" i="106"/>
  <c r="F480" i="106"/>
  <c r="G480" i="106" s="1"/>
  <c r="B481" i="106"/>
  <c r="F481" i="106"/>
  <c r="G481" i="106" s="1"/>
  <c r="B482" i="106"/>
  <c r="F482" i="106"/>
  <c r="G482" i="106" s="1"/>
  <c r="B483" i="106"/>
  <c r="F483" i="106"/>
  <c r="G483" i="106" s="1"/>
  <c r="B484" i="106"/>
  <c r="F484" i="106"/>
  <c r="G484" i="106" s="1"/>
  <c r="B485" i="106"/>
  <c r="F485" i="106"/>
  <c r="G485" i="106" s="1"/>
  <c r="B486" i="106"/>
  <c r="F486" i="106"/>
  <c r="G486" i="106" s="1"/>
  <c r="B487" i="106"/>
  <c r="F487" i="106"/>
  <c r="G487" i="106" s="1"/>
  <c r="B488" i="106"/>
  <c r="F488" i="106"/>
  <c r="G488" i="106" s="1"/>
  <c r="B489" i="106"/>
  <c r="F489" i="106"/>
  <c r="G489" i="106" s="1"/>
  <c r="B490" i="106"/>
  <c r="F490" i="106"/>
  <c r="G490" i="106" s="1"/>
  <c r="B491" i="106"/>
  <c r="F491" i="106"/>
  <c r="G491" i="106" s="1"/>
  <c r="B492" i="106"/>
  <c r="F492" i="106"/>
  <c r="G492" i="106" s="1"/>
  <c r="B493" i="106"/>
  <c r="F493" i="106"/>
  <c r="G493" i="106" s="1"/>
  <c r="B494" i="106"/>
  <c r="F494" i="106"/>
  <c r="G494" i="106" s="1"/>
  <c r="B495" i="106"/>
  <c r="F495" i="106"/>
  <c r="G495" i="106" s="1"/>
  <c r="B496" i="106"/>
  <c r="F496" i="106"/>
  <c r="G496" i="106" s="1"/>
  <c r="B497" i="106"/>
  <c r="F497" i="106"/>
  <c r="G497" i="106" s="1"/>
  <c r="B498" i="106"/>
  <c r="F498" i="106"/>
  <c r="G498" i="106" s="1"/>
  <c r="B499" i="106"/>
  <c r="F499" i="106"/>
  <c r="G499" i="106" s="1"/>
  <c r="B500" i="106"/>
  <c r="F500" i="106"/>
  <c r="G500" i="106" s="1"/>
  <c r="B501" i="106"/>
  <c r="F501" i="106"/>
  <c r="G501" i="106" s="1"/>
  <c r="B502" i="106"/>
  <c r="F502" i="106"/>
  <c r="G502" i="106" s="1"/>
  <c r="B503" i="106"/>
  <c r="F503" i="106"/>
  <c r="G503" i="106" s="1"/>
  <c r="B504" i="106"/>
  <c r="F504" i="106"/>
  <c r="G504" i="106" s="1"/>
  <c r="B505" i="106"/>
  <c r="F505" i="106"/>
  <c r="G505" i="106" s="1"/>
  <c r="B506" i="106"/>
  <c r="F506" i="106"/>
  <c r="G506" i="106" s="1"/>
  <c r="B507" i="106"/>
  <c r="F507" i="106"/>
  <c r="G507" i="106" s="1"/>
  <c r="B508" i="106"/>
  <c r="F508" i="106"/>
  <c r="G508" i="106" s="1"/>
  <c r="B509" i="106"/>
  <c r="F509" i="106"/>
  <c r="G509" i="106" s="1"/>
  <c r="B510" i="106"/>
  <c r="F510" i="106"/>
  <c r="G510" i="106" s="1"/>
  <c r="B511" i="106"/>
  <c r="F511" i="106"/>
  <c r="G511" i="106" s="1"/>
  <c r="B512" i="106"/>
  <c r="F512" i="106"/>
  <c r="G512" i="106" s="1"/>
  <c r="B513" i="106"/>
  <c r="F513" i="106"/>
  <c r="G513" i="106" s="1"/>
  <c r="B514" i="106"/>
  <c r="F514" i="106"/>
  <c r="G514" i="106" s="1"/>
  <c r="B515" i="106"/>
  <c r="F515" i="106"/>
  <c r="G515" i="106" s="1"/>
  <c r="B516" i="106"/>
  <c r="F516" i="106"/>
  <c r="G516" i="106" s="1"/>
  <c r="B517" i="106"/>
  <c r="F517" i="106"/>
  <c r="G517" i="106" s="1"/>
  <c r="B518" i="106"/>
  <c r="F518" i="106"/>
  <c r="G518" i="106" s="1"/>
  <c r="B519" i="106"/>
  <c r="F519" i="106"/>
  <c r="G519" i="106" s="1"/>
  <c r="B520" i="106"/>
  <c r="F520" i="106"/>
  <c r="G520" i="106" s="1"/>
  <c r="B521" i="106"/>
  <c r="F521" i="106"/>
  <c r="G521" i="106" s="1"/>
  <c r="B522" i="106"/>
  <c r="F522" i="106"/>
  <c r="G522" i="106" s="1"/>
  <c r="B523" i="106"/>
  <c r="F523" i="106"/>
  <c r="G523" i="106" s="1"/>
  <c r="B524" i="106"/>
  <c r="F524" i="106"/>
  <c r="G524" i="106" s="1"/>
  <c r="B525" i="106"/>
  <c r="F525" i="106"/>
  <c r="G525" i="106" s="1"/>
  <c r="B526" i="106"/>
  <c r="F526" i="106"/>
  <c r="G526" i="106" s="1"/>
  <c r="B527" i="106"/>
  <c r="F527" i="106"/>
  <c r="G527" i="106" s="1"/>
  <c r="B528" i="106"/>
  <c r="F528" i="106"/>
  <c r="G528" i="106" s="1"/>
  <c r="B529" i="106"/>
  <c r="F529" i="106"/>
  <c r="G529" i="106" s="1"/>
  <c r="B530" i="106"/>
  <c r="F530" i="106"/>
  <c r="G530" i="106" s="1"/>
  <c r="B531" i="106"/>
  <c r="F531" i="106"/>
  <c r="G531" i="106" s="1"/>
  <c r="B532" i="106"/>
  <c r="F532" i="106"/>
  <c r="G532" i="106" s="1"/>
  <c r="B533" i="106"/>
  <c r="F533" i="106"/>
  <c r="G533" i="106" s="1"/>
  <c r="B534" i="106"/>
  <c r="F534" i="106"/>
  <c r="G534" i="106" s="1"/>
  <c r="B535" i="106"/>
  <c r="F535" i="106"/>
  <c r="G535" i="106" s="1"/>
  <c r="B536" i="106"/>
  <c r="F536" i="106"/>
  <c r="G536" i="106" s="1"/>
  <c r="B537" i="106"/>
  <c r="F537" i="106"/>
  <c r="G537" i="106" s="1"/>
  <c r="B538" i="106"/>
  <c r="F538" i="106"/>
  <c r="G538" i="106" s="1"/>
  <c r="B539" i="106"/>
  <c r="F539" i="106"/>
  <c r="G539" i="106" s="1"/>
  <c r="B540" i="106"/>
  <c r="F540" i="106"/>
  <c r="G540" i="106" s="1"/>
  <c r="B541" i="106"/>
  <c r="F541" i="106"/>
  <c r="G541" i="106" s="1"/>
  <c r="B542" i="106"/>
  <c r="F542" i="106"/>
  <c r="G542" i="106" s="1"/>
  <c r="B543" i="106"/>
  <c r="F543" i="106"/>
  <c r="G543" i="106" s="1"/>
  <c r="B544" i="106"/>
  <c r="F544" i="106"/>
  <c r="G544" i="106" s="1"/>
  <c r="B545" i="106"/>
  <c r="F545" i="106"/>
  <c r="G545" i="106" s="1"/>
  <c r="B546" i="106"/>
  <c r="F546" i="106"/>
  <c r="G546" i="106" s="1"/>
  <c r="B547" i="106"/>
  <c r="F547" i="106"/>
  <c r="G547" i="106" s="1"/>
  <c r="B548" i="106"/>
  <c r="F548" i="106"/>
  <c r="G548" i="106" s="1"/>
  <c r="B549" i="106"/>
  <c r="F549" i="106"/>
  <c r="G549" i="106" s="1"/>
  <c r="B550" i="106"/>
  <c r="F550" i="106"/>
  <c r="G550" i="106" s="1"/>
  <c r="B551" i="106"/>
  <c r="F551" i="106"/>
  <c r="G551" i="106" s="1"/>
  <c r="B552" i="106"/>
  <c r="F552" i="106"/>
  <c r="G552" i="106" s="1"/>
  <c r="B553" i="106"/>
  <c r="F553" i="106"/>
  <c r="G553" i="106" s="1"/>
  <c r="B554" i="106"/>
  <c r="F554" i="106"/>
  <c r="G554" i="106" s="1"/>
  <c r="B555" i="106"/>
  <c r="F555" i="106"/>
  <c r="G555" i="106" s="1"/>
  <c r="B556" i="106"/>
  <c r="F556" i="106"/>
  <c r="G556" i="106" s="1"/>
  <c r="B557" i="106"/>
  <c r="F557" i="106"/>
  <c r="G557" i="106" s="1"/>
  <c r="B558" i="106"/>
  <c r="F558" i="106"/>
  <c r="G558" i="106" s="1"/>
  <c r="B559" i="106"/>
  <c r="F559" i="106"/>
  <c r="G559" i="106" s="1"/>
  <c r="B560" i="106"/>
  <c r="F560" i="106"/>
  <c r="G560" i="106" s="1"/>
  <c r="B561" i="106"/>
  <c r="F561" i="106"/>
  <c r="G561" i="106" s="1"/>
  <c r="B562" i="106"/>
  <c r="F562" i="106"/>
  <c r="G562" i="106" s="1"/>
  <c r="B563" i="106"/>
  <c r="F563" i="106"/>
  <c r="G563" i="106" s="1"/>
  <c r="B564" i="106"/>
  <c r="F564" i="106"/>
  <c r="G564" i="106" s="1"/>
  <c r="B565" i="106"/>
  <c r="F565" i="106"/>
  <c r="G565" i="106" s="1"/>
  <c r="B566" i="106"/>
  <c r="F566" i="106"/>
  <c r="G566" i="106" s="1"/>
  <c r="B567" i="106"/>
  <c r="F567" i="106"/>
  <c r="G567" i="106" s="1"/>
  <c r="B568" i="106"/>
  <c r="F568" i="106"/>
  <c r="G568" i="106" s="1"/>
  <c r="B569" i="106"/>
  <c r="F569" i="106"/>
  <c r="G569" i="106" s="1"/>
  <c r="B570" i="106"/>
  <c r="F570" i="106"/>
  <c r="G570" i="106" s="1"/>
  <c r="B571" i="106"/>
  <c r="F571" i="106"/>
  <c r="G571" i="106" s="1"/>
  <c r="B572" i="106"/>
  <c r="F572" i="106"/>
  <c r="G572" i="106" s="1"/>
  <c r="B573" i="106"/>
  <c r="F573" i="106"/>
  <c r="G573" i="106" s="1"/>
  <c r="B574" i="106"/>
  <c r="F574" i="106"/>
  <c r="G574" i="106" s="1"/>
  <c r="B575" i="106"/>
  <c r="F575" i="106"/>
  <c r="G575" i="106" s="1"/>
  <c r="B576" i="106"/>
  <c r="F576" i="106"/>
  <c r="G576" i="106" s="1"/>
  <c r="B577" i="106"/>
  <c r="F577" i="106"/>
  <c r="G577" i="106" s="1"/>
  <c r="B578" i="106"/>
  <c r="F578" i="106"/>
  <c r="G578" i="106" s="1"/>
  <c r="B579" i="106"/>
  <c r="F579" i="106"/>
  <c r="G579" i="106" s="1"/>
  <c r="B580" i="106"/>
  <c r="F580" i="106"/>
  <c r="G580" i="106" s="1"/>
  <c r="B581" i="106"/>
  <c r="F581" i="106"/>
  <c r="G581" i="106" s="1"/>
  <c r="B582" i="106"/>
  <c r="F582" i="106"/>
  <c r="G582" i="106" s="1"/>
  <c r="B583" i="106"/>
  <c r="F583" i="106"/>
  <c r="G583" i="106" s="1"/>
  <c r="B584" i="106"/>
  <c r="F584" i="106"/>
  <c r="G584" i="106" s="1"/>
  <c r="B585" i="106"/>
  <c r="F585" i="106"/>
  <c r="G585" i="106" s="1"/>
  <c r="B586" i="106"/>
  <c r="F586" i="106"/>
  <c r="G586" i="106" s="1"/>
  <c r="B587" i="106"/>
  <c r="F587" i="106"/>
  <c r="G587" i="106" s="1"/>
  <c r="B588" i="106"/>
  <c r="F588" i="106"/>
  <c r="G588" i="106" s="1"/>
  <c r="B589" i="106"/>
  <c r="F589" i="106"/>
  <c r="G589" i="106" s="1"/>
  <c r="B590" i="106"/>
  <c r="F590" i="106"/>
  <c r="G590" i="106" s="1"/>
  <c r="B591" i="106"/>
  <c r="F591" i="106"/>
  <c r="G591" i="106" s="1"/>
  <c r="B592" i="106"/>
  <c r="F592" i="106"/>
  <c r="G592" i="106" s="1"/>
  <c r="B593" i="106"/>
  <c r="F593" i="106"/>
  <c r="G593" i="106" s="1"/>
  <c r="B594" i="106"/>
  <c r="F594" i="106"/>
  <c r="G594" i="106" s="1"/>
  <c r="B595" i="106"/>
  <c r="F595" i="106"/>
  <c r="G595" i="106" s="1"/>
  <c r="B596" i="106"/>
  <c r="F596" i="106"/>
  <c r="G596" i="106" s="1"/>
  <c r="B597" i="106"/>
  <c r="F597" i="106"/>
  <c r="G597" i="106" s="1"/>
  <c r="B598" i="106"/>
  <c r="F598" i="106"/>
  <c r="G598" i="106" s="1"/>
  <c r="B599" i="106"/>
  <c r="F599" i="106"/>
  <c r="G599" i="106" s="1"/>
  <c r="B600" i="106"/>
  <c r="F600" i="106"/>
  <c r="G600" i="106" s="1"/>
  <c r="B601" i="106"/>
  <c r="F601" i="106"/>
  <c r="G601" i="106" s="1"/>
  <c r="B602" i="106"/>
  <c r="F602" i="106"/>
  <c r="G602" i="106" s="1"/>
  <c r="B603" i="106"/>
  <c r="F603" i="106"/>
  <c r="G603" i="106" s="1"/>
  <c r="B604" i="106"/>
  <c r="F604" i="106"/>
  <c r="G604" i="106" s="1"/>
  <c r="B605" i="106"/>
  <c r="F605" i="106"/>
  <c r="G605" i="106" s="1"/>
  <c r="B606" i="106"/>
  <c r="F606" i="106"/>
  <c r="G606" i="106" s="1"/>
  <c r="B607" i="106"/>
  <c r="F607" i="106"/>
  <c r="G607" i="106" s="1"/>
  <c r="B608" i="106"/>
  <c r="F608" i="106"/>
  <c r="G608" i="106" s="1"/>
  <c r="B609" i="106"/>
  <c r="F609" i="106"/>
  <c r="G609" i="106" s="1"/>
  <c r="B610" i="106"/>
  <c r="F610" i="106"/>
  <c r="G610" i="106" s="1"/>
  <c r="B11" i="106"/>
  <c r="G11" i="106" s="1"/>
  <c r="H11" i="106"/>
  <c r="E16" i="38" l="1"/>
  <c r="E17" i="38"/>
  <c r="E18" i="38"/>
  <c r="E19" i="38"/>
  <c r="E20" i="38"/>
  <c r="E21" i="38"/>
  <c r="E22" i="38"/>
  <c r="E15" i="38"/>
  <c r="B26" i="38" l="1"/>
  <c r="B27" i="38"/>
  <c r="B28" i="38"/>
  <c r="B29" i="38"/>
  <c r="B30" i="38"/>
  <c r="B31" i="38"/>
  <c r="B32" i="38"/>
  <c r="B25" i="38"/>
  <c r="A26" i="38"/>
  <c r="A27" i="38"/>
  <c r="A28" i="38"/>
  <c r="A29" i="38"/>
  <c r="A30" i="38"/>
  <c r="A31" i="38"/>
  <c r="A32" i="38"/>
  <c r="A25" i="38"/>
  <c r="A16" i="38" l="1"/>
  <c r="A17" i="38"/>
  <c r="A18" i="38"/>
  <c r="A19" i="38"/>
  <c r="A20" i="38"/>
  <c r="A21" i="38"/>
  <c r="A22" i="38"/>
  <c r="B16" i="38"/>
  <c r="B17" i="38"/>
  <c r="B18" i="38"/>
  <c r="B19" i="38"/>
  <c r="B20" i="38"/>
  <c r="B21" i="38"/>
  <c r="B22" i="38"/>
  <c r="N80" i="38" l="1"/>
  <c r="N79" i="38"/>
  <c r="M80" i="38"/>
  <c r="M79" i="38"/>
  <c r="N70" i="38"/>
  <c r="N69" i="38"/>
  <c r="M70" i="38"/>
  <c r="M69" i="38"/>
  <c r="N60" i="38"/>
  <c r="N59" i="38"/>
  <c r="M60" i="38"/>
  <c r="M59" i="38"/>
  <c r="N50" i="38"/>
  <c r="N49" i="38"/>
  <c r="M50" i="38"/>
  <c r="M49" i="38"/>
  <c r="N40" i="38"/>
  <c r="N39" i="38"/>
  <c r="M40" i="38"/>
  <c r="M39" i="38"/>
  <c r="C81" i="38"/>
  <c r="C71" i="38"/>
  <c r="C61" i="38"/>
  <c r="C51" i="38"/>
  <c r="C41" i="38"/>
  <c r="B15" i="38"/>
  <c r="A15" i="38"/>
  <c r="C4" i="39"/>
  <c r="C3" i="38" s="1"/>
  <c r="C4" i="38" l="1"/>
  <c r="D16" i="38" s="1"/>
  <c r="C6" i="38"/>
  <c r="D18" i="38" s="1"/>
  <c r="C8" i="38"/>
  <c r="D20" i="38" s="1"/>
  <c r="C5" i="38"/>
  <c r="D17" i="38" s="1"/>
  <c r="C7" i="38"/>
  <c r="D19" i="38" s="1"/>
  <c r="C9" i="38"/>
  <c r="D21" i="38" s="1"/>
  <c r="C10" i="38"/>
  <c r="D22" i="38" s="1"/>
  <c r="C15" i="38"/>
  <c r="F31" i="38" l="1"/>
  <c r="C31" i="38"/>
  <c r="F27" i="38"/>
  <c r="C27" i="38"/>
  <c r="C28" i="38"/>
  <c r="F28" i="38"/>
  <c r="C32" i="38"/>
  <c r="F32" i="38"/>
  <c r="F29" i="38"/>
  <c r="C29" i="38"/>
  <c r="C30" i="38"/>
  <c r="F30" i="38"/>
  <c r="C26" i="38"/>
  <c r="F26" i="38"/>
  <c r="C22" i="38"/>
  <c r="C21" i="38"/>
  <c r="C20" i="38"/>
  <c r="C19" i="38"/>
  <c r="C16" i="38"/>
  <c r="C17" i="38"/>
  <c r="C18" i="38"/>
  <c r="D15" i="38"/>
  <c r="C25" i="38"/>
  <c r="F25" i="38"/>
</calcChain>
</file>

<file path=xl/sharedStrings.xml><?xml version="1.0" encoding="utf-8"?>
<sst xmlns="http://schemas.openxmlformats.org/spreadsheetml/2006/main" count="435" uniqueCount="123">
  <si>
    <t>CUMU1</t>
  </si>
  <si>
    <t>CUMU2</t>
  </si>
  <si>
    <t>CUMU3</t>
  </si>
  <si>
    <t>CUMU4</t>
  </si>
  <si>
    <t>Set1</t>
  </si>
  <si>
    <t>Set2</t>
  </si>
  <si>
    <t>Set3</t>
  </si>
  <si>
    <t>Set4</t>
  </si>
  <si>
    <t>Set5</t>
  </si>
  <si>
    <t>PDI</t>
  </si>
  <si>
    <t>Lam/A</t>
  </si>
  <si>
    <t>Refin</t>
  </si>
  <si>
    <t>FileName</t>
  </si>
  <si>
    <t>AngDeg</t>
  </si>
  <si>
    <t>Q2/cm-2</t>
  </si>
  <si>
    <t>PDI3</t>
  </si>
  <si>
    <t>Q2/10^10cm-2</t>
  </si>
  <si>
    <t>A2</t>
  </si>
  <si>
    <t>G2</t>
  </si>
  <si>
    <t>Angdeg</t>
  </si>
  <si>
    <t>Dapp3/</t>
  </si>
  <si>
    <t>Ficks</t>
  </si>
  <si>
    <t>Dapp1</t>
  </si>
  <si>
    <t>/kHz</t>
  </si>
  <si>
    <t>Gam</t>
  </si>
  <si>
    <t xml:space="preserve">Gam </t>
  </si>
  <si>
    <t xml:space="preserve">  Not installed yet</t>
  </si>
  <si>
    <t>Gam1</t>
  </si>
  <si>
    <t>3Cumu</t>
  </si>
  <si>
    <t xml:space="preserve">Set 6 </t>
  </si>
  <si>
    <t xml:space="preserve">Set 7 </t>
  </si>
  <si>
    <t>Set 8</t>
  </si>
  <si>
    <t>Overall strategy is run the program twice:</t>
  </si>
  <si>
    <t>first time identifies bad runs &amp; makes overall average with statistics</t>
  </si>
  <si>
    <t>second time select all runs (ctrl-A on input) then delete bad runs; generate selected average and statistics</t>
  </si>
  <si>
    <t>I keep killing the design notes tab, but here's the gist of it</t>
  </si>
  <si>
    <t xml:space="preserve">Current problems: </t>
  </si>
  <si>
    <t>Cleanup of Final4 plots</t>
  </si>
  <si>
    <t xml:space="preserve">Importing and averaging the ALV's cumulants results </t>
  </si>
  <si>
    <t>Moving ahead to fits (Frisken, nonlinear least squares, etc)</t>
  </si>
  <si>
    <t>Gamma vs q2, Rhapp vs q2 plots</t>
  </si>
  <si>
    <t>Rearrange averaged &amp; noise plots for Origin plotting</t>
  </si>
  <si>
    <t>I think the 1/16/2022 version contained some of the fixes necessitated by whatever disaster</t>
  </si>
  <si>
    <t xml:space="preserve">attends the downgrade from Office365 to 2019. It looked like the </t>
  </si>
  <si>
    <t>.find property cannot use xlformulas2 library. I fixed some of these on 1/16/2022 but</t>
  </si>
  <si>
    <t xml:space="preserve">maybe not all of them. I thought it was running, but today it does not. Maybe this is one of </t>
  </si>
  <si>
    <t>those cases where I stopped after figuring it out, but did not follow through with everything.</t>
  </si>
  <si>
    <t xml:space="preserve">In defense, Mary's stroke came on 1/19/2022 so I did not quickly get back to this issue. </t>
  </si>
  <si>
    <t>What I remember was I had to retype the whole line (or do something wholly) from the start</t>
  </si>
  <si>
    <t xml:space="preserve">Just changing xlformulas2 to xlformulas did not cut it. </t>
  </si>
  <si>
    <t xml:space="preserve">Ah…now it comes back to me. I think I had to make a new Excel file and record that macro in </t>
  </si>
  <si>
    <t xml:space="preserve">Excel 2019. </t>
  </si>
  <si>
    <t xml:space="preserve">This time, searching the .find statements and replacing xlformulas2 with xlformulas did fix a crash. </t>
  </si>
  <si>
    <t>Next: clear sheets routine should remove the graphs of average correlation functions</t>
  </si>
  <si>
    <t>Also, the axes should be altered for a sensible ymax and crosses at values</t>
  </si>
  <si>
    <t>Users should be offered a chance to set xmax &amp; ymax for all runs after first correlogram is displayed</t>
  </si>
  <si>
    <t>Clear sheets now removes graphs of the averaged plots</t>
  </si>
  <si>
    <t>To begin the cumulants analysis, added ForExport worksheet and macro to populate it; can use in Origin</t>
  </si>
  <si>
    <t xml:space="preserve">        and maybe this becomes the start of the cumulants package. </t>
  </si>
  <si>
    <t xml:space="preserve">See a .txt file for some links to weighted polynomial least squares. </t>
  </si>
  <si>
    <t xml:space="preserve">Maybe the best way is the nonlinear, as it is easy to minimize the weighted sum of squares. </t>
  </si>
  <si>
    <t>Still no xmax &amp; ymax after first run displayed…marking that red (see 2 rows up) for undone (not sure it really matters)</t>
  </si>
  <si>
    <t>Angle/deg</t>
  </si>
  <si>
    <t>Base Adjust</t>
  </si>
  <si>
    <t>A1</t>
  </si>
  <si>
    <t>A3</t>
  </si>
  <si>
    <t>Gamma1</t>
  </si>
  <si>
    <t>Gamma2</t>
  </si>
  <si>
    <t>Gamma3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</si>
  <si>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/cm</t>
    </r>
    <r>
      <rPr>
        <vertAlign val="superscript"/>
        <sz val="11"/>
        <color theme="1"/>
        <rFont val="Calibri"/>
        <family val="2"/>
        <scheme val="minor"/>
      </rPr>
      <t>-2</t>
    </r>
  </si>
  <si>
    <t>lag time/s</t>
  </si>
  <si>
    <t>lag time/ms</t>
  </si>
  <si>
    <t>SSE</t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</si>
  <si>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</t>
    </r>
  </si>
  <si>
    <r>
      <t>g</t>
    </r>
    <r>
      <rPr>
        <vertAlign val="superscript"/>
        <sz val="11"/>
        <color theme="1"/>
        <rFont val="Calibri"/>
        <family val="2"/>
        <scheme val="minor"/>
      </rPr>
      <t>(2)</t>
    </r>
    <r>
      <rPr>
        <sz val="11"/>
        <color theme="1"/>
        <rFont val="Calibri"/>
        <family val="2"/>
        <scheme val="minor"/>
      </rPr>
      <t>-1, calc</t>
    </r>
  </si>
  <si>
    <t>First Channel Used</t>
  </si>
  <si>
    <t>Index</t>
  </si>
  <si>
    <t>SE</t>
  </si>
  <si>
    <t>Error</t>
  </si>
  <si>
    <t>Last  Channel Used</t>
  </si>
  <si>
    <t>row #</t>
  </si>
  <si>
    <t>q2/cm-2</t>
  </si>
  <si>
    <t>kHz</t>
  </si>
  <si>
    <r>
      <t>q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/10</t>
    </r>
    <r>
      <rPr>
        <vertAlign val="superscript"/>
        <sz val="11"/>
        <color theme="1"/>
        <rFont val="Calibri"/>
        <family val="2"/>
        <scheme val="minor"/>
      </rPr>
      <t>10</t>
    </r>
  </si>
  <si>
    <t>TdegC</t>
  </si>
  <si>
    <t>TdegK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</si>
  <si>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</si>
  <si>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Dapp1/10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</si>
  <si>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Dapp2/10</t>
    </r>
    <r>
      <rPr>
        <vertAlign val="superscript"/>
        <sz val="11"/>
        <color theme="1"/>
        <rFont val="Calibri"/>
        <family val="2"/>
        <scheme val="minor"/>
      </rPr>
      <t>-7</t>
    </r>
  </si>
  <si>
    <r>
      <t>Dapp3/10</t>
    </r>
    <r>
      <rPr>
        <vertAlign val="superscript"/>
        <sz val="11"/>
        <color theme="1"/>
        <rFont val="Calibri"/>
        <family val="2"/>
        <scheme val="minor"/>
      </rPr>
      <t>-7</t>
    </r>
  </si>
  <si>
    <t>Rhapp1</t>
  </si>
  <si>
    <t>Rhapp2</t>
  </si>
  <si>
    <t>Rhapp3</t>
  </si>
  <si>
    <t>nm</t>
  </si>
  <si>
    <r>
      <t>kBoltz/erg.K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</si>
  <si>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Eta/cP (P=g.cm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</si>
  <si>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Multiple exponential fitting has been achieved (MEXP via intermediate ForExport sheet)</t>
  </si>
  <si>
    <t>The ForExport sheet can be exported to Origin or similar programs</t>
  </si>
  <si>
    <t>Seems to work remarkably well; this is the first time I have operated Solver from VBA;</t>
  </si>
  <si>
    <t xml:space="preserve">I don't know why we have to look at the approval of the Solver results dialog, but it's probably not a bad idea anyway. </t>
  </si>
  <si>
    <t>Data could be copied out of the ForExport sheet for a traditional linear fitting cumulants approach</t>
  </si>
  <si>
    <t>The next thing is to experiment whether the MEXP sheet can be copied and turned into a Frisken-like nonlinear cumulants</t>
  </si>
  <si>
    <t>2. The color codes don't match: should proceed from low-to-high angles as green, red, yellow, cyan, dark green, dark red, golden, dark blue</t>
  </si>
  <si>
    <t xml:space="preserve">The best way to fix this will be to plot something and record a macro while changing all the colors. </t>
  </si>
  <si>
    <t>Added plots showing noise (uncertainties) after the averaging</t>
  </si>
  <si>
    <t>Repaired data that got "splinched" due to a missing Sheets("Main").select line in the routine that populates ForExport</t>
  </si>
  <si>
    <t>G</t>
  </si>
  <si>
    <t>m2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</si>
  <si>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</si>
  <si>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m</t>
    </r>
    <r>
      <rPr>
        <vertAlign val="subscript"/>
        <sz val="11"/>
        <color theme="1"/>
        <rFont val="Symbol"/>
        <family val="1"/>
        <charset val="2"/>
      </rPr>
      <t>3</t>
    </r>
  </si>
  <si>
    <t>f</t>
  </si>
  <si>
    <t>m4</t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</si>
  <si>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scheme val="minor"/>
      </rPr>
      <t>4</t>
    </r>
  </si>
  <si>
    <r>
      <rPr>
        <sz val="11"/>
        <color theme="0" tint="-4.9989318521683403E-2"/>
        <rFont val="Symbol"/>
        <family val="1"/>
        <charset val="2"/>
      </rPr>
      <t>m</t>
    </r>
    <r>
      <rPr>
        <vertAlign val="subscript"/>
        <sz val="11"/>
        <color theme="0" tint="-4.9989318521683403E-2"/>
        <rFont val="Calibri"/>
        <family val="2"/>
        <scheme val="minor"/>
      </rPr>
      <t>2</t>
    </r>
  </si>
  <si>
    <r>
      <t>m</t>
    </r>
    <r>
      <rPr>
        <vertAlign val="subscript"/>
        <sz val="11"/>
        <color theme="0" tint="-4.9989318521683403E-2"/>
        <rFont val="Symbol"/>
        <family val="1"/>
        <charset val="2"/>
      </rPr>
      <t>3</t>
    </r>
  </si>
  <si>
    <r>
      <t>m</t>
    </r>
    <r>
      <rPr>
        <vertAlign val="subscript"/>
        <sz val="11"/>
        <color theme="1"/>
        <rFont val="Symbol"/>
        <family val="1"/>
        <charset val="2"/>
      </rPr>
      <t>4</t>
    </r>
  </si>
  <si>
    <r>
      <t>Dapp/10</t>
    </r>
    <r>
      <rPr>
        <vertAlign val="superscript"/>
        <sz val="11"/>
        <color theme="1"/>
        <rFont val="Calibri"/>
        <family val="2"/>
        <scheme val="minor"/>
      </rPr>
      <t>-7</t>
    </r>
  </si>
  <si>
    <t>unitless</t>
  </si>
  <si>
    <r>
      <t>cm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</si>
  <si>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</si>
  <si>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3</t>
    </r>
  </si>
  <si>
    <r>
      <t>kHz</t>
    </r>
    <r>
      <rPr>
        <vertAlign val="superscript"/>
        <sz val="11"/>
        <color theme="1"/>
        <rFont val="Calibri"/>
        <family val="2"/>
        <scheme val="minor"/>
      </rPr>
      <t>4</t>
    </r>
  </si>
  <si>
    <t>kHz2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</si>
</sst>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E+00"/>
    <numFmt numFmtId="167" formatCode="0.0000E+00"/>
  </numFmts>
  <fonts count="28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Symbol"/>
      <family val="1"/>
      <charset val="2"/>
    </font>
    <font>
      <vertAlign val="subscript"/>
      <sz val="11"/>
      <color theme="0" tint="-4.9989318521683403E-2"/>
      <name val="Calibri"/>
      <family val="2"/>
      <scheme val="minor"/>
    </font>
    <font>
      <vertAlign val="subscript"/>
      <sz val="11"/>
      <color theme="0" tint="-4.9989318521683403E-2"/>
      <name val="Symbol"/>
      <family val="1"/>
      <charset val="2"/>
    </font>
    <font>
      <sz val="11"/>
      <color theme="0" tint="-4.9989318521683403E-2"/>
      <name val="Arial"/>
      <family val="2"/>
    </font>
    <font>
      <sz val="11"/>
      <color theme="0" tint="-4.9989318521683403E-2"/>
      <name val="Calibri"/>
      <family val="1"/>
      <charset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65" fontId="0" fillId="0" borderId="0" xfId="0" applyNumberFormat="1"/>
    <xf numFmtId="164" fontId="0" fillId="4" borderId="0" xfId="0" applyNumberFormat="1" applyFill="1"/>
    <xf numFmtId="166" fontId="0" fillId="4" borderId="0" xfId="0" applyNumberFormat="1" applyFill="1"/>
    <xf numFmtId="0" fontId="0" fillId="5" borderId="0" xfId="0" applyFill="1"/>
    <xf numFmtId="0" fontId="1" fillId="5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165" fontId="10" fillId="0" borderId="0" xfId="0" applyNumberFormat="1" applyFont="1"/>
    <xf numFmtId="165" fontId="8" fillId="0" borderId="0" xfId="0" applyNumberFormat="1" applyFont="1"/>
    <xf numFmtId="11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9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quotePrefix="1"/>
    <xf numFmtId="0" fontId="13" fillId="0" borderId="0" xfId="0" applyFont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167" fontId="0" fillId="0" borderId="1" xfId="0" applyNumberFormat="1" applyBorder="1"/>
    <xf numFmtId="0" fontId="0" fillId="0" borderId="0" xfId="0" applyFill="1"/>
    <xf numFmtId="0" fontId="0" fillId="3" borderId="1" xfId="0" applyFill="1" applyBorder="1"/>
    <xf numFmtId="0" fontId="15" fillId="8" borderId="1" xfId="0" applyFont="1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15" fillId="12" borderId="1" xfId="0" applyFont="1" applyFill="1" applyBorder="1"/>
    <xf numFmtId="0" fontId="0" fillId="5" borderId="1" xfId="0" applyFill="1" applyBorder="1"/>
    <xf numFmtId="0" fontId="15" fillId="13" borderId="1" xfId="0" applyFont="1" applyFill="1" applyBorder="1"/>
    <xf numFmtId="0" fontId="16" fillId="8" borderId="0" xfId="0" applyFont="1" applyFill="1"/>
    <xf numFmtId="11" fontId="16" fillId="8" borderId="0" xfId="0" applyNumberFormat="1" applyFont="1" applyFill="1"/>
    <xf numFmtId="0" fontId="0" fillId="0" borderId="0" xfId="0" applyFont="1"/>
    <xf numFmtId="0" fontId="17" fillId="0" borderId="1" xfId="0" applyFont="1" applyBorder="1"/>
    <xf numFmtId="0" fontId="18" fillId="0" borderId="1" xfId="0" applyFont="1" applyBorder="1"/>
    <xf numFmtId="0" fontId="21" fillId="0" borderId="1" xfId="0" applyFont="1" applyBorder="1"/>
    <xf numFmtId="0" fontId="0" fillId="0" borderId="0" xfId="0" applyFill="1" applyBorder="1"/>
    <xf numFmtId="0" fontId="18" fillId="0" borderId="0" xfId="0" applyFont="1"/>
    <xf numFmtId="0" fontId="22" fillId="8" borderId="1" xfId="0" applyFont="1" applyFill="1" applyBorder="1"/>
    <xf numFmtId="0" fontId="23" fillId="8" borderId="1" xfId="0" applyFont="1" applyFill="1" applyBorder="1"/>
    <xf numFmtId="0" fontId="21" fillId="9" borderId="1" xfId="0" applyFont="1" applyFill="1" applyBorder="1"/>
    <xf numFmtId="0" fontId="17" fillId="9" borderId="1" xfId="0" applyFont="1" applyFill="1" applyBorder="1"/>
    <xf numFmtId="0" fontId="18" fillId="9" borderId="1" xfId="0" applyFont="1" applyFill="1" applyBorder="1"/>
    <xf numFmtId="0" fontId="21" fillId="10" borderId="1" xfId="0" applyFont="1" applyFill="1" applyBorder="1"/>
    <xf numFmtId="0" fontId="17" fillId="10" borderId="1" xfId="0" applyFont="1" applyFill="1" applyBorder="1"/>
    <xf numFmtId="0" fontId="18" fillId="10" borderId="1" xfId="0" applyFont="1" applyFill="1" applyBorder="1"/>
    <xf numFmtId="0" fontId="21" fillId="11" borderId="1" xfId="0" applyFont="1" applyFill="1" applyBorder="1"/>
    <xf numFmtId="0" fontId="17" fillId="11" borderId="1" xfId="0" applyFont="1" applyFill="1" applyBorder="1"/>
    <xf numFmtId="0" fontId="18" fillId="11" borderId="1" xfId="0" applyFont="1" applyFill="1" applyBorder="1"/>
    <xf numFmtId="0" fontId="21" fillId="5" borderId="1" xfId="0" applyFont="1" applyFill="1" applyBorder="1"/>
    <xf numFmtId="0" fontId="17" fillId="5" borderId="1" xfId="0" applyFont="1" applyFill="1" applyBorder="1"/>
    <xf numFmtId="0" fontId="18" fillId="5" borderId="1" xfId="0" applyFont="1" applyFill="1" applyBorder="1"/>
    <xf numFmtId="0" fontId="26" fillId="13" borderId="1" xfId="0" applyFont="1" applyFill="1" applyBorder="1"/>
    <xf numFmtId="0" fontId="23" fillId="13" borderId="1" xfId="0" applyFont="1" applyFill="1" applyBorder="1"/>
    <xf numFmtId="0" fontId="27" fillId="13" borderId="1" xfId="0" applyFont="1" applyFill="1" applyBorder="1"/>
    <xf numFmtId="0" fontId="26" fillId="12" borderId="1" xfId="0" applyFont="1" applyFill="1" applyBorder="1"/>
    <xf numFmtId="0" fontId="23" fillId="12" borderId="1" xfId="0" applyFont="1" applyFill="1" applyBorder="1"/>
    <xf numFmtId="0" fontId="27" fillId="12" borderId="1" xfId="0" applyFont="1" applyFill="1" applyBorder="1"/>
    <xf numFmtId="0" fontId="17" fillId="3" borderId="1" xfId="0" applyFont="1" applyFill="1" applyBorder="1"/>
    <xf numFmtId="0" fontId="17" fillId="0" borderId="0" xfId="0" applyFont="1"/>
    <xf numFmtId="0" fontId="18" fillId="3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Dapp3Cumu</c:v>
          </c:tx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7.7962579443395505E-2"/>
                  <c:y val="0.21300770997375329"/>
                </c:manualLayout>
              </c:layout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GammaVsQ2!$D$15:$D$22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8ED-4164-B654-1E6BA63B9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33504"/>
        <c:axId val="44935424"/>
      </c:scatterChart>
      <c:valAx>
        <c:axId val="44933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935424"/>
        <c:crosses val="autoZero"/>
        <c:crossBetween val="midCat"/>
      </c:valAx>
      <c:valAx>
        <c:axId val="449354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/>
                  <a:t>D</a:t>
                </a:r>
                <a:r>
                  <a:rPr lang="en-US" sz="1400" b="1" i="0" u="none" strike="noStrike" baseline="-25000"/>
                  <a:t>app</a:t>
                </a:r>
                <a:r>
                  <a:rPr lang="en-US" sz="1400" b="1" i="0" u="none" strike="noStrike" baseline="0"/>
                  <a:t>/10</a:t>
                </a:r>
                <a:r>
                  <a:rPr lang="en-US" sz="1400" b="1" i="0" u="none" strike="noStrike" baseline="30000"/>
                  <a:t>-7</a:t>
                </a:r>
                <a:r>
                  <a:rPr lang="en-US" sz="1400" b="1" i="0" u="none" strike="noStrike" baseline="0"/>
                  <a:t>cm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s</a:t>
                </a:r>
                <a:r>
                  <a:rPr lang="en-US" sz="1400" b="1" i="0" u="none" strike="noStrike" baseline="30000"/>
                  <a:t>-1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26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493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/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-5.3616418015998944E-2"/>
                  <c:y val="0.29966392830470501"/>
                </c:manualLayout>
              </c:layout>
              <c:numFmt formatCode="General" sourceLinked="0"/>
            </c:trendlineLbl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GammaVsQ2!$E$15:$E$22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0-42D0-8763-5277936D9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16576"/>
        <c:axId val="145418496"/>
      </c:scatterChart>
      <c:valAx>
        <c:axId val="14541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5418496"/>
        <c:crosses val="autoZero"/>
        <c:crossBetween val="midCat"/>
      </c:valAx>
      <c:valAx>
        <c:axId val="1454184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m</a:t>
                </a:r>
                <a:r>
                  <a:rPr lang="en-US" sz="1400" b="1" i="0" u="none" strike="noStrike" baseline="-25000"/>
                  <a:t>2</a:t>
                </a:r>
                <a:r>
                  <a:rPr lang="en-US" sz="1400" b="1" i="0" u="none" strike="noStrike" baseline="0"/>
                  <a:t>/</a:t>
                </a: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30000"/>
                  <a:t>2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541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 w="19050">
                <a:solidFill>
                  <a:schemeClr val="accent1"/>
                </a:solidFill>
              </a:ln>
            </c:spPr>
          </c:marke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trendline>
            <c:trendlineType val="linear"/>
            <c:dispRSqr val="0"/>
            <c:dispEq val="0"/>
          </c:trendline>
          <c:xVal>
            <c:numRef>
              <c:f>GammaVsQ2!$C$15:$C$22</c:f>
              <c:numCache>
                <c:formatCode>0.0000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GammaVsQ2!$M$3:$M$10</c:f>
              <c:numCache>
                <c:formatCode>0.00E+00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26-4173-AFFB-6A22D3E8DB90}"/>
            </c:ext>
          </c:extLst>
        </c:ser>
        <c:ser>
          <c:idx val="1"/>
          <c:order val="1"/>
          <c:tx>
            <c:v>Gamma1EXP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 w="19050">
                <a:solidFill>
                  <a:schemeClr val="accent6"/>
                </a:solidFill>
              </a:ln>
            </c:spPr>
          </c:marker>
          <c:xVal>
            <c:numRef>
              <c:f>GammaVsQ2!$C$25:$C$29</c:f>
              <c:numCache>
                <c:formatCode>0.0000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GammaVsQ2!$E$25:$E$29</c:f>
              <c:numCache>
                <c:formatCode>0.00E+00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26-4173-AFFB-6A22D3E8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2304"/>
        <c:axId val="44644608"/>
      </c:scatterChart>
      <c:valAx>
        <c:axId val="4464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baseline="0"/>
                  <a:t>q</a:t>
                </a:r>
                <a:r>
                  <a:rPr lang="en-US" sz="1400" b="1" i="0" baseline="30000"/>
                  <a:t>2</a:t>
                </a:r>
                <a:r>
                  <a:rPr lang="en-US" sz="1400" b="1" i="0" baseline="0"/>
                  <a:t>/10</a:t>
                </a:r>
                <a:r>
                  <a:rPr lang="en-US" sz="1400" b="1" i="0" baseline="30000"/>
                  <a:t>10</a:t>
                </a:r>
                <a:r>
                  <a:rPr lang="en-US" sz="1400" b="1" i="0" baseline="0"/>
                  <a:t> cm</a:t>
                </a:r>
                <a:r>
                  <a:rPr lang="en-US" sz="1400" b="1" i="0" baseline="30000"/>
                  <a:t>-2</a:t>
                </a:r>
                <a:r>
                  <a:rPr lang="en-US" sz="1400" b="1" i="0" baseline="0"/>
                  <a:t> </a:t>
                </a:r>
                <a:r>
                  <a:rPr lang="en-US" sz="1400" b="1" i="0" baseline="30000"/>
                  <a:t>   </a:t>
                </a:r>
                <a:r>
                  <a:rPr lang="en-US" sz="1400" b="1" i="0" baseline="0"/>
                  <a:t>     </a:t>
                </a:r>
                <a:endParaRPr lang="en-US" sz="1400" b="1" i="0" baseline="30000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4644608"/>
        <c:crosses val="autoZero"/>
        <c:crossBetween val="midCat"/>
      </c:valAx>
      <c:valAx>
        <c:axId val="446446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400" b="1" i="0" u="none" strike="noStrike" baseline="0">
                    <a:latin typeface="Symbol" pitchFamily="18" charset="2"/>
                  </a:rPr>
                  <a:t>G</a:t>
                </a:r>
                <a:r>
                  <a:rPr lang="en-US" sz="1400" b="1" i="0" u="none" strike="noStrike" baseline="0"/>
                  <a:t>/kHz</a:t>
                </a:r>
                <a:r>
                  <a:rPr lang="en-US" sz="1400" b="1" i="0" u="none" strike="noStrike" baseline="30000"/>
                  <a:t>1</a:t>
                </a:r>
                <a:r>
                  <a:rPr lang="en-US" sz="1400" b="1" i="0" u="none" strike="noStrike" baseline="0"/>
                  <a:t>  </a:t>
                </a:r>
                <a:r>
                  <a:rPr lang="en-US" sz="1000" b="1" i="0" u="none" strike="noStrike" baseline="0"/>
                  <a:t>    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1850153105861774"/>
            </c:manualLayout>
          </c:layout>
          <c:overlay val="0"/>
        </c:title>
        <c:numFmt formatCode="0.00E+00" sourceLinked="1"/>
        <c:majorTickMark val="out"/>
        <c:minorTickMark val="none"/>
        <c:tickLblPos val="nextTo"/>
        <c:crossAx val="446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91-4149-A228-7CFF74D32D2F}"/>
            </c:ext>
          </c:extLst>
        </c:ser>
        <c:ser>
          <c:idx val="1"/>
          <c:order val="1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91-4149-A228-7CFF74D32D2F}"/>
            </c:ext>
          </c:extLst>
        </c:ser>
        <c:ser>
          <c:idx val="2"/>
          <c:order val="2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91-4149-A228-7CFF74D32D2F}"/>
            </c:ext>
          </c:extLst>
        </c:ser>
        <c:ser>
          <c:idx val="3"/>
          <c:order val="3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91-4149-A228-7CFF74D32D2F}"/>
            </c:ext>
          </c:extLst>
        </c:ser>
        <c:ser>
          <c:idx val="4"/>
          <c:order val="4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91-4149-A228-7CFF74D32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2992"/>
        <c:axId val="44694912"/>
      </c:scatterChart>
      <c:valAx>
        <c:axId val="4469299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4912"/>
        <c:crosses val="autoZero"/>
        <c:crossBetween val="midCat"/>
      </c:valAx>
      <c:valAx>
        <c:axId val="446949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marker>
            <c:symbol val="none"/>
          </c:marker>
          <c:xVal>
            <c:numRef>
              <c:f>GammaVsQ2!$R$41:$R$84</c:f>
              <c:numCache>
                <c:formatCode>General</c:formatCode>
                <c:ptCount val="44"/>
              </c:numCache>
            </c:numRef>
          </c:xVal>
          <c:yVal>
            <c:numRef>
              <c:f>GammaVsQ2!$S$41:$S$84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4F-458E-8484-1EC9ACA69B3C}"/>
            </c:ext>
          </c:extLst>
        </c:ser>
        <c:ser>
          <c:idx val="1"/>
          <c:order val="1"/>
          <c:tx>
            <c:v>1exp</c:v>
          </c:tx>
          <c:marker>
            <c:symbol val="none"/>
          </c:marker>
          <c:xVal>
            <c:numRef>
              <c:f>GammaVsQ2!$M$39:$M$40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4F-458E-8484-1EC9ACA69B3C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GammaVsQ2!$N$39:$N$40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GammaVsQ2!$O$39:$O$40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4F-458E-8484-1EC9ACA69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4048"/>
        <c:axId val="45315968"/>
      </c:scatterChart>
      <c:valAx>
        <c:axId val="4531404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5968"/>
        <c:crosses val="autoZero"/>
        <c:crossBetween val="midCat"/>
      </c:valAx>
      <c:valAx>
        <c:axId val="4531596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2</c:v>
          </c:tx>
          <c:marker>
            <c:symbol val="none"/>
          </c:marker>
          <c:xVal>
            <c:numRef>
              <c:f>GammaVsQ2!$T$41:$T$84</c:f>
              <c:numCache>
                <c:formatCode>General</c:formatCode>
                <c:ptCount val="44"/>
              </c:numCache>
            </c:numRef>
          </c:xVal>
          <c:yVal>
            <c:numRef>
              <c:f>GammaVsQ2!$U$41:$U$84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3-471C-80DD-4D9034045096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GammaVsQ2!$M$49:$M$50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3-471C-80DD-4D9034045096}"/>
            </c:ext>
          </c:extLst>
        </c:ser>
        <c:ser>
          <c:idx val="2"/>
          <c:order val="2"/>
          <c:tx>
            <c:v>3cumu</c:v>
          </c:tx>
          <c:marker>
            <c:symbol val="none"/>
          </c:marker>
          <c:xVal>
            <c:numRef>
              <c:f>GammaVsQ2!$N$49:$N$50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GammaVsQ2!$O$49:$O$50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A3-471C-80DD-4D9034045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9792"/>
        <c:axId val="45368832"/>
      </c:scatterChart>
      <c:valAx>
        <c:axId val="4532979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68832"/>
        <c:crosses val="autoZero"/>
        <c:crossBetween val="midCat"/>
      </c:valAx>
      <c:valAx>
        <c:axId val="453688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3</c:v>
          </c:tx>
          <c:marker>
            <c:symbol val="none"/>
          </c:marker>
          <c:xVal>
            <c:numRef>
              <c:f>GammaVsQ2!$V$41:$V$84</c:f>
              <c:numCache>
                <c:formatCode>General</c:formatCode>
                <c:ptCount val="44"/>
              </c:numCache>
            </c:numRef>
          </c:xVal>
          <c:yVal>
            <c:numRef>
              <c:f>GammaVsQ2!$W$41:$W$84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7-45DF-B150-345BDDDE03B2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GammaVsQ2!$M$59:$M$60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7-45DF-B150-345BDDDE03B2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GammaVsQ2!$N$59:$N$60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GammaVsQ2!$O$59:$O$60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7-45DF-B150-345BDDDE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91232"/>
        <c:axId val="45397504"/>
      </c:scatterChart>
      <c:valAx>
        <c:axId val="45391232"/>
        <c:scaling>
          <c:orientation val="minMax"/>
          <c:max val="2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7504"/>
        <c:crosses val="autoZero"/>
        <c:crossBetween val="midCat"/>
      </c:valAx>
      <c:valAx>
        <c:axId val="453975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9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v>4</c:v>
          </c:tx>
          <c:marker>
            <c:symbol val="none"/>
          </c:marker>
          <c:xVal>
            <c:numRef>
              <c:f>GammaVsQ2!$X$41:$X$84</c:f>
              <c:numCache>
                <c:formatCode>General</c:formatCode>
                <c:ptCount val="44"/>
              </c:numCache>
            </c:numRef>
          </c:xVal>
          <c:yVal>
            <c:numRef>
              <c:f>GammaVsQ2!$Y$41:$Y$84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D-441F-86B5-F2142257B0BE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rgbClr val="C0504D"/>
              </a:solidFill>
            </a:ln>
          </c:spPr>
          <c:marker>
            <c:symbol val="none"/>
          </c:marker>
          <c:xVal>
            <c:numRef>
              <c:f>GammaVsQ2!$M$69:$M$70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3D-441F-86B5-F2142257B0BE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GammaVsQ2!$N$69:$N$70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GammaVsQ2!$O$69:$O$70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3D-441F-86B5-F2142257B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4000"/>
        <c:axId val="45430272"/>
      </c:scatterChart>
      <c:valAx>
        <c:axId val="4542400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30272"/>
        <c:crosses val="autoZero"/>
        <c:crossBetween val="midCat"/>
      </c:valAx>
      <c:valAx>
        <c:axId val="4543027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2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v>5</c:v>
          </c:tx>
          <c:marker>
            <c:symbol val="none"/>
          </c:marker>
          <c:xVal>
            <c:numRef>
              <c:f>GammaVsQ2!$Z$41:$Z$84</c:f>
              <c:numCache>
                <c:formatCode>General</c:formatCode>
                <c:ptCount val="44"/>
              </c:numCache>
            </c:numRef>
          </c:xVal>
          <c:yVal>
            <c:numRef>
              <c:f>GammaVsQ2!$AA$41:$AA$84</c:f>
              <c:numCache>
                <c:formatCode>General</c:formatCode>
                <c:ptCount val="4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E-463A-BB92-051A2217BD0F}"/>
            </c:ext>
          </c:extLst>
        </c:ser>
        <c:ser>
          <c:idx val="0"/>
          <c:order val="1"/>
          <c:tx>
            <c:v>1Exp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GammaVsQ2!$M$79:$M$80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E-463A-BB92-051A2217BD0F}"/>
            </c:ext>
          </c:extLst>
        </c:ser>
        <c:ser>
          <c:idx val="1"/>
          <c:order val="2"/>
          <c:tx>
            <c:v>3Cumu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GammaVsQ2!$N$79:$N$80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GammaVsQ2!$O$79:$O$80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E-463A-BB92-051A2217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0864"/>
        <c:axId val="45471232"/>
      </c:scatterChart>
      <c:valAx>
        <c:axId val="45460864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 baseline="0">
                    <a:latin typeface="Symbol" pitchFamily="18" charset="2"/>
                  </a:rPr>
                  <a:t>G</a:t>
                </a:r>
                <a:r>
                  <a:rPr lang="en-US" sz="1050"/>
                  <a:t>/kHz</a:t>
                </a:r>
                <a:endParaRPr lang="en-US" sz="1050" baseline="3000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71232"/>
        <c:crosses val="autoZero"/>
        <c:crossBetween val="midCat"/>
      </c:valAx>
      <c:valAx>
        <c:axId val="4547123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Amp/a.u.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MEXP!$D$11:$D$225</c:f>
              <c:numCache>
                <c:formatCode>General</c:formatCode>
                <c:ptCount val="21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A-47FF-A7EE-7814BF642464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MEXP!$B$11:$B$225</c:f>
              <c:numCache>
                <c:formatCode>General</c:formatCode>
                <c:ptCount val="2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MEXP!$E$11:$E$225</c:f>
              <c:numCache>
                <c:formatCode>General</c:formatCode>
                <c:ptCount val="2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  <c:pt idx="53">
                  <c:v>0.25</c:v>
                </c:pt>
                <c:pt idx="54">
                  <c:v>0.25</c:v>
                </c:pt>
                <c:pt idx="55">
                  <c:v>0.25</c:v>
                </c:pt>
                <c:pt idx="56">
                  <c:v>0.25</c:v>
                </c:pt>
                <c:pt idx="57">
                  <c:v>0.25</c:v>
                </c:pt>
                <c:pt idx="58">
                  <c:v>0.25</c:v>
                </c:pt>
                <c:pt idx="59">
                  <c:v>0.25</c:v>
                </c:pt>
                <c:pt idx="60">
                  <c:v>0.25</c:v>
                </c:pt>
                <c:pt idx="61">
                  <c:v>0.25</c:v>
                </c:pt>
                <c:pt idx="62">
                  <c:v>0.25</c:v>
                </c:pt>
                <c:pt idx="63">
                  <c:v>0.25</c:v>
                </c:pt>
                <c:pt idx="64">
                  <c:v>0.25</c:v>
                </c:pt>
                <c:pt idx="65">
                  <c:v>0.25</c:v>
                </c:pt>
                <c:pt idx="66">
                  <c:v>0.25</c:v>
                </c:pt>
                <c:pt idx="67">
                  <c:v>0.25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0.25</c:v>
                </c:pt>
                <c:pt idx="72">
                  <c:v>0.25</c:v>
                </c:pt>
                <c:pt idx="73">
                  <c:v>0.25</c:v>
                </c:pt>
                <c:pt idx="74">
                  <c:v>0.25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0.25</c:v>
                </c:pt>
                <c:pt idx="92">
                  <c:v>0.25</c:v>
                </c:pt>
                <c:pt idx="93">
                  <c:v>0.25</c:v>
                </c:pt>
                <c:pt idx="94">
                  <c:v>0.25</c:v>
                </c:pt>
                <c:pt idx="95">
                  <c:v>0.25</c:v>
                </c:pt>
                <c:pt idx="96">
                  <c:v>0.25</c:v>
                </c:pt>
                <c:pt idx="97">
                  <c:v>0.25</c:v>
                </c:pt>
                <c:pt idx="98">
                  <c:v>0.25</c:v>
                </c:pt>
                <c:pt idx="99">
                  <c:v>0.25</c:v>
                </c:pt>
                <c:pt idx="100">
                  <c:v>0.25</c:v>
                </c:pt>
                <c:pt idx="101">
                  <c:v>0.25</c:v>
                </c:pt>
                <c:pt idx="102">
                  <c:v>0.25</c:v>
                </c:pt>
                <c:pt idx="103">
                  <c:v>0.25</c:v>
                </c:pt>
                <c:pt idx="104">
                  <c:v>0.25</c:v>
                </c:pt>
                <c:pt idx="105">
                  <c:v>0.25</c:v>
                </c:pt>
                <c:pt idx="106">
                  <c:v>0.25</c:v>
                </c:pt>
                <c:pt idx="107">
                  <c:v>0.25</c:v>
                </c:pt>
                <c:pt idx="108">
                  <c:v>0.25</c:v>
                </c:pt>
                <c:pt idx="109">
                  <c:v>0.25</c:v>
                </c:pt>
                <c:pt idx="110">
                  <c:v>0.25</c:v>
                </c:pt>
                <c:pt idx="111">
                  <c:v>0.25</c:v>
                </c:pt>
                <c:pt idx="112">
                  <c:v>0.25</c:v>
                </c:pt>
                <c:pt idx="113">
                  <c:v>0.25</c:v>
                </c:pt>
                <c:pt idx="114">
                  <c:v>0.25</c:v>
                </c:pt>
                <c:pt idx="115">
                  <c:v>0.25</c:v>
                </c:pt>
                <c:pt idx="116">
                  <c:v>0.25</c:v>
                </c:pt>
                <c:pt idx="117">
                  <c:v>0.25</c:v>
                </c:pt>
                <c:pt idx="118">
                  <c:v>0.25</c:v>
                </c:pt>
                <c:pt idx="119">
                  <c:v>0.25</c:v>
                </c:pt>
                <c:pt idx="120">
                  <c:v>0.25</c:v>
                </c:pt>
                <c:pt idx="121">
                  <c:v>0.25</c:v>
                </c:pt>
                <c:pt idx="122">
                  <c:v>0.25</c:v>
                </c:pt>
                <c:pt idx="123">
                  <c:v>0.25</c:v>
                </c:pt>
                <c:pt idx="124">
                  <c:v>0.25</c:v>
                </c:pt>
                <c:pt idx="125">
                  <c:v>0.25</c:v>
                </c:pt>
                <c:pt idx="126">
                  <c:v>0.25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0.25</c:v>
                </c:pt>
                <c:pt idx="131">
                  <c:v>0.25</c:v>
                </c:pt>
                <c:pt idx="132">
                  <c:v>0.25</c:v>
                </c:pt>
                <c:pt idx="133">
                  <c:v>0.25</c:v>
                </c:pt>
                <c:pt idx="134">
                  <c:v>0.25</c:v>
                </c:pt>
                <c:pt idx="135">
                  <c:v>0.25</c:v>
                </c:pt>
                <c:pt idx="136">
                  <c:v>0.25</c:v>
                </c:pt>
                <c:pt idx="137">
                  <c:v>0.25</c:v>
                </c:pt>
                <c:pt idx="138">
                  <c:v>0.25</c:v>
                </c:pt>
                <c:pt idx="139">
                  <c:v>0.25</c:v>
                </c:pt>
                <c:pt idx="140">
                  <c:v>0.25</c:v>
                </c:pt>
                <c:pt idx="141">
                  <c:v>0.25</c:v>
                </c:pt>
                <c:pt idx="142">
                  <c:v>0.25</c:v>
                </c:pt>
                <c:pt idx="143">
                  <c:v>0.25</c:v>
                </c:pt>
                <c:pt idx="144">
                  <c:v>0.25</c:v>
                </c:pt>
                <c:pt idx="145">
                  <c:v>0.25</c:v>
                </c:pt>
                <c:pt idx="146">
                  <c:v>0.25</c:v>
                </c:pt>
                <c:pt idx="147">
                  <c:v>0.25</c:v>
                </c:pt>
                <c:pt idx="148">
                  <c:v>0.25</c:v>
                </c:pt>
                <c:pt idx="149">
                  <c:v>0.25</c:v>
                </c:pt>
                <c:pt idx="150">
                  <c:v>0.25</c:v>
                </c:pt>
                <c:pt idx="151">
                  <c:v>0.25</c:v>
                </c:pt>
                <c:pt idx="152">
                  <c:v>0.25</c:v>
                </c:pt>
                <c:pt idx="153">
                  <c:v>0.25</c:v>
                </c:pt>
                <c:pt idx="154">
                  <c:v>0.25</c:v>
                </c:pt>
                <c:pt idx="155">
                  <c:v>0.25</c:v>
                </c:pt>
                <c:pt idx="156">
                  <c:v>0.25</c:v>
                </c:pt>
                <c:pt idx="157">
                  <c:v>0.25</c:v>
                </c:pt>
                <c:pt idx="158">
                  <c:v>0.25</c:v>
                </c:pt>
                <c:pt idx="159">
                  <c:v>0.25</c:v>
                </c:pt>
                <c:pt idx="160">
                  <c:v>0.25</c:v>
                </c:pt>
                <c:pt idx="161">
                  <c:v>0.25</c:v>
                </c:pt>
                <c:pt idx="162">
                  <c:v>0.25</c:v>
                </c:pt>
                <c:pt idx="163">
                  <c:v>0.25</c:v>
                </c:pt>
                <c:pt idx="164">
                  <c:v>0.25</c:v>
                </c:pt>
                <c:pt idx="165">
                  <c:v>0.25</c:v>
                </c:pt>
                <c:pt idx="166">
                  <c:v>0.25</c:v>
                </c:pt>
                <c:pt idx="167">
                  <c:v>0.25</c:v>
                </c:pt>
                <c:pt idx="168">
                  <c:v>0.25</c:v>
                </c:pt>
                <c:pt idx="169">
                  <c:v>0.25</c:v>
                </c:pt>
                <c:pt idx="170">
                  <c:v>0.25</c:v>
                </c:pt>
                <c:pt idx="171">
                  <c:v>0.25</c:v>
                </c:pt>
                <c:pt idx="172">
                  <c:v>0.25</c:v>
                </c:pt>
                <c:pt idx="173">
                  <c:v>0.25</c:v>
                </c:pt>
                <c:pt idx="174">
                  <c:v>0.25</c:v>
                </c:pt>
                <c:pt idx="175">
                  <c:v>0.25</c:v>
                </c:pt>
                <c:pt idx="176">
                  <c:v>0.25</c:v>
                </c:pt>
                <c:pt idx="177">
                  <c:v>0.25</c:v>
                </c:pt>
                <c:pt idx="178">
                  <c:v>0.25</c:v>
                </c:pt>
                <c:pt idx="179">
                  <c:v>0.25</c:v>
                </c:pt>
                <c:pt idx="180">
                  <c:v>0.25</c:v>
                </c:pt>
                <c:pt idx="181">
                  <c:v>0.25</c:v>
                </c:pt>
                <c:pt idx="182">
                  <c:v>0.25</c:v>
                </c:pt>
                <c:pt idx="183">
                  <c:v>0.25</c:v>
                </c:pt>
                <c:pt idx="184">
                  <c:v>0.25</c:v>
                </c:pt>
                <c:pt idx="185">
                  <c:v>0.25</c:v>
                </c:pt>
                <c:pt idx="186">
                  <c:v>0.25</c:v>
                </c:pt>
                <c:pt idx="187">
                  <c:v>0.25</c:v>
                </c:pt>
                <c:pt idx="188">
                  <c:v>0.25</c:v>
                </c:pt>
                <c:pt idx="189">
                  <c:v>0.25</c:v>
                </c:pt>
                <c:pt idx="190">
                  <c:v>0.25</c:v>
                </c:pt>
                <c:pt idx="191">
                  <c:v>0.25</c:v>
                </c:pt>
                <c:pt idx="192">
                  <c:v>0.25</c:v>
                </c:pt>
                <c:pt idx="193">
                  <c:v>0.25</c:v>
                </c:pt>
                <c:pt idx="194">
                  <c:v>0.25</c:v>
                </c:pt>
                <c:pt idx="195">
                  <c:v>0.25</c:v>
                </c:pt>
                <c:pt idx="196">
                  <c:v>0.25</c:v>
                </c:pt>
                <c:pt idx="197">
                  <c:v>0.25</c:v>
                </c:pt>
                <c:pt idx="198">
                  <c:v>0.25</c:v>
                </c:pt>
                <c:pt idx="199">
                  <c:v>0.25</c:v>
                </c:pt>
                <c:pt idx="200">
                  <c:v>0.25</c:v>
                </c:pt>
                <c:pt idx="201">
                  <c:v>0.25</c:v>
                </c:pt>
                <c:pt idx="202">
                  <c:v>0.25</c:v>
                </c:pt>
                <c:pt idx="203">
                  <c:v>0.25</c:v>
                </c:pt>
                <c:pt idx="204">
                  <c:v>0.25</c:v>
                </c:pt>
                <c:pt idx="205">
                  <c:v>0.25</c:v>
                </c:pt>
                <c:pt idx="206">
                  <c:v>0.25</c:v>
                </c:pt>
                <c:pt idx="207">
                  <c:v>0.25</c:v>
                </c:pt>
                <c:pt idx="208">
                  <c:v>0.25</c:v>
                </c:pt>
                <c:pt idx="209">
                  <c:v>0.25</c:v>
                </c:pt>
                <c:pt idx="210">
                  <c:v>0.25</c:v>
                </c:pt>
                <c:pt idx="211">
                  <c:v>0.25</c:v>
                </c:pt>
                <c:pt idx="212">
                  <c:v>0.25</c:v>
                </c:pt>
                <c:pt idx="213">
                  <c:v>0.25</c:v>
                </c:pt>
                <c:pt idx="21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A-47FF-A7EE-7814BF642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MEXP!$B$11:$B$610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MEXP!$F$11:$F$610</c:f>
              <c:numCache>
                <c:formatCode>General</c:formatCode>
                <c:ptCount val="6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  <c:pt idx="100">
                  <c:v>-0.25</c:v>
                </c:pt>
                <c:pt idx="101">
                  <c:v>-0.25</c:v>
                </c:pt>
                <c:pt idx="102">
                  <c:v>-0.25</c:v>
                </c:pt>
                <c:pt idx="103">
                  <c:v>-0.25</c:v>
                </c:pt>
                <c:pt idx="104">
                  <c:v>-0.25</c:v>
                </c:pt>
                <c:pt idx="105">
                  <c:v>-0.25</c:v>
                </c:pt>
                <c:pt idx="106">
                  <c:v>-0.25</c:v>
                </c:pt>
                <c:pt idx="107">
                  <c:v>-0.25</c:v>
                </c:pt>
                <c:pt idx="108">
                  <c:v>-0.25</c:v>
                </c:pt>
                <c:pt idx="109">
                  <c:v>-0.25</c:v>
                </c:pt>
                <c:pt idx="110">
                  <c:v>-0.25</c:v>
                </c:pt>
                <c:pt idx="111">
                  <c:v>-0.25</c:v>
                </c:pt>
                <c:pt idx="112">
                  <c:v>-0.25</c:v>
                </c:pt>
                <c:pt idx="113">
                  <c:v>-0.25</c:v>
                </c:pt>
                <c:pt idx="114">
                  <c:v>-0.25</c:v>
                </c:pt>
                <c:pt idx="115">
                  <c:v>-0.25</c:v>
                </c:pt>
                <c:pt idx="116">
                  <c:v>-0.25</c:v>
                </c:pt>
                <c:pt idx="117">
                  <c:v>-0.25</c:v>
                </c:pt>
                <c:pt idx="118">
                  <c:v>-0.25</c:v>
                </c:pt>
                <c:pt idx="119">
                  <c:v>-0.25</c:v>
                </c:pt>
                <c:pt idx="120">
                  <c:v>-0.25</c:v>
                </c:pt>
                <c:pt idx="121">
                  <c:v>-0.25</c:v>
                </c:pt>
                <c:pt idx="122">
                  <c:v>-0.25</c:v>
                </c:pt>
                <c:pt idx="123">
                  <c:v>-0.25</c:v>
                </c:pt>
                <c:pt idx="124">
                  <c:v>-0.25</c:v>
                </c:pt>
                <c:pt idx="125">
                  <c:v>-0.25</c:v>
                </c:pt>
                <c:pt idx="126">
                  <c:v>-0.25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-0.25</c:v>
                </c:pt>
                <c:pt idx="131">
                  <c:v>-0.25</c:v>
                </c:pt>
                <c:pt idx="132">
                  <c:v>-0.25</c:v>
                </c:pt>
                <c:pt idx="133">
                  <c:v>-0.25</c:v>
                </c:pt>
                <c:pt idx="134">
                  <c:v>-0.25</c:v>
                </c:pt>
                <c:pt idx="135">
                  <c:v>-0.25</c:v>
                </c:pt>
                <c:pt idx="136">
                  <c:v>-0.25</c:v>
                </c:pt>
                <c:pt idx="137">
                  <c:v>-0.25</c:v>
                </c:pt>
                <c:pt idx="138">
                  <c:v>-0.25</c:v>
                </c:pt>
                <c:pt idx="139">
                  <c:v>-0.25</c:v>
                </c:pt>
                <c:pt idx="140">
                  <c:v>-0.25</c:v>
                </c:pt>
                <c:pt idx="141">
                  <c:v>-0.25</c:v>
                </c:pt>
                <c:pt idx="142">
                  <c:v>-0.25</c:v>
                </c:pt>
                <c:pt idx="143">
                  <c:v>-0.25</c:v>
                </c:pt>
                <c:pt idx="144">
                  <c:v>-0.25</c:v>
                </c:pt>
                <c:pt idx="145">
                  <c:v>-0.25</c:v>
                </c:pt>
                <c:pt idx="146">
                  <c:v>-0.25</c:v>
                </c:pt>
                <c:pt idx="147">
                  <c:v>-0.25</c:v>
                </c:pt>
                <c:pt idx="148">
                  <c:v>-0.25</c:v>
                </c:pt>
                <c:pt idx="149">
                  <c:v>-0.25</c:v>
                </c:pt>
                <c:pt idx="150">
                  <c:v>-0.25</c:v>
                </c:pt>
                <c:pt idx="151">
                  <c:v>-0.25</c:v>
                </c:pt>
                <c:pt idx="152">
                  <c:v>-0.25</c:v>
                </c:pt>
                <c:pt idx="153">
                  <c:v>-0.25</c:v>
                </c:pt>
                <c:pt idx="154">
                  <c:v>-0.25</c:v>
                </c:pt>
                <c:pt idx="155">
                  <c:v>-0.25</c:v>
                </c:pt>
                <c:pt idx="156">
                  <c:v>-0.25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-0.25</c:v>
                </c:pt>
                <c:pt idx="161">
                  <c:v>-0.25</c:v>
                </c:pt>
                <c:pt idx="162">
                  <c:v>-0.25</c:v>
                </c:pt>
                <c:pt idx="163">
                  <c:v>-0.25</c:v>
                </c:pt>
                <c:pt idx="164">
                  <c:v>-0.25</c:v>
                </c:pt>
                <c:pt idx="165">
                  <c:v>-0.25</c:v>
                </c:pt>
                <c:pt idx="166">
                  <c:v>-0.25</c:v>
                </c:pt>
                <c:pt idx="167">
                  <c:v>-0.25</c:v>
                </c:pt>
                <c:pt idx="168">
                  <c:v>-0.25</c:v>
                </c:pt>
                <c:pt idx="169">
                  <c:v>-0.25</c:v>
                </c:pt>
                <c:pt idx="170">
                  <c:v>-0.25</c:v>
                </c:pt>
                <c:pt idx="171">
                  <c:v>-0.25</c:v>
                </c:pt>
                <c:pt idx="172">
                  <c:v>-0.25</c:v>
                </c:pt>
                <c:pt idx="173">
                  <c:v>-0.25</c:v>
                </c:pt>
                <c:pt idx="174">
                  <c:v>-0.25</c:v>
                </c:pt>
                <c:pt idx="175">
                  <c:v>-0.25</c:v>
                </c:pt>
                <c:pt idx="176">
                  <c:v>-0.25</c:v>
                </c:pt>
                <c:pt idx="177">
                  <c:v>-0.25</c:v>
                </c:pt>
                <c:pt idx="178">
                  <c:v>-0.25</c:v>
                </c:pt>
                <c:pt idx="179">
                  <c:v>-0.25</c:v>
                </c:pt>
                <c:pt idx="180">
                  <c:v>-0.25</c:v>
                </c:pt>
                <c:pt idx="181">
                  <c:v>-0.25</c:v>
                </c:pt>
                <c:pt idx="182">
                  <c:v>-0.25</c:v>
                </c:pt>
                <c:pt idx="183">
                  <c:v>-0.25</c:v>
                </c:pt>
                <c:pt idx="184">
                  <c:v>-0.25</c:v>
                </c:pt>
                <c:pt idx="185">
                  <c:v>-0.25</c:v>
                </c:pt>
                <c:pt idx="186">
                  <c:v>-0.25</c:v>
                </c:pt>
                <c:pt idx="187">
                  <c:v>-0.25</c:v>
                </c:pt>
                <c:pt idx="188">
                  <c:v>-0.25</c:v>
                </c:pt>
                <c:pt idx="189">
                  <c:v>-0.25</c:v>
                </c:pt>
                <c:pt idx="190">
                  <c:v>-0.25</c:v>
                </c:pt>
                <c:pt idx="191">
                  <c:v>-0.25</c:v>
                </c:pt>
                <c:pt idx="192">
                  <c:v>-0.25</c:v>
                </c:pt>
                <c:pt idx="193">
                  <c:v>-0.25</c:v>
                </c:pt>
                <c:pt idx="194">
                  <c:v>-0.25</c:v>
                </c:pt>
                <c:pt idx="195">
                  <c:v>-0.25</c:v>
                </c:pt>
                <c:pt idx="196">
                  <c:v>-0.25</c:v>
                </c:pt>
                <c:pt idx="197">
                  <c:v>-0.25</c:v>
                </c:pt>
                <c:pt idx="198">
                  <c:v>-0.25</c:v>
                </c:pt>
                <c:pt idx="199">
                  <c:v>-0.25</c:v>
                </c:pt>
                <c:pt idx="200">
                  <c:v>-0.25</c:v>
                </c:pt>
                <c:pt idx="201">
                  <c:v>-0.25</c:v>
                </c:pt>
                <c:pt idx="202">
                  <c:v>-0.25</c:v>
                </c:pt>
                <c:pt idx="203">
                  <c:v>-0.25</c:v>
                </c:pt>
                <c:pt idx="204">
                  <c:v>-0.25</c:v>
                </c:pt>
                <c:pt idx="205">
                  <c:v>-0.25</c:v>
                </c:pt>
                <c:pt idx="206">
                  <c:v>-0.25</c:v>
                </c:pt>
                <c:pt idx="207">
                  <c:v>-0.25</c:v>
                </c:pt>
                <c:pt idx="208">
                  <c:v>-0.25</c:v>
                </c:pt>
                <c:pt idx="209">
                  <c:v>-0.25</c:v>
                </c:pt>
                <c:pt idx="210">
                  <c:v>-0.25</c:v>
                </c:pt>
                <c:pt idx="211">
                  <c:v>-0.25</c:v>
                </c:pt>
                <c:pt idx="212">
                  <c:v>-0.25</c:v>
                </c:pt>
                <c:pt idx="213">
                  <c:v>-0.25</c:v>
                </c:pt>
                <c:pt idx="214">
                  <c:v>-0.25</c:v>
                </c:pt>
                <c:pt idx="215">
                  <c:v>-0.25</c:v>
                </c:pt>
                <c:pt idx="216">
                  <c:v>-0.25</c:v>
                </c:pt>
                <c:pt idx="217">
                  <c:v>-0.25</c:v>
                </c:pt>
                <c:pt idx="218">
                  <c:v>-0.25</c:v>
                </c:pt>
                <c:pt idx="219">
                  <c:v>-0.25</c:v>
                </c:pt>
                <c:pt idx="220">
                  <c:v>-0.25</c:v>
                </c:pt>
                <c:pt idx="221">
                  <c:v>-0.25</c:v>
                </c:pt>
                <c:pt idx="222">
                  <c:v>-0.25</c:v>
                </c:pt>
                <c:pt idx="223">
                  <c:v>-0.25</c:v>
                </c:pt>
                <c:pt idx="224">
                  <c:v>-0.25</c:v>
                </c:pt>
                <c:pt idx="225">
                  <c:v>-0.25</c:v>
                </c:pt>
                <c:pt idx="226">
                  <c:v>-0.25</c:v>
                </c:pt>
                <c:pt idx="227">
                  <c:v>-0.25</c:v>
                </c:pt>
                <c:pt idx="228">
                  <c:v>-0.25</c:v>
                </c:pt>
                <c:pt idx="229">
                  <c:v>-0.25</c:v>
                </c:pt>
                <c:pt idx="230">
                  <c:v>-0.25</c:v>
                </c:pt>
                <c:pt idx="231">
                  <c:v>-0.25</c:v>
                </c:pt>
                <c:pt idx="232">
                  <c:v>-0.25</c:v>
                </c:pt>
                <c:pt idx="233">
                  <c:v>-0.25</c:v>
                </c:pt>
                <c:pt idx="234">
                  <c:v>-0.25</c:v>
                </c:pt>
                <c:pt idx="235">
                  <c:v>-0.25</c:v>
                </c:pt>
                <c:pt idx="236">
                  <c:v>-0.25</c:v>
                </c:pt>
                <c:pt idx="237">
                  <c:v>-0.25</c:v>
                </c:pt>
                <c:pt idx="238">
                  <c:v>-0.25</c:v>
                </c:pt>
                <c:pt idx="239">
                  <c:v>-0.25</c:v>
                </c:pt>
                <c:pt idx="240">
                  <c:v>-0.25</c:v>
                </c:pt>
                <c:pt idx="241">
                  <c:v>-0.25</c:v>
                </c:pt>
                <c:pt idx="242">
                  <c:v>-0.25</c:v>
                </c:pt>
                <c:pt idx="243">
                  <c:v>-0.25</c:v>
                </c:pt>
                <c:pt idx="244">
                  <c:v>-0.25</c:v>
                </c:pt>
                <c:pt idx="245">
                  <c:v>-0.25</c:v>
                </c:pt>
                <c:pt idx="246">
                  <c:v>-0.25</c:v>
                </c:pt>
                <c:pt idx="247">
                  <c:v>-0.25</c:v>
                </c:pt>
                <c:pt idx="248">
                  <c:v>-0.25</c:v>
                </c:pt>
                <c:pt idx="249">
                  <c:v>-0.25</c:v>
                </c:pt>
                <c:pt idx="250">
                  <c:v>-0.25</c:v>
                </c:pt>
                <c:pt idx="251">
                  <c:v>-0.25</c:v>
                </c:pt>
                <c:pt idx="252">
                  <c:v>-0.25</c:v>
                </c:pt>
                <c:pt idx="253">
                  <c:v>-0.25</c:v>
                </c:pt>
                <c:pt idx="254">
                  <c:v>-0.25</c:v>
                </c:pt>
                <c:pt idx="255">
                  <c:v>-0.25</c:v>
                </c:pt>
                <c:pt idx="256">
                  <c:v>-0.25</c:v>
                </c:pt>
                <c:pt idx="257">
                  <c:v>-0.25</c:v>
                </c:pt>
                <c:pt idx="258">
                  <c:v>-0.25</c:v>
                </c:pt>
                <c:pt idx="259">
                  <c:v>-0.25</c:v>
                </c:pt>
                <c:pt idx="260">
                  <c:v>-0.25</c:v>
                </c:pt>
                <c:pt idx="261">
                  <c:v>-0.25</c:v>
                </c:pt>
                <c:pt idx="262">
                  <c:v>-0.25</c:v>
                </c:pt>
                <c:pt idx="263">
                  <c:v>-0.25</c:v>
                </c:pt>
                <c:pt idx="264">
                  <c:v>-0.25</c:v>
                </c:pt>
                <c:pt idx="265">
                  <c:v>-0.25</c:v>
                </c:pt>
                <c:pt idx="266">
                  <c:v>-0.25</c:v>
                </c:pt>
                <c:pt idx="267">
                  <c:v>-0.25</c:v>
                </c:pt>
                <c:pt idx="268">
                  <c:v>-0.25</c:v>
                </c:pt>
                <c:pt idx="269">
                  <c:v>-0.25</c:v>
                </c:pt>
                <c:pt idx="270">
                  <c:v>-0.25</c:v>
                </c:pt>
                <c:pt idx="271">
                  <c:v>-0.25</c:v>
                </c:pt>
                <c:pt idx="272">
                  <c:v>-0.25</c:v>
                </c:pt>
                <c:pt idx="273">
                  <c:v>-0.25</c:v>
                </c:pt>
                <c:pt idx="274">
                  <c:v>-0.25</c:v>
                </c:pt>
                <c:pt idx="275">
                  <c:v>-0.25</c:v>
                </c:pt>
                <c:pt idx="276">
                  <c:v>-0.25</c:v>
                </c:pt>
                <c:pt idx="277">
                  <c:v>-0.25</c:v>
                </c:pt>
                <c:pt idx="278">
                  <c:v>-0.25</c:v>
                </c:pt>
                <c:pt idx="279">
                  <c:v>-0.25</c:v>
                </c:pt>
                <c:pt idx="280">
                  <c:v>-0.25</c:v>
                </c:pt>
                <c:pt idx="281">
                  <c:v>-0.25</c:v>
                </c:pt>
                <c:pt idx="282">
                  <c:v>-0.25</c:v>
                </c:pt>
                <c:pt idx="283">
                  <c:v>-0.25</c:v>
                </c:pt>
                <c:pt idx="284">
                  <c:v>-0.25</c:v>
                </c:pt>
                <c:pt idx="285">
                  <c:v>-0.25</c:v>
                </c:pt>
                <c:pt idx="286">
                  <c:v>-0.25</c:v>
                </c:pt>
                <c:pt idx="287">
                  <c:v>-0.25</c:v>
                </c:pt>
                <c:pt idx="288">
                  <c:v>-0.25</c:v>
                </c:pt>
                <c:pt idx="289">
                  <c:v>-0.25</c:v>
                </c:pt>
                <c:pt idx="290">
                  <c:v>-0.25</c:v>
                </c:pt>
                <c:pt idx="291">
                  <c:v>-0.25</c:v>
                </c:pt>
                <c:pt idx="292">
                  <c:v>-0.25</c:v>
                </c:pt>
                <c:pt idx="293">
                  <c:v>-0.25</c:v>
                </c:pt>
                <c:pt idx="294">
                  <c:v>-0.25</c:v>
                </c:pt>
                <c:pt idx="295">
                  <c:v>-0.25</c:v>
                </c:pt>
                <c:pt idx="296">
                  <c:v>-0.25</c:v>
                </c:pt>
                <c:pt idx="297">
                  <c:v>-0.25</c:v>
                </c:pt>
                <c:pt idx="298">
                  <c:v>-0.25</c:v>
                </c:pt>
                <c:pt idx="299">
                  <c:v>-0.25</c:v>
                </c:pt>
                <c:pt idx="300">
                  <c:v>-0.25</c:v>
                </c:pt>
                <c:pt idx="301">
                  <c:v>-0.25</c:v>
                </c:pt>
                <c:pt idx="302">
                  <c:v>-0.25</c:v>
                </c:pt>
                <c:pt idx="303">
                  <c:v>-0.25</c:v>
                </c:pt>
                <c:pt idx="304">
                  <c:v>-0.25</c:v>
                </c:pt>
                <c:pt idx="305">
                  <c:v>-0.25</c:v>
                </c:pt>
                <c:pt idx="306">
                  <c:v>-0.25</c:v>
                </c:pt>
                <c:pt idx="307">
                  <c:v>-0.25</c:v>
                </c:pt>
                <c:pt idx="308">
                  <c:v>-0.25</c:v>
                </c:pt>
                <c:pt idx="309">
                  <c:v>-0.25</c:v>
                </c:pt>
                <c:pt idx="310">
                  <c:v>-0.25</c:v>
                </c:pt>
                <c:pt idx="311">
                  <c:v>-0.25</c:v>
                </c:pt>
                <c:pt idx="312">
                  <c:v>-0.25</c:v>
                </c:pt>
                <c:pt idx="313">
                  <c:v>-0.25</c:v>
                </c:pt>
                <c:pt idx="314">
                  <c:v>-0.25</c:v>
                </c:pt>
                <c:pt idx="315">
                  <c:v>-0.25</c:v>
                </c:pt>
                <c:pt idx="316">
                  <c:v>-0.25</c:v>
                </c:pt>
                <c:pt idx="317">
                  <c:v>-0.25</c:v>
                </c:pt>
                <c:pt idx="318">
                  <c:v>-0.25</c:v>
                </c:pt>
                <c:pt idx="319">
                  <c:v>-0.25</c:v>
                </c:pt>
                <c:pt idx="320">
                  <c:v>-0.25</c:v>
                </c:pt>
                <c:pt idx="321">
                  <c:v>-0.25</c:v>
                </c:pt>
                <c:pt idx="322">
                  <c:v>-0.25</c:v>
                </c:pt>
                <c:pt idx="323">
                  <c:v>-0.25</c:v>
                </c:pt>
                <c:pt idx="324">
                  <c:v>-0.25</c:v>
                </c:pt>
                <c:pt idx="325">
                  <c:v>-0.25</c:v>
                </c:pt>
                <c:pt idx="326">
                  <c:v>-0.25</c:v>
                </c:pt>
                <c:pt idx="327">
                  <c:v>-0.25</c:v>
                </c:pt>
                <c:pt idx="328">
                  <c:v>-0.25</c:v>
                </c:pt>
                <c:pt idx="329">
                  <c:v>-0.25</c:v>
                </c:pt>
                <c:pt idx="330">
                  <c:v>-0.25</c:v>
                </c:pt>
                <c:pt idx="331">
                  <c:v>-0.25</c:v>
                </c:pt>
                <c:pt idx="332">
                  <c:v>-0.25</c:v>
                </c:pt>
                <c:pt idx="333">
                  <c:v>-0.25</c:v>
                </c:pt>
                <c:pt idx="334">
                  <c:v>-0.25</c:v>
                </c:pt>
                <c:pt idx="335">
                  <c:v>-0.25</c:v>
                </c:pt>
                <c:pt idx="336">
                  <c:v>-0.25</c:v>
                </c:pt>
                <c:pt idx="337">
                  <c:v>-0.25</c:v>
                </c:pt>
                <c:pt idx="338">
                  <c:v>-0.25</c:v>
                </c:pt>
                <c:pt idx="339">
                  <c:v>-0.25</c:v>
                </c:pt>
                <c:pt idx="340">
                  <c:v>-0.25</c:v>
                </c:pt>
                <c:pt idx="341">
                  <c:v>-0.25</c:v>
                </c:pt>
                <c:pt idx="342">
                  <c:v>-0.25</c:v>
                </c:pt>
                <c:pt idx="343">
                  <c:v>-0.25</c:v>
                </c:pt>
                <c:pt idx="344">
                  <c:v>-0.25</c:v>
                </c:pt>
                <c:pt idx="345">
                  <c:v>-0.25</c:v>
                </c:pt>
                <c:pt idx="346">
                  <c:v>-0.25</c:v>
                </c:pt>
                <c:pt idx="347">
                  <c:v>-0.25</c:v>
                </c:pt>
                <c:pt idx="348">
                  <c:v>-0.25</c:v>
                </c:pt>
                <c:pt idx="349">
                  <c:v>-0.25</c:v>
                </c:pt>
                <c:pt idx="350">
                  <c:v>-0.25</c:v>
                </c:pt>
                <c:pt idx="351">
                  <c:v>-0.25</c:v>
                </c:pt>
                <c:pt idx="352">
                  <c:v>-0.25</c:v>
                </c:pt>
                <c:pt idx="353">
                  <c:v>-0.25</c:v>
                </c:pt>
                <c:pt idx="354">
                  <c:v>-0.25</c:v>
                </c:pt>
                <c:pt idx="355">
                  <c:v>-0.25</c:v>
                </c:pt>
                <c:pt idx="356">
                  <c:v>-0.25</c:v>
                </c:pt>
                <c:pt idx="357">
                  <c:v>-0.25</c:v>
                </c:pt>
                <c:pt idx="358">
                  <c:v>-0.25</c:v>
                </c:pt>
                <c:pt idx="359">
                  <c:v>-0.25</c:v>
                </c:pt>
                <c:pt idx="360">
                  <c:v>-0.25</c:v>
                </c:pt>
                <c:pt idx="361">
                  <c:v>-0.25</c:v>
                </c:pt>
                <c:pt idx="362">
                  <c:v>-0.25</c:v>
                </c:pt>
                <c:pt idx="363">
                  <c:v>-0.25</c:v>
                </c:pt>
                <c:pt idx="364">
                  <c:v>-0.25</c:v>
                </c:pt>
                <c:pt idx="365">
                  <c:v>-0.25</c:v>
                </c:pt>
                <c:pt idx="366">
                  <c:v>-0.25</c:v>
                </c:pt>
                <c:pt idx="367">
                  <c:v>-0.25</c:v>
                </c:pt>
                <c:pt idx="368">
                  <c:v>-0.25</c:v>
                </c:pt>
                <c:pt idx="369">
                  <c:v>-0.25</c:v>
                </c:pt>
                <c:pt idx="370">
                  <c:v>-0.25</c:v>
                </c:pt>
                <c:pt idx="371">
                  <c:v>-0.25</c:v>
                </c:pt>
                <c:pt idx="372">
                  <c:v>-0.25</c:v>
                </c:pt>
                <c:pt idx="373">
                  <c:v>-0.25</c:v>
                </c:pt>
                <c:pt idx="374">
                  <c:v>-0.25</c:v>
                </c:pt>
                <c:pt idx="375">
                  <c:v>-0.25</c:v>
                </c:pt>
                <c:pt idx="376">
                  <c:v>-0.25</c:v>
                </c:pt>
                <c:pt idx="377">
                  <c:v>-0.25</c:v>
                </c:pt>
                <c:pt idx="378">
                  <c:v>-0.25</c:v>
                </c:pt>
                <c:pt idx="379">
                  <c:v>-0.25</c:v>
                </c:pt>
                <c:pt idx="380">
                  <c:v>-0.25</c:v>
                </c:pt>
                <c:pt idx="381">
                  <c:v>-0.25</c:v>
                </c:pt>
                <c:pt idx="382">
                  <c:v>-0.25</c:v>
                </c:pt>
                <c:pt idx="383">
                  <c:v>-0.25</c:v>
                </c:pt>
                <c:pt idx="384">
                  <c:v>-0.25</c:v>
                </c:pt>
                <c:pt idx="385">
                  <c:v>-0.25</c:v>
                </c:pt>
                <c:pt idx="386">
                  <c:v>-0.25</c:v>
                </c:pt>
                <c:pt idx="387">
                  <c:v>-0.25</c:v>
                </c:pt>
                <c:pt idx="388">
                  <c:v>-0.25</c:v>
                </c:pt>
                <c:pt idx="389">
                  <c:v>-0.25</c:v>
                </c:pt>
                <c:pt idx="390">
                  <c:v>-0.25</c:v>
                </c:pt>
                <c:pt idx="391">
                  <c:v>-0.25</c:v>
                </c:pt>
                <c:pt idx="392">
                  <c:v>-0.25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-0.25</c:v>
                </c:pt>
                <c:pt idx="397">
                  <c:v>-0.25</c:v>
                </c:pt>
                <c:pt idx="398">
                  <c:v>-0.25</c:v>
                </c:pt>
                <c:pt idx="399">
                  <c:v>-0.25</c:v>
                </c:pt>
                <c:pt idx="400">
                  <c:v>-0.25</c:v>
                </c:pt>
                <c:pt idx="401">
                  <c:v>-0.25</c:v>
                </c:pt>
                <c:pt idx="402">
                  <c:v>-0.25</c:v>
                </c:pt>
                <c:pt idx="403">
                  <c:v>-0.25</c:v>
                </c:pt>
                <c:pt idx="404">
                  <c:v>-0.25</c:v>
                </c:pt>
                <c:pt idx="405">
                  <c:v>-0.25</c:v>
                </c:pt>
                <c:pt idx="406">
                  <c:v>-0.25</c:v>
                </c:pt>
                <c:pt idx="407">
                  <c:v>-0.25</c:v>
                </c:pt>
                <c:pt idx="408">
                  <c:v>-0.25</c:v>
                </c:pt>
                <c:pt idx="409">
                  <c:v>-0.25</c:v>
                </c:pt>
                <c:pt idx="410">
                  <c:v>-0.25</c:v>
                </c:pt>
                <c:pt idx="411">
                  <c:v>-0.25</c:v>
                </c:pt>
                <c:pt idx="412">
                  <c:v>-0.25</c:v>
                </c:pt>
                <c:pt idx="413">
                  <c:v>-0.25</c:v>
                </c:pt>
                <c:pt idx="414">
                  <c:v>-0.25</c:v>
                </c:pt>
                <c:pt idx="415">
                  <c:v>-0.25</c:v>
                </c:pt>
                <c:pt idx="416">
                  <c:v>-0.25</c:v>
                </c:pt>
                <c:pt idx="417">
                  <c:v>-0.25</c:v>
                </c:pt>
                <c:pt idx="418">
                  <c:v>-0.25</c:v>
                </c:pt>
                <c:pt idx="419">
                  <c:v>-0.25</c:v>
                </c:pt>
                <c:pt idx="420">
                  <c:v>-0.25</c:v>
                </c:pt>
                <c:pt idx="421">
                  <c:v>-0.25</c:v>
                </c:pt>
                <c:pt idx="422">
                  <c:v>-0.25</c:v>
                </c:pt>
                <c:pt idx="423">
                  <c:v>-0.25</c:v>
                </c:pt>
                <c:pt idx="424">
                  <c:v>-0.25</c:v>
                </c:pt>
                <c:pt idx="425">
                  <c:v>-0.25</c:v>
                </c:pt>
                <c:pt idx="426">
                  <c:v>-0.25</c:v>
                </c:pt>
                <c:pt idx="427">
                  <c:v>-0.25</c:v>
                </c:pt>
                <c:pt idx="428">
                  <c:v>-0.25</c:v>
                </c:pt>
                <c:pt idx="429">
                  <c:v>-0.25</c:v>
                </c:pt>
                <c:pt idx="430">
                  <c:v>-0.25</c:v>
                </c:pt>
                <c:pt idx="431">
                  <c:v>-0.25</c:v>
                </c:pt>
                <c:pt idx="432">
                  <c:v>-0.25</c:v>
                </c:pt>
                <c:pt idx="433">
                  <c:v>-0.25</c:v>
                </c:pt>
                <c:pt idx="434">
                  <c:v>-0.25</c:v>
                </c:pt>
                <c:pt idx="435">
                  <c:v>-0.25</c:v>
                </c:pt>
                <c:pt idx="436">
                  <c:v>-0.25</c:v>
                </c:pt>
                <c:pt idx="437">
                  <c:v>-0.25</c:v>
                </c:pt>
                <c:pt idx="438">
                  <c:v>-0.25</c:v>
                </c:pt>
                <c:pt idx="439">
                  <c:v>-0.25</c:v>
                </c:pt>
                <c:pt idx="440">
                  <c:v>-0.25</c:v>
                </c:pt>
                <c:pt idx="441">
                  <c:v>-0.25</c:v>
                </c:pt>
                <c:pt idx="442">
                  <c:v>-0.25</c:v>
                </c:pt>
                <c:pt idx="443">
                  <c:v>-0.25</c:v>
                </c:pt>
                <c:pt idx="444">
                  <c:v>-0.25</c:v>
                </c:pt>
                <c:pt idx="445">
                  <c:v>-0.25</c:v>
                </c:pt>
                <c:pt idx="446">
                  <c:v>-0.25</c:v>
                </c:pt>
                <c:pt idx="447">
                  <c:v>-0.25</c:v>
                </c:pt>
                <c:pt idx="448">
                  <c:v>-0.25</c:v>
                </c:pt>
                <c:pt idx="449">
                  <c:v>-0.25</c:v>
                </c:pt>
                <c:pt idx="450">
                  <c:v>-0.25</c:v>
                </c:pt>
                <c:pt idx="451">
                  <c:v>-0.25</c:v>
                </c:pt>
                <c:pt idx="452">
                  <c:v>-0.25</c:v>
                </c:pt>
                <c:pt idx="453">
                  <c:v>-0.25</c:v>
                </c:pt>
                <c:pt idx="454">
                  <c:v>-0.25</c:v>
                </c:pt>
                <c:pt idx="455">
                  <c:v>-0.25</c:v>
                </c:pt>
                <c:pt idx="456">
                  <c:v>-0.25</c:v>
                </c:pt>
                <c:pt idx="457">
                  <c:v>-0.25</c:v>
                </c:pt>
                <c:pt idx="458">
                  <c:v>-0.25</c:v>
                </c:pt>
                <c:pt idx="459">
                  <c:v>-0.25</c:v>
                </c:pt>
                <c:pt idx="460">
                  <c:v>-0.25</c:v>
                </c:pt>
                <c:pt idx="461">
                  <c:v>-0.25</c:v>
                </c:pt>
                <c:pt idx="462">
                  <c:v>-0.25</c:v>
                </c:pt>
                <c:pt idx="463">
                  <c:v>-0.25</c:v>
                </c:pt>
                <c:pt idx="464">
                  <c:v>-0.25</c:v>
                </c:pt>
                <c:pt idx="465">
                  <c:v>-0.25</c:v>
                </c:pt>
                <c:pt idx="466">
                  <c:v>-0.25</c:v>
                </c:pt>
                <c:pt idx="467">
                  <c:v>-0.25</c:v>
                </c:pt>
                <c:pt idx="468">
                  <c:v>-0.25</c:v>
                </c:pt>
                <c:pt idx="469">
                  <c:v>-0.25</c:v>
                </c:pt>
                <c:pt idx="470">
                  <c:v>-0.25</c:v>
                </c:pt>
                <c:pt idx="471">
                  <c:v>-0.25</c:v>
                </c:pt>
                <c:pt idx="472">
                  <c:v>-0.25</c:v>
                </c:pt>
                <c:pt idx="473">
                  <c:v>-0.25</c:v>
                </c:pt>
                <c:pt idx="474">
                  <c:v>-0.25</c:v>
                </c:pt>
                <c:pt idx="475">
                  <c:v>-0.25</c:v>
                </c:pt>
                <c:pt idx="476">
                  <c:v>-0.25</c:v>
                </c:pt>
                <c:pt idx="477">
                  <c:v>-0.25</c:v>
                </c:pt>
                <c:pt idx="478">
                  <c:v>-0.25</c:v>
                </c:pt>
                <c:pt idx="479">
                  <c:v>-0.25</c:v>
                </c:pt>
                <c:pt idx="480">
                  <c:v>-0.25</c:v>
                </c:pt>
                <c:pt idx="481">
                  <c:v>-0.25</c:v>
                </c:pt>
                <c:pt idx="482">
                  <c:v>-0.25</c:v>
                </c:pt>
                <c:pt idx="483">
                  <c:v>-0.25</c:v>
                </c:pt>
                <c:pt idx="484">
                  <c:v>-0.25</c:v>
                </c:pt>
                <c:pt idx="485">
                  <c:v>-0.25</c:v>
                </c:pt>
                <c:pt idx="486">
                  <c:v>-0.25</c:v>
                </c:pt>
                <c:pt idx="487">
                  <c:v>-0.25</c:v>
                </c:pt>
                <c:pt idx="488">
                  <c:v>-0.25</c:v>
                </c:pt>
                <c:pt idx="489">
                  <c:v>-0.25</c:v>
                </c:pt>
                <c:pt idx="490">
                  <c:v>-0.25</c:v>
                </c:pt>
                <c:pt idx="491">
                  <c:v>-0.25</c:v>
                </c:pt>
                <c:pt idx="492">
                  <c:v>-0.25</c:v>
                </c:pt>
                <c:pt idx="493">
                  <c:v>-0.25</c:v>
                </c:pt>
                <c:pt idx="494">
                  <c:v>-0.25</c:v>
                </c:pt>
                <c:pt idx="495">
                  <c:v>-0.25</c:v>
                </c:pt>
                <c:pt idx="496">
                  <c:v>-0.25</c:v>
                </c:pt>
                <c:pt idx="497">
                  <c:v>-0.25</c:v>
                </c:pt>
                <c:pt idx="498">
                  <c:v>-0.25</c:v>
                </c:pt>
                <c:pt idx="499">
                  <c:v>-0.25</c:v>
                </c:pt>
                <c:pt idx="500">
                  <c:v>-0.25</c:v>
                </c:pt>
                <c:pt idx="501">
                  <c:v>-0.25</c:v>
                </c:pt>
                <c:pt idx="502">
                  <c:v>-0.25</c:v>
                </c:pt>
                <c:pt idx="503">
                  <c:v>-0.25</c:v>
                </c:pt>
                <c:pt idx="504">
                  <c:v>-0.25</c:v>
                </c:pt>
                <c:pt idx="505">
                  <c:v>-0.25</c:v>
                </c:pt>
                <c:pt idx="506">
                  <c:v>-0.25</c:v>
                </c:pt>
                <c:pt idx="507">
                  <c:v>-0.25</c:v>
                </c:pt>
                <c:pt idx="508">
                  <c:v>-0.25</c:v>
                </c:pt>
                <c:pt idx="509">
                  <c:v>-0.25</c:v>
                </c:pt>
                <c:pt idx="510">
                  <c:v>-0.25</c:v>
                </c:pt>
                <c:pt idx="511">
                  <c:v>-0.25</c:v>
                </c:pt>
                <c:pt idx="512">
                  <c:v>-0.25</c:v>
                </c:pt>
                <c:pt idx="513">
                  <c:v>-0.25</c:v>
                </c:pt>
                <c:pt idx="514">
                  <c:v>-0.25</c:v>
                </c:pt>
                <c:pt idx="515">
                  <c:v>-0.25</c:v>
                </c:pt>
                <c:pt idx="516">
                  <c:v>-0.25</c:v>
                </c:pt>
                <c:pt idx="517">
                  <c:v>-0.25</c:v>
                </c:pt>
                <c:pt idx="518">
                  <c:v>-0.25</c:v>
                </c:pt>
                <c:pt idx="519">
                  <c:v>-0.25</c:v>
                </c:pt>
                <c:pt idx="520">
                  <c:v>-0.25</c:v>
                </c:pt>
                <c:pt idx="521">
                  <c:v>-0.25</c:v>
                </c:pt>
                <c:pt idx="522">
                  <c:v>-0.25</c:v>
                </c:pt>
                <c:pt idx="523">
                  <c:v>-0.25</c:v>
                </c:pt>
                <c:pt idx="524">
                  <c:v>-0.25</c:v>
                </c:pt>
                <c:pt idx="525">
                  <c:v>-0.25</c:v>
                </c:pt>
                <c:pt idx="526">
                  <c:v>-0.25</c:v>
                </c:pt>
                <c:pt idx="527">
                  <c:v>-0.25</c:v>
                </c:pt>
                <c:pt idx="528">
                  <c:v>-0.25</c:v>
                </c:pt>
                <c:pt idx="529">
                  <c:v>-0.25</c:v>
                </c:pt>
                <c:pt idx="530">
                  <c:v>-0.25</c:v>
                </c:pt>
                <c:pt idx="531">
                  <c:v>-0.25</c:v>
                </c:pt>
                <c:pt idx="532">
                  <c:v>-0.25</c:v>
                </c:pt>
                <c:pt idx="533">
                  <c:v>-0.25</c:v>
                </c:pt>
                <c:pt idx="534">
                  <c:v>-0.25</c:v>
                </c:pt>
                <c:pt idx="535">
                  <c:v>-0.25</c:v>
                </c:pt>
                <c:pt idx="536">
                  <c:v>-0.25</c:v>
                </c:pt>
                <c:pt idx="537">
                  <c:v>-0.25</c:v>
                </c:pt>
                <c:pt idx="538">
                  <c:v>-0.25</c:v>
                </c:pt>
                <c:pt idx="539">
                  <c:v>-0.25</c:v>
                </c:pt>
                <c:pt idx="540">
                  <c:v>-0.25</c:v>
                </c:pt>
                <c:pt idx="541">
                  <c:v>-0.25</c:v>
                </c:pt>
                <c:pt idx="542">
                  <c:v>-0.25</c:v>
                </c:pt>
                <c:pt idx="543">
                  <c:v>-0.25</c:v>
                </c:pt>
                <c:pt idx="544">
                  <c:v>-0.25</c:v>
                </c:pt>
                <c:pt idx="545">
                  <c:v>-0.25</c:v>
                </c:pt>
                <c:pt idx="546">
                  <c:v>-0.25</c:v>
                </c:pt>
                <c:pt idx="547">
                  <c:v>-0.25</c:v>
                </c:pt>
                <c:pt idx="548">
                  <c:v>-0.25</c:v>
                </c:pt>
                <c:pt idx="549">
                  <c:v>-0.25</c:v>
                </c:pt>
                <c:pt idx="550">
                  <c:v>-0.25</c:v>
                </c:pt>
                <c:pt idx="551">
                  <c:v>-0.25</c:v>
                </c:pt>
                <c:pt idx="552">
                  <c:v>-0.25</c:v>
                </c:pt>
                <c:pt idx="553">
                  <c:v>-0.25</c:v>
                </c:pt>
                <c:pt idx="554">
                  <c:v>-0.25</c:v>
                </c:pt>
                <c:pt idx="555">
                  <c:v>-0.25</c:v>
                </c:pt>
                <c:pt idx="556">
                  <c:v>-0.25</c:v>
                </c:pt>
                <c:pt idx="557">
                  <c:v>-0.25</c:v>
                </c:pt>
                <c:pt idx="558">
                  <c:v>-0.25</c:v>
                </c:pt>
                <c:pt idx="559">
                  <c:v>-0.25</c:v>
                </c:pt>
                <c:pt idx="560">
                  <c:v>-0.25</c:v>
                </c:pt>
                <c:pt idx="561">
                  <c:v>-0.25</c:v>
                </c:pt>
                <c:pt idx="562">
                  <c:v>-0.25</c:v>
                </c:pt>
                <c:pt idx="563">
                  <c:v>-0.25</c:v>
                </c:pt>
                <c:pt idx="564">
                  <c:v>-0.25</c:v>
                </c:pt>
                <c:pt idx="565">
                  <c:v>-0.25</c:v>
                </c:pt>
                <c:pt idx="566">
                  <c:v>-0.25</c:v>
                </c:pt>
                <c:pt idx="567">
                  <c:v>-0.25</c:v>
                </c:pt>
                <c:pt idx="568">
                  <c:v>-0.25</c:v>
                </c:pt>
                <c:pt idx="569">
                  <c:v>-0.25</c:v>
                </c:pt>
                <c:pt idx="570">
                  <c:v>-0.25</c:v>
                </c:pt>
                <c:pt idx="571">
                  <c:v>-0.25</c:v>
                </c:pt>
                <c:pt idx="572">
                  <c:v>-0.25</c:v>
                </c:pt>
                <c:pt idx="573">
                  <c:v>-0.25</c:v>
                </c:pt>
                <c:pt idx="574">
                  <c:v>-0.25</c:v>
                </c:pt>
                <c:pt idx="575">
                  <c:v>-0.25</c:v>
                </c:pt>
                <c:pt idx="576">
                  <c:v>-0.25</c:v>
                </c:pt>
                <c:pt idx="577">
                  <c:v>-0.25</c:v>
                </c:pt>
                <c:pt idx="578">
                  <c:v>-0.25</c:v>
                </c:pt>
                <c:pt idx="579">
                  <c:v>-0.25</c:v>
                </c:pt>
                <c:pt idx="580">
                  <c:v>-0.25</c:v>
                </c:pt>
                <c:pt idx="581">
                  <c:v>-0.25</c:v>
                </c:pt>
                <c:pt idx="582">
                  <c:v>-0.25</c:v>
                </c:pt>
                <c:pt idx="583">
                  <c:v>-0.25</c:v>
                </c:pt>
                <c:pt idx="584">
                  <c:v>-0.25</c:v>
                </c:pt>
                <c:pt idx="585">
                  <c:v>-0.25</c:v>
                </c:pt>
                <c:pt idx="586">
                  <c:v>-0.25</c:v>
                </c:pt>
                <c:pt idx="587">
                  <c:v>-0.25</c:v>
                </c:pt>
                <c:pt idx="588">
                  <c:v>-0.25</c:v>
                </c:pt>
                <c:pt idx="589">
                  <c:v>-0.25</c:v>
                </c:pt>
                <c:pt idx="590">
                  <c:v>-0.25</c:v>
                </c:pt>
                <c:pt idx="591">
                  <c:v>-0.25</c:v>
                </c:pt>
                <c:pt idx="592">
                  <c:v>-0.25</c:v>
                </c:pt>
                <c:pt idx="593">
                  <c:v>-0.25</c:v>
                </c:pt>
                <c:pt idx="594">
                  <c:v>-0.25</c:v>
                </c:pt>
                <c:pt idx="595">
                  <c:v>-0.25</c:v>
                </c:pt>
                <c:pt idx="596">
                  <c:v>-0.25</c:v>
                </c:pt>
                <c:pt idx="597">
                  <c:v>-0.25</c:v>
                </c:pt>
                <c:pt idx="598">
                  <c:v>-0.25</c:v>
                </c:pt>
                <c:pt idx="599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EA-4925-B688-22000A989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MEXP!$AD$4:$AD$11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6-4B69-A5D5-60251B10F9B2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B6-4B69-A5D5-60251B10F9B2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B6-4B69-A5D5-60251B10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F-4B4B-864F-6FD5A19EE1A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MEXP!$AI$4:$AI$11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EF-4B4B-864F-6FD5A19EE1A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EF-4B4B-864F-6FD5A19E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BB-4033-9691-563D99E85DF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BB-4033-9691-563D99E85DF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MEXP!$AC$4:$AC$11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MEXP!$AL$4:$AL$11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BB-4033-9691-563D99E85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Cumulant!$D$11:$D$225</c:f>
              <c:numCache>
                <c:formatCode>General</c:formatCode>
                <c:ptCount val="215"/>
                <c:pt idx="0">
                  <c:v>0.43943366666666667</c:v>
                </c:pt>
                <c:pt idx="1">
                  <c:v>0.7225043333333333</c:v>
                </c:pt>
                <c:pt idx="2">
                  <c:v>0.66696066666666665</c:v>
                </c:pt>
                <c:pt idx="3">
                  <c:v>0.6538560000000001</c:v>
                </c:pt>
                <c:pt idx="4">
                  <c:v>0.64508733333333323</c:v>
                </c:pt>
                <c:pt idx="5">
                  <c:v>0.63661899999999993</c:v>
                </c:pt>
                <c:pt idx="6">
                  <c:v>0.63669766666666672</c:v>
                </c:pt>
                <c:pt idx="7">
                  <c:v>0.63493933333333341</c:v>
                </c:pt>
                <c:pt idx="8">
                  <c:v>0.63286866666666663</c:v>
                </c:pt>
                <c:pt idx="9">
                  <c:v>0.63691566666666677</c:v>
                </c:pt>
                <c:pt idx="10">
                  <c:v>0.63641099999999995</c:v>
                </c:pt>
                <c:pt idx="11">
                  <c:v>0.63353966666666661</c:v>
                </c:pt>
                <c:pt idx="12">
                  <c:v>0.63280366666666665</c:v>
                </c:pt>
                <c:pt idx="13">
                  <c:v>0.63060133333333335</c:v>
                </c:pt>
                <c:pt idx="14">
                  <c:v>0.63142200000000004</c:v>
                </c:pt>
                <c:pt idx="15">
                  <c:v>0.63234633333333334</c:v>
                </c:pt>
                <c:pt idx="16">
                  <c:v>0.63227066666666665</c:v>
                </c:pt>
                <c:pt idx="17">
                  <c:v>0.63379866666666673</c:v>
                </c:pt>
                <c:pt idx="18">
                  <c:v>0.62954399999999999</c:v>
                </c:pt>
                <c:pt idx="19">
                  <c:v>0.62813233333333329</c:v>
                </c:pt>
                <c:pt idx="20">
                  <c:v>0.62753133333333333</c:v>
                </c:pt>
                <c:pt idx="21">
                  <c:v>0.62565466666666658</c:v>
                </c:pt>
                <c:pt idx="22">
                  <c:v>0.62798833333333326</c:v>
                </c:pt>
                <c:pt idx="23">
                  <c:v>0.62938866666666671</c:v>
                </c:pt>
                <c:pt idx="24">
                  <c:v>0.62935166666666664</c:v>
                </c:pt>
                <c:pt idx="25">
                  <c:v>0.62716433333333332</c:v>
                </c:pt>
                <c:pt idx="26">
                  <c:v>0.62497366666666665</c:v>
                </c:pt>
                <c:pt idx="27">
                  <c:v>0.6273643333333333</c:v>
                </c:pt>
                <c:pt idx="28">
                  <c:v>0.62840366666666669</c:v>
                </c:pt>
                <c:pt idx="29">
                  <c:v>0.62675599999999998</c:v>
                </c:pt>
                <c:pt idx="30">
                  <c:v>0.62909533333333334</c:v>
                </c:pt>
                <c:pt idx="31">
                  <c:v>0.62741266666666673</c:v>
                </c:pt>
                <c:pt idx="32">
                  <c:v>0.62666433333333338</c:v>
                </c:pt>
                <c:pt idx="33">
                  <c:v>0.62529399999999991</c:v>
                </c:pt>
                <c:pt idx="34">
                  <c:v>0.62722466666666665</c:v>
                </c:pt>
                <c:pt idx="35">
                  <c:v>0.62740600000000002</c:v>
                </c:pt>
                <c:pt idx="36">
                  <c:v>0.62479699999999994</c:v>
                </c:pt>
                <c:pt idx="37">
                  <c:v>0.6253253333333334</c:v>
                </c:pt>
                <c:pt idx="38">
                  <c:v>0.62599233333333337</c:v>
                </c:pt>
                <c:pt idx="39">
                  <c:v>0.62431133333333333</c:v>
                </c:pt>
                <c:pt idx="40">
                  <c:v>0.62456533333333331</c:v>
                </c:pt>
                <c:pt idx="41">
                  <c:v>0.62511133333333335</c:v>
                </c:pt>
                <c:pt idx="42">
                  <c:v>0.62257733333333343</c:v>
                </c:pt>
                <c:pt idx="43">
                  <c:v>0.62192266666666673</c:v>
                </c:pt>
                <c:pt idx="44">
                  <c:v>0.62164999999999992</c:v>
                </c:pt>
                <c:pt idx="45">
                  <c:v>0.62269800000000008</c:v>
                </c:pt>
                <c:pt idx="46">
                  <c:v>0.62259233333333341</c:v>
                </c:pt>
                <c:pt idx="47">
                  <c:v>0.62200200000000005</c:v>
                </c:pt>
                <c:pt idx="48">
                  <c:v>0.62142566666666665</c:v>
                </c:pt>
                <c:pt idx="49">
                  <c:v>0.62132266666666658</c:v>
                </c:pt>
                <c:pt idx="50">
                  <c:v>0.61964433333333335</c:v>
                </c:pt>
                <c:pt idx="51">
                  <c:v>0.61846933333333343</c:v>
                </c:pt>
                <c:pt idx="52">
                  <c:v>0.61876199999999992</c:v>
                </c:pt>
                <c:pt idx="53">
                  <c:v>0.61748366666666665</c:v>
                </c:pt>
                <c:pt idx="54">
                  <c:v>0.61616199999999999</c:v>
                </c:pt>
                <c:pt idx="55">
                  <c:v>0.61518799999999996</c:v>
                </c:pt>
                <c:pt idx="56">
                  <c:v>0.6141673333333334</c:v>
                </c:pt>
                <c:pt idx="57">
                  <c:v>0.61270733333333338</c:v>
                </c:pt>
                <c:pt idx="58">
                  <c:v>0.61079166666666662</c:v>
                </c:pt>
                <c:pt idx="59">
                  <c:v>0.61058600000000007</c:v>
                </c:pt>
                <c:pt idx="60">
                  <c:v>0.60841900000000004</c:v>
                </c:pt>
                <c:pt idx="61">
                  <c:v>0.60670266666666672</c:v>
                </c:pt>
                <c:pt idx="62">
                  <c:v>0.60499633333333336</c:v>
                </c:pt>
                <c:pt idx="63">
                  <c:v>0.60383466666666663</c:v>
                </c:pt>
                <c:pt idx="64">
                  <c:v>0.60082266666666673</c:v>
                </c:pt>
                <c:pt idx="65">
                  <c:v>0.59859200000000001</c:v>
                </c:pt>
                <c:pt idx="66">
                  <c:v>0.59566966666666665</c:v>
                </c:pt>
                <c:pt idx="67">
                  <c:v>0.59258033333333326</c:v>
                </c:pt>
                <c:pt idx="68">
                  <c:v>0.59015433333333334</c:v>
                </c:pt>
                <c:pt idx="69">
                  <c:v>0.58671866666666672</c:v>
                </c:pt>
                <c:pt idx="70">
                  <c:v>0.58449166666666663</c:v>
                </c:pt>
                <c:pt idx="71">
                  <c:v>0.58143433333333328</c:v>
                </c:pt>
                <c:pt idx="72">
                  <c:v>0.57586766666666667</c:v>
                </c:pt>
                <c:pt idx="73">
                  <c:v>0.57055033333333327</c:v>
                </c:pt>
                <c:pt idx="74">
                  <c:v>0.56491400000000003</c:v>
                </c:pt>
                <c:pt idx="75">
                  <c:v>0.55972966666666668</c:v>
                </c:pt>
                <c:pt idx="76">
                  <c:v>0.55448399999999998</c:v>
                </c:pt>
                <c:pt idx="77">
                  <c:v>0.54894599999999993</c:v>
                </c:pt>
                <c:pt idx="78">
                  <c:v>0.54414099999999999</c:v>
                </c:pt>
                <c:pt idx="79">
                  <c:v>0.53883433333333342</c:v>
                </c:pt>
                <c:pt idx="80">
                  <c:v>0.52868199999999999</c:v>
                </c:pt>
                <c:pt idx="81">
                  <c:v>0.51870233333333327</c:v>
                </c:pt>
                <c:pt idx="82">
                  <c:v>0.50896566666666665</c:v>
                </c:pt>
                <c:pt idx="83">
                  <c:v>0.49938433333333326</c:v>
                </c:pt>
                <c:pt idx="84">
                  <c:v>0.4900356666666667</c:v>
                </c:pt>
                <c:pt idx="85">
                  <c:v>0.48062999999999995</c:v>
                </c:pt>
                <c:pt idx="86">
                  <c:v>0.47143833333333335</c:v>
                </c:pt>
                <c:pt idx="87">
                  <c:v>0.4626243333333333</c:v>
                </c:pt>
                <c:pt idx="88">
                  <c:v>0.44533933333333331</c:v>
                </c:pt>
                <c:pt idx="89">
                  <c:v>0.42895966666666663</c:v>
                </c:pt>
                <c:pt idx="90">
                  <c:v>0.41293333333333332</c:v>
                </c:pt>
                <c:pt idx="91">
                  <c:v>0.39773333333333333</c:v>
                </c:pt>
                <c:pt idx="92">
                  <c:v>0.38298366666666661</c:v>
                </c:pt>
                <c:pt idx="93">
                  <c:v>0.36887500000000001</c:v>
                </c:pt>
                <c:pt idx="94">
                  <c:v>0.35522766666666666</c:v>
                </c:pt>
                <c:pt idx="95">
                  <c:v>0.34215633333333334</c:v>
                </c:pt>
                <c:pt idx="96">
                  <c:v>0.3171343333333333</c:v>
                </c:pt>
                <c:pt idx="97">
                  <c:v>0.29373933333333335</c:v>
                </c:pt>
                <c:pt idx="98">
                  <c:v>0.272372</c:v>
                </c:pt>
                <c:pt idx="99">
                  <c:v>0.25248366666666666</c:v>
                </c:pt>
                <c:pt idx="100">
                  <c:v>0.23416933333333334</c:v>
                </c:pt>
                <c:pt idx="101">
                  <c:v>0.21742499999999998</c:v>
                </c:pt>
                <c:pt idx="102">
                  <c:v>0.20224633333333333</c:v>
                </c:pt>
                <c:pt idx="103">
                  <c:v>0.18811233333333333</c:v>
                </c:pt>
                <c:pt idx="104">
                  <c:v>0.162525</c:v>
                </c:pt>
                <c:pt idx="105">
                  <c:v>0.14094533333333334</c:v>
                </c:pt>
                <c:pt idx="106">
                  <c:v>0.12260366666666667</c:v>
                </c:pt>
                <c:pt idx="107">
                  <c:v>0.10667923333333333</c:v>
                </c:pt>
                <c:pt idx="108">
                  <c:v>9.2796299999999998E-2</c:v>
                </c:pt>
                <c:pt idx="109">
                  <c:v>8.0441966666666656E-2</c:v>
                </c:pt>
                <c:pt idx="110">
                  <c:v>6.91914E-2</c:v>
                </c:pt>
                <c:pt idx="111">
                  <c:v>5.993896666666667E-2</c:v>
                </c:pt>
                <c:pt idx="112">
                  <c:v>4.4057833333333331E-2</c:v>
                </c:pt>
                <c:pt idx="113">
                  <c:v>3.1905366666666664E-2</c:v>
                </c:pt>
                <c:pt idx="114">
                  <c:v>2.354856666666667E-2</c:v>
                </c:pt>
                <c:pt idx="115">
                  <c:v>1.9097843333333333E-2</c:v>
                </c:pt>
                <c:pt idx="116">
                  <c:v>1.6420663333333335E-2</c:v>
                </c:pt>
                <c:pt idx="117">
                  <c:v>1.4796236666666665E-2</c:v>
                </c:pt>
                <c:pt idx="118">
                  <c:v>1.2916950000000002E-2</c:v>
                </c:pt>
                <c:pt idx="119">
                  <c:v>1.1796010000000001E-2</c:v>
                </c:pt>
                <c:pt idx="120">
                  <c:v>9.9796146666666658E-3</c:v>
                </c:pt>
                <c:pt idx="121">
                  <c:v>9.426411333333334E-3</c:v>
                </c:pt>
                <c:pt idx="122">
                  <c:v>8.980917666666666E-3</c:v>
                </c:pt>
                <c:pt idx="123">
                  <c:v>9.8255906666666667E-3</c:v>
                </c:pt>
                <c:pt idx="124">
                  <c:v>9.329051666666666E-3</c:v>
                </c:pt>
                <c:pt idx="125">
                  <c:v>6.7589900000000003E-3</c:v>
                </c:pt>
                <c:pt idx="126">
                  <c:v>5.8494233333333326E-3</c:v>
                </c:pt>
                <c:pt idx="127">
                  <c:v>5.314953333333333E-3</c:v>
                </c:pt>
                <c:pt idx="128">
                  <c:v>5.4812419999999999E-3</c:v>
                </c:pt>
                <c:pt idx="129">
                  <c:v>9.283944666666666E-4</c:v>
                </c:pt>
                <c:pt idx="130">
                  <c:v>1.3812419999999998E-3</c:v>
                </c:pt>
                <c:pt idx="131">
                  <c:v>2.9151833333333332E-3</c:v>
                </c:pt>
                <c:pt idx="132">
                  <c:v>4.6886499999999999E-3</c:v>
                </c:pt>
                <c:pt idx="133">
                  <c:v>4.6967166666666664E-3</c:v>
                </c:pt>
                <c:pt idx="134">
                  <c:v>3.2207733333333333E-3</c:v>
                </c:pt>
                <c:pt idx="135">
                  <c:v>3.59685E-3</c:v>
                </c:pt>
                <c:pt idx="136">
                  <c:v>-2.5021533333333332E-3</c:v>
                </c:pt>
                <c:pt idx="137">
                  <c:v>-1.3375699999999999E-3</c:v>
                </c:pt>
                <c:pt idx="138">
                  <c:v>4.233463333333333E-3</c:v>
                </c:pt>
                <c:pt idx="139">
                  <c:v>5.1936133333333329E-3</c:v>
                </c:pt>
                <c:pt idx="140">
                  <c:v>3.6865466666666669E-3</c:v>
                </c:pt>
                <c:pt idx="141">
                  <c:v>4.147906666666667E-3</c:v>
                </c:pt>
                <c:pt idx="142">
                  <c:v>4.8518466666666671E-3</c:v>
                </c:pt>
                <c:pt idx="143">
                  <c:v>3.5648633333333333E-3</c:v>
                </c:pt>
                <c:pt idx="144">
                  <c:v>4.8243466666666665E-3</c:v>
                </c:pt>
                <c:pt idx="145">
                  <c:v>5.4920299999999993E-3</c:v>
                </c:pt>
                <c:pt idx="146">
                  <c:v>-4.2640133333333329E-4</c:v>
                </c:pt>
                <c:pt idx="147">
                  <c:v>-8.5999666666666667E-4</c:v>
                </c:pt>
                <c:pt idx="148">
                  <c:v>-5.7648600000000008E-4</c:v>
                </c:pt>
                <c:pt idx="149">
                  <c:v>1.2887975999999999E-3</c:v>
                </c:pt>
                <c:pt idx="150">
                  <c:v>1.2509333333333335E-3</c:v>
                </c:pt>
                <c:pt idx="151">
                  <c:v>1.3205766666666667E-3</c:v>
                </c:pt>
                <c:pt idx="152">
                  <c:v>4.2087193333333337E-3</c:v>
                </c:pt>
                <c:pt idx="153">
                  <c:v>7.3965999999999995E-4</c:v>
                </c:pt>
                <c:pt idx="154">
                  <c:v>1.5933583333333334E-3</c:v>
                </c:pt>
                <c:pt idx="155">
                  <c:v>2.0911803333333334E-3</c:v>
                </c:pt>
                <c:pt idx="156">
                  <c:v>2.30226E-3</c:v>
                </c:pt>
                <c:pt idx="157">
                  <c:v>1.1873903333333333E-3</c:v>
                </c:pt>
                <c:pt idx="158">
                  <c:v>1.9834033333333335E-3</c:v>
                </c:pt>
                <c:pt idx="159">
                  <c:v>2.5012466666666667E-3</c:v>
                </c:pt>
                <c:pt idx="160">
                  <c:v>1.0871526666666666E-3</c:v>
                </c:pt>
                <c:pt idx="161">
                  <c:v>6.635929666666667E-4</c:v>
                </c:pt>
                <c:pt idx="162">
                  <c:v>1.5630490000000002E-3</c:v>
                </c:pt>
                <c:pt idx="163">
                  <c:v>1.625542E-3</c:v>
                </c:pt>
                <c:pt idx="164">
                  <c:v>-1.68502E-3</c:v>
                </c:pt>
                <c:pt idx="165">
                  <c:v>-6.8448529999999997E-4</c:v>
                </c:pt>
                <c:pt idx="166">
                  <c:v>7.1168733333333339E-4</c:v>
                </c:pt>
                <c:pt idx="167">
                  <c:v>4.393333333333263E-6</c:v>
                </c:pt>
                <c:pt idx="168">
                  <c:v>2.4313299999999995E-4</c:v>
                </c:pt>
                <c:pt idx="169">
                  <c:v>-5.6312333333333328E-4</c:v>
                </c:pt>
                <c:pt idx="170">
                  <c:v>1.5468066666666667E-3</c:v>
                </c:pt>
                <c:pt idx="171">
                  <c:v>-1.2673333333333313E-5</c:v>
                </c:pt>
                <c:pt idx="172">
                  <c:v>-1.2215476666666667E-3</c:v>
                </c:pt>
                <c:pt idx="173">
                  <c:v>-3.0513816666666668E-4</c:v>
                </c:pt>
                <c:pt idx="174">
                  <c:v>1.7080983333333331E-3</c:v>
                </c:pt>
                <c:pt idx="175">
                  <c:v>6.0704300000000004E-4</c:v>
                </c:pt>
                <c:pt idx="176">
                  <c:v>-1.849106666666666E-4</c:v>
                </c:pt>
                <c:pt idx="177">
                  <c:v>1.0765833333333333E-3</c:v>
                </c:pt>
                <c:pt idx="178">
                  <c:v>3.8972250000000007E-4</c:v>
                </c:pt>
                <c:pt idx="179">
                  <c:v>-3.5170866666666664E-4</c:v>
                </c:pt>
                <c:pt idx="180">
                  <c:v>1.4864366666666668E-3</c:v>
                </c:pt>
                <c:pt idx="181">
                  <c:v>9.2619066666666666E-4</c:v>
                </c:pt>
                <c:pt idx="182">
                  <c:v>-1.0729916666666667E-3</c:v>
                </c:pt>
                <c:pt idx="183">
                  <c:v>-7.6109099999999987E-4</c:v>
                </c:pt>
                <c:pt idx="184">
                  <c:v>-4.3556733333333331E-4</c:v>
                </c:pt>
                <c:pt idx="185">
                  <c:v>-1.217868E-3</c:v>
                </c:pt>
                <c:pt idx="186">
                  <c:v>-1.5896366666666665E-3</c:v>
                </c:pt>
                <c:pt idx="187">
                  <c:v>-5.7649866666666669E-4</c:v>
                </c:pt>
                <c:pt idx="188">
                  <c:v>-8.7190533333333323E-4</c:v>
                </c:pt>
                <c:pt idx="189">
                  <c:v>-1.4200480000000001E-3</c:v>
                </c:pt>
                <c:pt idx="190">
                  <c:v>-2.7931070000000003E-4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8-4257-A3A4-EB8DB690E145}"/>
            </c:ext>
          </c:extLst>
        </c:ser>
        <c:ser>
          <c:idx val="1"/>
          <c:order val="1"/>
          <c:tx>
            <c:v>Fit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Cumulant!$B$11:$B$225</c:f>
              <c:numCache>
                <c:formatCode>General</c:formatCode>
                <c:ptCount val="215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</c:numCache>
            </c:numRef>
          </c:xVal>
          <c:yVal>
            <c:numRef>
              <c:f>Cumulant!$E$11:$E$610</c:f>
              <c:numCache>
                <c:formatCode>General</c:formatCode>
                <c:ptCount val="600"/>
                <c:pt idx="0">
                  <c:v>0.49997500065623801</c:v>
                </c:pt>
                <c:pt idx="1">
                  <c:v>0.49995000262490419</c:v>
                </c:pt>
                <c:pt idx="2">
                  <c:v>0.49992500590592659</c:v>
                </c:pt>
                <c:pt idx="3">
                  <c:v>0.49990001049923338</c:v>
                </c:pt>
                <c:pt idx="4">
                  <c:v>0.49987501640475274</c:v>
                </c:pt>
                <c:pt idx="5">
                  <c:v>0.49985002362241271</c:v>
                </c:pt>
                <c:pt idx="6">
                  <c:v>0.49982503215214158</c:v>
                </c:pt>
                <c:pt idx="7">
                  <c:v>0.49980004199386735</c:v>
                </c:pt>
                <c:pt idx="8">
                  <c:v>0.4997750531475183</c:v>
                </c:pt>
                <c:pt idx="9">
                  <c:v>0.49975006561302254</c:v>
                </c:pt>
                <c:pt idx="10">
                  <c:v>0.49972507939030825</c:v>
                </c:pt>
                <c:pt idx="11">
                  <c:v>0.49970009447930352</c:v>
                </c:pt>
                <c:pt idx="12">
                  <c:v>0.49967511087993666</c:v>
                </c:pt>
                <c:pt idx="13">
                  <c:v>0.4996501285921357</c:v>
                </c:pt>
                <c:pt idx="14">
                  <c:v>0.49962514761582894</c:v>
                </c:pt>
                <c:pt idx="15">
                  <c:v>0.49960016795094447</c:v>
                </c:pt>
                <c:pt idx="16">
                  <c:v>0.49955021255515536</c:v>
                </c:pt>
                <c:pt idx="17">
                  <c:v>0.49950026240419387</c:v>
                </c:pt>
                <c:pt idx="18">
                  <c:v>0.4994503174974857</c:v>
                </c:pt>
                <c:pt idx="19">
                  <c:v>0.49940037783445645</c:v>
                </c:pt>
                <c:pt idx="20">
                  <c:v>0.49935044341453194</c:v>
                </c:pt>
                <c:pt idx="21">
                  <c:v>0.49930051423713795</c:v>
                </c:pt>
                <c:pt idx="22">
                  <c:v>0.49925059030170033</c:v>
                </c:pt>
                <c:pt idx="23">
                  <c:v>0.49920067160764514</c:v>
                </c:pt>
                <c:pt idx="24">
                  <c:v>0.49910084994138582</c:v>
                </c:pt>
                <c:pt idx="25">
                  <c:v>0.49900104923376898</c:v>
                </c:pt>
                <c:pt idx="26">
                  <c:v>0.49890126948020447</c:v>
                </c:pt>
                <c:pt idx="27">
                  <c:v>0.49880151067610323</c:v>
                </c:pt>
                <c:pt idx="28">
                  <c:v>0.49870177281687733</c:v>
                </c:pt>
                <c:pt idx="29">
                  <c:v>0.49860205589793988</c:v>
                </c:pt>
                <c:pt idx="30">
                  <c:v>0.49850235991470487</c:v>
                </c:pt>
                <c:pt idx="31">
                  <c:v>0.49840268486258749</c:v>
                </c:pt>
                <c:pt idx="32">
                  <c:v>0.49820339753337134</c:v>
                </c:pt>
                <c:pt idx="33">
                  <c:v>0.49800419387363343</c:v>
                </c:pt>
                <c:pt idx="34">
                  <c:v>0.49780507384673245</c:v>
                </c:pt>
                <c:pt idx="35">
                  <c:v>0.49760603741604359</c:v>
                </c:pt>
                <c:pt idx="36">
                  <c:v>0.49740708454495886</c:v>
                </c:pt>
                <c:pt idx="37">
                  <c:v>0.49720821519688685</c:v>
                </c:pt>
                <c:pt idx="38">
                  <c:v>0.49700942933525277</c:v>
                </c:pt>
                <c:pt idx="39">
                  <c:v>0.49681072692349842</c:v>
                </c:pt>
                <c:pt idx="40">
                  <c:v>0.49641357230347949</c:v>
                </c:pt>
                <c:pt idx="41">
                  <c:v>0.49601675104469711</c:v>
                </c:pt>
                <c:pt idx="42">
                  <c:v>0.49562026285528371</c:v>
                </c:pt>
                <c:pt idx="43">
                  <c:v>0.49522410744363715</c:v>
                </c:pt>
                <c:pt idx="44">
                  <c:v>0.49482828451842015</c:v>
                </c:pt>
                <c:pt idx="45">
                  <c:v>0.49443279378856031</c:v>
                </c:pt>
                <c:pt idx="46">
                  <c:v>0.49403763496324976</c:v>
                </c:pt>
                <c:pt idx="47">
                  <c:v>0.49364280775194486</c:v>
                </c:pt>
                <c:pt idx="48">
                  <c:v>0.49285414701049718</c:v>
                </c:pt>
                <c:pt idx="49">
                  <c:v>0.49206680924514423</c:v>
                </c:pt>
                <c:pt idx="50">
                  <c:v>0.49128079214102549</c:v>
                </c:pt>
                <c:pt idx="51">
                  <c:v>0.4904960933874849</c:v>
                </c:pt>
                <c:pt idx="52">
                  <c:v>0.48971271067806332</c:v>
                </c:pt>
                <c:pt idx="53">
                  <c:v>0.48893064171049011</c:v>
                </c:pt>
                <c:pt idx="54">
                  <c:v>0.48814988418667582</c:v>
                </c:pt>
                <c:pt idx="55">
                  <c:v>0.48737043581270395</c:v>
                </c:pt>
                <c:pt idx="56">
                  <c:v>0.48581545735944004</c:v>
                </c:pt>
                <c:pt idx="57">
                  <c:v>0.4842656880825309</c:v>
                </c:pt>
                <c:pt idx="58">
                  <c:v>0.48272110978007837</c:v>
                </c:pt>
                <c:pt idx="59">
                  <c:v>0.48118170431620511</c:v>
                </c:pt>
                <c:pt idx="60">
                  <c:v>0.47964745362080669</c:v>
                </c:pt>
                <c:pt idx="61">
                  <c:v>0.47811833968930501</c:v>
                </c:pt>
                <c:pt idx="62">
                  <c:v>0.47659434458240268</c:v>
                </c:pt>
                <c:pt idx="63">
                  <c:v>0.4750754504258381</c:v>
                </c:pt>
                <c:pt idx="64">
                  <c:v>0.47205289379039245</c:v>
                </c:pt>
                <c:pt idx="65">
                  <c:v>0.46905052808034847</c:v>
                </c:pt>
                <c:pt idx="66">
                  <c:v>0.46606821261815096</c:v>
                </c:pt>
                <c:pt idx="67">
                  <c:v>0.46310580774364052</c:v>
                </c:pt>
                <c:pt idx="68">
                  <c:v>0.46016317480644442</c:v>
                </c:pt>
                <c:pt idx="69">
                  <c:v>0.45724017615842605</c:v>
                </c:pt>
                <c:pt idx="70">
                  <c:v>0.45433667514619247</c:v>
                </c:pt>
                <c:pt idx="71">
                  <c:v>0.45145253610365971</c:v>
                </c:pt>
                <c:pt idx="72">
                  <c:v>0.44574180615569953</c:v>
                </c:pt>
                <c:pt idx="73">
                  <c:v>0.44010692045313532</c:v>
                </c:pt>
                <c:pt idx="74">
                  <c:v>0.43454682846522558</c:v>
                </c:pt>
                <c:pt idx="75">
                  <c:v>0.4290604947638873</c:v>
                </c:pt>
                <c:pt idx="76">
                  <c:v>0.42364689879918127</c:v>
                </c:pt>
                <c:pt idx="77">
                  <c:v>0.4183050346782391</c:v>
                </c:pt>
                <c:pt idx="78">
                  <c:v>0.41303391094757658</c:v>
                </c:pt>
                <c:pt idx="79">
                  <c:v>0.40783255037874094</c:v>
                </c:pt>
                <c:pt idx="80">
                  <c:v>0.39763527967469164</c:v>
                </c:pt>
                <c:pt idx="81">
                  <c:v>0.38770568129868205</c:v>
                </c:pt>
                <c:pt idx="82">
                  <c:v>0.37803642840660068</c:v>
                </c:pt>
                <c:pt idx="83">
                  <c:v>0.36862040227475185</c:v>
                </c:pt>
                <c:pt idx="84">
                  <c:v>0.35945068618794124</c:v>
                </c:pt>
                <c:pt idx="85">
                  <c:v>0.35052055951257816</c:v>
                </c:pt>
                <c:pt idx="86">
                  <c:v>0.34182349194903672</c:v>
                </c:pt>
                <c:pt idx="87">
                  <c:v>0.33335313795769955</c:v>
                </c:pt>
                <c:pt idx="88">
                  <c:v>0.31706808006225007</c:v>
                </c:pt>
                <c:pt idx="89">
                  <c:v>0.30161811533019728</c:v>
                </c:pt>
                <c:pt idx="90">
                  <c:v>0.2869585999824405</c:v>
                </c:pt>
                <c:pt idx="91">
                  <c:v>0.2730473661243546</c:v>
                </c:pt>
                <c:pt idx="92">
                  <c:v>0.25984457983699732</c:v>
                </c:pt>
                <c:pt idx="93">
                  <c:v>0.24731260764935487</c:v>
                </c:pt>
                <c:pt idx="94">
                  <c:v>0.23541589088284187</c:v>
                </c:pt>
                <c:pt idx="95">
                  <c:v>0.22412082739095845</c:v>
                </c:pt>
                <c:pt idx="96">
                  <c:v>0.20321037295782063</c:v>
                </c:pt>
                <c:pt idx="97">
                  <c:v>0.18434748801645925</c:v>
                </c:pt>
                <c:pt idx="98">
                  <c:v>0.16732324199832796</c:v>
                </c:pt>
                <c:pt idx="99">
                  <c:v>0.15195080762542054</c:v>
                </c:pt>
                <c:pt idx="100">
                  <c:v>0.13806304579553255</c:v>
                </c:pt>
                <c:pt idx="101">
                  <c:v>0.12551036219098463</c:v>
                </c:pt>
                <c:pt idx="102">
                  <c:v>0.11415880420921502</c:v>
                </c:pt>
                <c:pt idx="103">
                  <c:v>0.10388837053342562</c:v>
                </c:pt>
                <c:pt idx="104">
                  <c:v>8.6171780736142928E-2</c:v>
                </c:pt>
                <c:pt idx="105">
                  <c:v>7.1626541629204982E-2</c:v>
                </c:pt>
                <c:pt idx="106">
                  <c:v>5.966143277212544E-2</c:v>
                </c:pt>
                <c:pt idx="107">
                  <c:v>4.9799405311451682E-2</c:v>
                </c:pt>
                <c:pt idx="108">
                  <c:v>4.1654834754747787E-2</c:v>
                </c:pt>
                <c:pt idx="109">
                  <c:v>3.4915434978115702E-2</c:v>
                </c:pt>
                <c:pt idx="110">
                  <c:v>2.9327853575188505E-2</c:v>
                </c:pt>
                <c:pt idx="111">
                  <c:v>2.4686179544410748E-2</c:v>
                </c:pt>
                <c:pt idx="112">
                  <c:v>1.7600841658778364E-2</c:v>
                </c:pt>
                <c:pt idx="113">
                  <c:v>1.2654824152721447E-2</c:v>
                </c:pt>
                <c:pt idx="114">
                  <c:v>9.1753347879262037E-3</c:v>
                </c:pt>
                <c:pt idx="115">
                  <c:v>6.7085838257388728E-3</c:v>
                </c:pt>
                <c:pt idx="116">
                  <c:v>4.9463279569999241E-3</c:v>
                </c:pt>
                <c:pt idx="117">
                  <c:v>3.6777151728801354E-3</c:v>
                </c:pt>
                <c:pt idx="118">
                  <c:v>2.7575055874635812E-3</c:v>
                </c:pt>
                <c:pt idx="119">
                  <c:v>2.0849605254261083E-3</c:v>
                </c:pt>
                <c:pt idx="120">
                  <c:v>1.2223345483346306E-3</c:v>
                </c:pt>
                <c:pt idx="121">
                  <c:v>7.4106250754849175E-4</c:v>
                </c:pt>
                <c:pt idx="122">
                  <c:v>4.646137956042176E-4</c:v>
                </c:pt>
                <c:pt idx="123">
                  <c:v>3.0123252698234103E-4</c:v>
                </c:pt>
                <c:pt idx="124">
                  <c:v>2.0196872958927348E-4</c:v>
                </c:pt>
                <c:pt idx="125">
                  <c:v>1.40035745273829E-4</c:v>
                </c:pt>
                <c:pt idx="126">
                  <c:v>1.0040750720338245E-4</c:v>
                </c:pt>
                <c:pt idx="127">
                  <c:v>7.4450216968038635E-5</c:v>
                </c:pt>
                <c:pt idx="128">
                  <c:v>4.5267139024436866E-5</c:v>
                </c:pt>
                <c:pt idx="129">
                  <c:v>3.1476768865193959E-5</c:v>
                </c:pt>
                <c:pt idx="130">
                  <c:v>2.5031522269783642E-5</c:v>
                </c:pt>
                <c:pt idx="131">
                  <c:v>2.2765353420662666E-5</c:v>
                </c:pt>
                <c:pt idx="132">
                  <c:v>2.367835627169194E-5</c:v>
                </c:pt>
                <c:pt idx="133">
                  <c:v>2.8165581586713364E-5</c:v>
                </c:pt>
                <c:pt idx="134">
                  <c:v>3.8315625037001961E-5</c:v>
                </c:pt>
                <c:pt idx="135">
                  <c:v>5.9610549378573917E-5</c:v>
                </c:pt>
                <c:pt idx="136">
                  <c:v>2.1581796838124613E-4</c:v>
                </c:pt>
                <c:pt idx="137">
                  <c:v>1.3366329106079117E-3</c:v>
                </c:pt>
                <c:pt idx="138">
                  <c:v>1.4161092998159345E-2</c:v>
                </c:pt>
                <c:pt idx="139">
                  <c:v>0.25665012150221461</c:v>
                </c:pt>
                <c:pt idx="140">
                  <c:v>7.9569430204823464</c:v>
                </c:pt>
                <c:pt idx="141">
                  <c:v>421.99868395455934</c:v>
                </c:pt>
                <c:pt idx="142">
                  <c:v>38285.649544717198</c:v>
                </c:pt>
                <c:pt idx="143">
                  <c:v>5941840.8779575666</c:v>
                </c:pt>
                <c:pt idx="144">
                  <c:v>716425831204.08228</c:v>
                </c:pt>
                <c:pt idx="145">
                  <c:v>7.3971044902832077E+17</c:v>
                </c:pt>
                <c:pt idx="146">
                  <c:v>6.5402231885928958E+24</c:v>
                </c:pt>
                <c:pt idx="147">
                  <c:v>4.9518066987304195E+32</c:v>
                </c:pt>
                <c:pt idx="148">
                  <c:v>3.210517896764493E+41</c:v>
                </c:pt>
                <c:pt idx="149">
                  <c:v>1.782488783542492E+51</c:v>
                </c:pt>
                <c:pt idx="150">
                  <c:v>8.4745923075305212E+61</c:v>
                </c:pt>
                <c:pt idx="151">
                  <c:v>3.450254425599642E+73</c:v>
                </c:pt>
                <c:pt idx="152">
                  <c:v>3.5911755100528966E+99</c:v>
                </c:pt>
                <c:pt idx="153">
                  <c:v>2.0099411101483883E+129</c:v>
                </c:pt>
                <c:pt idx="154">
                  <c:v>6.0491064710790585E+162</c:v>
                </c:pt>
                <c:pt idx="155">
                  <c:v>9.789495642790287E+199</c:v>
                </c:pt>
                <c:pt idx="156">
                  <c:v>8.5190388621340389E+240</c:v>
                </c:pt>
                <c:pt idx="157">
                  <c:v>3.9864110190307023E+285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C8-4257-A3A4-EB8DB690E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</a:t>
                </a:r>
                <a:r>
                  <a:rPr lang="en-US" baseline="30000"/>
                  <a:t>(2)</a:t>
                </a:r>
                <a:r>
                  <a:rPr lang="en-US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01632250752718"/>
          <c:y val="4.7728981765756788E-2"/>
          <c:w val="0.7298500185762723"/>
          <c:h val="0.67669507848545418"/>
        </c:manualLayout>
      </c:layout>
      <c:scatterChart>
        <c:scatterStyle val="lineMarker"/>
        <c:varyColors val="0"/>
        <c:ser>
          <c:idx val="1"/>
          <c:order val="0"/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Cumulant!$B$11:$B$610</c:f>
              <c:numCache>
                <c:formatCode>General</c:formatCode>
                <c:ptCount val="600"/>
                <c:pt idx="0">
                  <c:v>2.5000000000000002E-8</c:v>
                </c:pt>
                <c:pt idx="1">
                  <c:v>5.0000000000000004E-8</c:v>
                </c:pt>
                <c:pt idx="2">
                  <c:v>7.4999999999999997E-8</c:v>
                </c:pt>
                <c:pt idx="3">
                  <c:v>1.0000000000000001E-7</c:v>
                </c:pt>
                <c:pt idx="4">
                  <c:v>1.2499999999999999E-7</c:v>
                </c:pt>
                <c:pt idx="5">
                  <c:v>1.4999999999999999E-7</c:v>
                </c:pt>
                <c:pt idx="6">
                  <c:v>1.7499999999999999E-7</c:v>
                </c:pt>
                <c:pt idx="7">
                  <c:v>2.0000000000000002E-7</c:v>
                </c:pt>
                <c:pt idx="8">
                  <c:v>2.2499999999999999E-7</c:v>
                </c:pt>
                <c:pt idx="9">
                  <c:v>2.4999999999999999E-7</c:v>
                </c:pt>
                <c:pt idx="10">
                  <c:v>2.7500000000000001E-7</c:v>
                </c:pt>
                <c:pt idx="11">
                  <c:v>2.9999999999999999E-7</c:v>
                </c:pt>
                <c:pt idx="12">
                  <c:v>3.2499999999999996E-7</c:v>
                </c:pt>
                <c:pt idx="13">
                  <c:v>3.4999999999999998E-7</c:v>
                </c:pt>
                <c:pt idx="14">
                  <c:v>3.7500000000000001E-7</c:v>
                </c:pt>
                <c:pt idx="15">
                  <c:v>4.0000000000000003E-7</c:v>
                </c:pt>
                <c:pt idx="16">
                  <c:v>4.4999999999999998E-7</c:v>
                </c:pt>
                <c:pt idx="17">
                  <c:v>4.9999999999999998E-7</c:v>
                </c:pt>
                <c:pt idx="18">
                  <c:v>5.5000000000000003E-7</c:v>
                </c:pt>
                <c:pt idx="19">
                  <c:v>5.9999999999999997E-7</c:v>
                </c:pt>
                <c:pt idx="20">
                  <c:v>6.4999999999999992E-7</c:v>
                </c:pt>
                <c:pt idx="21">
                  <c:v>6.9999999999999997E-7</c:v>
                </c:pt>
                <c:pt idx="22">
                  <c:v>7.5000000000000002E-7</c:v>
                </c:pt>
                <c:pt idx="23">
                  <c:v>8.0000000000000007E-7</c:v>
                </c:pt>
                <c:pt idx="24">
                  <c:v>8.9999999999999996E-7</c:v>
                </c:pt>
                <c:pt idx="25">
                  <c:v>9.9999999999999995E-7</c:v>
                </c:pt>
                <c:pt idx="26">
                  <c:v>1.1000000000000001E-6</c:v>
                </c:pt>
                <c:pt idx="27">
                  <c:v>1.1999999999999999E-6</c:v>
                </c:pt>
                <c:pt idx="28">
                  <c:v>1.2999999999999998E-6</c:v>
                </c:pt>
                <c:pt idx="29">
                  <c:v>1.3999999999999999E-6</c:v>
                </c:pt>
                <c:pt idx="30">
                  <c:v>1.5E-6</c:v>
                </c:pt>
                <c:pt idx="31">
                  <c:v>1.6000000000000001E-6</c:v>
                </c:pt>
                <c:pt idx="32">
                  <c:v>1.7999999999999999E-6</c:v>
                </c:pt>
                <c:pt idx="33">
                  <c:v>1.9999999999999999E-6</c:v>
                </c:pt>
                <c:pt idx="34">
                  <c:v>2.2000000000000001E-6</c:v>
                </c:pt>
                <c:pt idx="35">
                  <c:v>2.3999999999999999E-6</c:v>
                </c:pt>
                <c:pt idx="36">
                  <c:v>2.5999999999999997E-6</c:v>
                </c:pt>
                <c:pt idx="37">
                  <c:v>2.7999999999999999E-6</c:v>
                </c:pt>
                <c:pt idx="38">
                  <c:v>3.0000000000000001E-6</c:v>
                </c:pt>
                <c:pt idx="39">
                  <c:v>3.2000000000000003E-6</c:v>
                </c:pt>
                <c:pt idx="40">
                  <c:v>3.5999999999999998E-6</c:v>
                </c:pt>
                <c:pt idx="41">
                  <c:v>3.9999999999999998E-6</c:v>
                </c:pt>
                <c:pt idx="42">
                  <c:v>4.4000000000000002E-6</c:v>
                </c:pt>
                <c:pt idx="43">
                  <c:v>4.7999999999999998E-6</c:v>
                </c:pt>
                <c:pt idx="44">
                  <c:v>5.1999999999999993E-6</c:v>
                </c:pt>
                <c:pt idx="45">
                  <c:v>5.5999999999999997E-6</c:v>
                </c:pt>
                <c:pt idx="46">
                  <c:v>6.0000000000000002E-6</c:v>
                </c:pt>
                <c:pt idx="47">
                  <c:v>6.4000000000000006E-6</c:v>
                </c:pt>
                <c:pt idx="48">
                  <c:v>7.1999999999999997E-6</c:v>
                </c:pt>
                <c:pt idx="49">
                  <c:v>7.9999999999999996E-6</c:v>
                </c:pt>
                <c:pt idx="50">
                  <c:v>8.8000000000000004E-6</c:v>
                </c:pt>
                <c:pt idx="51">
                  <c:v>9.5999999999999996E-6</c:v>
                </c:pt>
                <c:pt idx="52">
                  <c:v>1.0399999999999999E-5</c:v>
                </c:pt>
                <c:pt idx="53">
                  <c:v>1.1199999999999999E-5</c:v>
                </c:pt>
                <c:pt idx="54">
                  <c:v>1.2E-5</c:v>
                </c:pt>
                <c:pt idx="55">
                  <c:v>1.2800000000000001E-5</c:v>
                </c:pt>
                <c:pt idx="56">
                  <c:v>1.4399999999999999E-5</c:v>
                </c:pt>
                <c:pt idx="57">
                  <c:v>1.5999999999999999E-5</c:v>
                </c:pt>
                <c:pt idx="58">
                  <c:v>1.7600000000000001E-5</c:v>
                </c:pt>
                <c:pt idx="59">
                  <c:v>1.9199999999999999E-5</c:v>
                </c:pt>
                <c:pt idx="60">
                  <c:v>2.0799999999999997E-5</c:v>
                </c:pt>
                <c:pt idx="61">
                  <c:v>2.2399999999999999E-5</c:v>
                </c:pt>
                <c:pt idx="62">
                  <c:v>2.4000000000000001E-5</c:v>
                </c:pt>
                <c:pt idx="63">
                  <c:v>2.5600000000000002E-5</c:v>
                </c:pt>
                <c:pt idx="64">
                  <c:v>2.8799999999999999E-5</c:v>
                </c:pt>
                <c:pt idx="65">
                  <c:v>3.1999999999999999E-5</c:v>
                </c:pt>
                <c:pt idx="66">
                  <c:v>3.5200000000000002E-5</c:v>
                </c:pt>
                <c:pt idx="67">
                  <c:v>3.8399999999999998E-5</c:v>
                </c:pt>
                <c:pt idx="68">
                  <c:v>4.1599999999999995E-5</c:v>
                </c:pt>
                <c:pt idx="69">
                  <c:v>4.4799999999999998E-5</c:v>
                </c:pt>
                <c:pt idx="70">
                  <c:v>4.8000000000000001E-5</c:v>
                </c:pt>
                <c:pt idx="71">
                  <c:v>5.1200000000000004E-5</c:v>
                </c:pt>
                <c:pt idx="72">
                  <c:v>5.7599999999999997E-5</c:v>
                </c:pt>
                <c:pt idx="73">
                  <c:v>6.3999999999999997E-5</c:v>
                </c:pt>
                <c:pt idx="74">
                  <c:v>7.0400000000000004E-5</c:v>
                </c:pt>
                <c:pt idx="75">
                  <c:v>7.6799999999999997E-5</c:v>
                </c:pt>
                <c:pt idx="76">
                  <c:v>8.3199999999999989E-5</c:v>
                </c:pt>
                <c:pt idx="77">
                  <c:v>8.9599999999999996E-5</c:v>
                </c:pt>
                <c:pt idx="78">
                  <c:v>9.6000000000000002E-5</c:v>
                </c:pt>
                <c:pt idx="79">
                  <c:v>1.0240000000000001E-4</c:v>
                </c:pt>
                <c:pt idx="80">
                  <c:v>1.1519999999999999E-4</c:v>
                </c:pt>
                <c:pt idx="81">
                  <c:v>1.2799999999999999E-4</c:v>
                </c:pt>
                <c:pt idx="82">
                  <c:v>1.4080000000000001E-4</c:v>
                </c:pt>
                <c:pt idx="83">
                  <c:v>1.5359999999999999E-4</c:v>
                </c:pt>
                <c:pt idx="84">
                  <c:v>1.6639999999999998E-4</c:v>
                </c:pt>
                <c:pt idx="85">
                  <c:v>1.7919999999999999E-4</c:v>
                </c:pt>
                <c:pt idx="86">
                  <c:v>1.92E-4</c:v>
                </c:pt>
                <c:pt idx="87">
                  <c:v>2.0480000000000002E-4</c:v>
                </c:pt>
                <c:pt idx="88">
                  <c:v>2.3039999999999999E-4</c:v>
                </c:pt>
                <c:pt idx="89">
                  <c:v>2.5599999999999999E-4</c:v>
                </c:pt>
                <c:pt idx="90">
                  <c:v>2.8160000000000001E-4</c:v>
                </c:pt>
                <c:pt idx="91">
                  <c:v>3.0719999999999999E-4</c:v>
                </c:pt>
                <c:pt idx="92">
                  <c:v>3.3279999999999996E-4</c:v>
                </c:pt>
                <c:pt idx="93">
                  <c:v>3.5839999999999998E-4</c:v>
                </c:pt>
                <c:pt idx="94">
                  <c:v>3.8400000000000001E-4</c:v>
                </c:pt>
                <c:pt idx="95">
                  <c:v>4.0960000000000004E-4</c:v>
                </c:pt>
                <c:pt idx="96">
                  <c:v>4.6079999999999998E-4</c:v>
                </c:pt>
                <c:pt idx="97">
                  <c:v>5.1199999999999998E-4</c:v>
                </c:pt>
                <c:pt idx="98">
                  <c:v>5.6320000000000003E-4</c:v>
                </c:pt>
                <c:pt idx="99">
                  <c:v>6.1439999999999997E-4</c:v>
                </c:pt>
                <c:pt idx="100">
                  <c:v>6.6559999999999992E-4</c:v>
                </c:pt>
                <c:pt idx="101">
                  <c:v>7.1679999999999997E-4</c:v>
                </c:pt>
                <c:pt idx="102">
                  <c:v>7.6800000000000002E-4</c:v>
                </c:pt>
                <c:pt idx="103">
                  <c:v>8.1920000000000007E-4</c:v>
                </c:pt>
                <c:pt idx="104">
                  <c:v>9.2159999999999996E-4</c:v>
                </c:pt>
                <c:pt idx="105">
                  <c:v>1.024E-3</c:v>
                </c:pt>
                <c:pt idx="106">
                  <c:v>1.1264000000000001E-3</c:v>
                </c:pt>
                <c:pt idx="107">
                  <c:v>1.2287999999999999E-3</c:v>
                </c:pt>
                <c:pt idx="108">
                  <c:v>1.3311999999999998E-3</c:v>
                </c:pt>
                <c:pt idx="109">
                  <c:v>1.4335999999999999E-3</c:v>
                </c:pt>
                <c:pt idx="110">
                  <c:v>1.536E-3</c:v>
                </c:pt>
                <c:pt idx="111">
                  <c:v>1.6384000000000001E-3</c:v>
                </c:pt>
                <c:pt idx="112">
                  <c:v>1.8431999999999999E-3</c:v>
                </c:pt>
                <c:pt idx="113">
                  <c:v>2.0479999999999999E-3</c:v>
                </c:pt>
                <c:pt idx="114">
                  <c:v>2.2528000000000001E-3</c:v>
                </c:pt>
                <c:pt idx="115">
                  <c:v>2.4575999999999999E-3</c:v>
                </c:pt>
                <c:pt idx="116">
                  <c:v>2.6623999999999997E-3</c:v>
                </c:pt>
                <c:pt idx="117">
                  <c:v>2.8671999999999999E-3</c:v>
                </c:pt>
                <c:pt idx="118">
                  <c:v>3.0720000000000001E-3</c:v>
                </c:pt>
                <c:pt idx="119">
                  <c:v>3.2768000000000003E-3</c:v>
                </c:pt>
                <c:pt idx="120">
                  <c:v>3.6863999999999998E-3</c:v>
                </c:pt>
                <c:pt idx="121">
                  <c:v>4.0959999999999998E-3</c:v>
                </c:pt>
                <c:pt idx="122">
                  <c:v>4.5056000000000002E-3</c:v>
                </c:pt>
                <c:pt idx="123">
                  <c:v>4.9151999999999998E-3</c:v>
                </c:pt>
                <c:pt idx="124">
                  <c:v>5.3247999999999993E-3</c:v>
                </c:pt>
                <c:pt idx="125">
                  <c:v>5.7343999999999997E-3</c:v>
                </c:pt>
                <c:pt idx="126">
                  <c:v>6.1440000000000002E-3</c:v>
                </c:pt>
                <c:pt idx="127">
                  <c:v>6.5536000000000006E-3</c:v>
                </c:pt>
                <c:pt idx="128">
                  <c:v>7.3727999999999997E-3</c:v>
                </c:pt>
                <c:pt idx="129">
                  <c:v>8.1919999999999996E-3</c:v>
                </c:pt>
                <c:pt idx="130">
                  <c:v>9.0112000000000005E-3</c:v>
                </c:pt>
                <c:pt idx="131">
                  <c:v>9.8303999999999996E-3</c:v>
                </c:pt>
                <c:pt idx="132">
                  <c:v>1.0649599999999999E-2</c:v>
                </c:pt>
                <c:pt idx="133">
                  <c:v>1.1468799999999999E-2</c:v>
                </c:pt>
                <c:pt idx="134">
                  <c:v>1.2288E-2</c:v>
                </c:pt>
                <c:pt idx="135">
                  <c:v>1.3107200000000001E-2</c:v>
                </c:pt>
                <c:pt idx="136">
                  <c:v>1.4745599999999999E-2</c:v>
                </c:pt>
                <c:pt idx="137">
                  <c:v>1.6383999999999999E-2</c:v>
                </c:pt>
                <c:pt idx="138">
                  <c:v>1.8022400000000001E-2</c:v>
                </c:pt>
                <c:pt idx="139">
                  <c:v>1.9660799999999999E-2</c:v>
                </c:pt>
                <c:pt idx="140">
                  <c:v>2.1299199999999997E-2</c:v>
                </c:pt>
                <c:pt idx="141">
                  <c:v>2.2937599999999999E-2</c:v>
                </c:pt>
                <c:pt idx="142">
                  <c:v>2.4576000000000001E-2</c:v>
                </c:pt>
                <c:pt idx="143">
                  <c:v>2.6214400000000002E-2</c:v>
                </c:pt>
                <c:pt idx="144">
                  <c:v>2.9491199999999999E-2</c:v>
                </c:pt>
                <c:pt idx="145">
                  <c:v>3.2767999999999999E-2</c:v>
                </c:pt>
                <c:pt idx="146">
                  <c:v>3.6044800000000002E-2</c:v>
                </c:pt>
                <c:pt idx="147">
                  <c:v>3.9321599999999998E-2</c:v>
                </c:pt>
                <c:pt idx="148">
                  <c:v>4.2598399999999995E-2</c:v>
                </c:pt>
                <c:pt idx="149">
                  <c:v>4.5875199999999998E-2</c:v>
                </c:pt>
                <c:pt idx="150">
                  <c:v>4.9152000000000001E-2</c:v>
                </c:pt>
                <c:pt idx="151">
                  <c:v>5.2428800000000005E-2</c:v>
                </c:pt>
                <c:pt idx="152">
                  <c:v>5.8982399999999997E-2</c:v>
                </c:pt>
                <c:pt idx="153">
                  <c:v>6.5535999999999997E-2</c:v>
                </c:pt>
                <c:pt idx="154">
                  <c:v>7.2089600000000004E-2</c:v>
                </c:pt>
                <c:pt idx="155">
                  <c:v>7.8643199999999996E-2</c:v>
                </c:pt>
                <c:pt idx="156">
                  <c:v>8.5196799999999989E-2</c:v>
                </c:pt>
                <c:pt idx="157">
                  <c:v>9.1750399999999996E-2</c:v>
                </c:pt>
                <c:pt idx="158">
                  <c:v>9.8304000000000002E-2</c:v>
                </c:pt>
                <c:pt idx="159">
                  <c:v>0.10485800000000001</c:v>
                </c:pt>
                <c:pt idx="160">
                  <c:v>0.117965</c:v>
                </c:pt>
                <c:pt idx="161">
                  <c:v>0.13107199999999999</c:v>
                </c:pt>
                <c:pt idx="162">
                  <c:v>0.144179</c:v>
                </c:pt>
                <c:pt idx="163">
                  <c:v>0.15728600000000001</c:v>
                </c:pt>
                <c:pt idx="164">
                  <c:v>0.17039400000000002</c:v>
                </c:pt>
                <c:pt idx="165">
                  <c:v>0.183501</c:v>
                </c:pt>
                <c:pt idx="166">
                  <c:v>0.196608</c:v>
                </c:pt>
                <c:pt idx="167">
                  <c:v>0.20971500000000001</c:v>
                </c:pt>
                <c:pt idx="168">
                  <c:v>0.23593</c:v>
                </c:pt>
                <c:pt idx="169">
                  <c:v>0.26214399999999999</c:v>
                </c:pt>
                <c:pt idx="170">
                  <c:v>0.288358</c:v>
                </c:pt>
                <c:pt idx="171">
                  <c:v>0.31457299999999999</c:v>
                </c:pt>
                <c:pt idx="172">
                  <c:v>0.34078699999999995</c:v>
                </c:pt>
                <c:pt idx="173">
                  <c:v>0.36700199999999999</c:v>
                </c:pt>
                <c:pt idx="174">
                  <c:v>0.39321600000000001</c:v>
                </c:pt>
                <c:pt idx="175">
                  <c:v>0.41943000000000003</c:v>
                </c:pt>
                <c:pt idx="176">
                  <c:v>0.47185899999999997</c:v>
                </c:pt>
                <c:pt idx="177">
                  <c:v>0.52428799999999998</c:v>
                </c:pt>
                <c:pt idx="178">
                  <c:v>0.57671700000000004</c:v>
                </c:pt>
                <c:pt idx="179">
                  <c:v>0.62914599999999998</c:v>
                </c:pt>
                <c:pt idx="180">
                  <c:v>0.6815739999999999</c:v>
                </c:pt>
                <c:pt idx="181">
                  <c:v>0.73400300000000007</c:v>
                </c:pt>
                <c:pt idx="182">
                  <c:v>0.78643200000000002</c:v>
                </c:pt>
                <c:pt idx="183">
                  <c:v>0.83886099999999997</c:v>
                </c:pt>
                <c:pt idx="184">
                  <c:v>0.94371799999999995</c:v>
                </c:pt>
                <c:pt idx="185">
                  <c:v>1.0485799999999998</c:v>
                </c:pt>
                <c:pt idx="186">
                  <c:v>1.15343</c:v>
                </c:pt>
                <c:pt idx="187">
                  <c:v>1.2582899999999999</c:v>
                </c:pt>
                <c:pt idx="188">
                  <c:v>1.3631500000000001</c:v>
                </c:pt>
                <c:pt idx="189">
                  <c:v>1.46801</c:v>
                </c:pt>
                <c:pt idx="190">
                  <c:v>1.5728599999999999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xVal>
          <c:yVal>
            <c:numRef>
              <c:f>Cumulant!#REF!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D-4E3A-9322-F0F604698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207968"/>
        <c:axId val="2003947808"/>
      </c:scatterChart>
      <c:valAx>
        <c:axId val="27420796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t/s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947808"/>
        <c:crosses val="autoZero"/>
        <c:crossBetween val="midCat"/>
      </c:valAx>
      <c:valAx>
        <c:axId val="200394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residuals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07968"/>
        <c:crossesAt val="1.0000000000000005E-8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Symbol" panose="05050102010706020507" pitchFamily="18" charset="2"/>
              </a:rPr>
              <a:t>G</a:t>
            </a:r>
            <a:r>
              <a:rPr lang="en-US" baseline="0"/>
              <a:t> vs q2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Gamma1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backward val="1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Cumulant!$AE$4:$AE$11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BA-4E6A-AE49-166EDFC2D36B}"/>
            </c:ext>
          </c:extLst>
        </c:ser>
        <c:ser>
          <c:idx val="1"/>
          <c:order val="1"/>
          <c:tx>
            <c:v>Gamma2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Cumulant!$AF$4:$AF$11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BA-4E6A-AE49-166EDFC2D36B}"/>
            </c:ext>
          </c:extLst>
        </c:ser>
        <c:ser>
          <c:idx val="2"/>
          <c:order val="2"/>
          <c:tx>
            <c:v>Gamma3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Cumulant!$AG$4:$AG$11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BA-4E6A-AE49-166EDFC2D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Symbol" panose="05050102010706020507" pitchFamily="18" charset="2"/>
                  </a:rPr>
                  <a:t>G</a:t>
                </a:r>
                <a:r>
                  <a:rPr lang="en-US"/>
                  <a:t>/kHz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D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app</a:t>
            </a:r>
            <a:r>
              <a:rPr lang="en-US" baseline="0"/>
              <a:t> vs q</a:t>
            </a:r>
            <a:r>
              <a:rPr lang="en-US" baseline="30000"/>
              <a:t>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81205793779573"/>
          <c:y val="0.17877109039611414"/>
          <c:w val="0.84614566370009503"/>
          <c:h val="0.6175411535940152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1-4BDA-90A5-DD9FF3A259B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1-4BDA-90A5-DD9FF3A259B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Cumulant!$AH$4:$AH$11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41-4BDA-90A5-DD9FF3A2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D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/10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-7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cm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2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.s</a:t>
                </a:r>
                <a:r>
                  <a:rPr lang="en-US" baseline="30000">
                    <a:latin typeface="Arial" panose="020B0604020202020204" pitchFamily="34" charset="0"/>
                    <a:cs typeface="Arial" panose="020B0604020202020204" pitchFamily="34" charset="0"/>
                  </a:rPr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R</a:t>
            </a:r>
            <a:r>
              <a:rPr lang="en-US" baseline="-25000">
                <a:latin typeface="Arial" panose="020B0604020202020204" pitchFamily="34" charset="0"/>
                <a:cs typeface="Arial" panose="020B0604020202020204" pitchFamily="34" charset="0"/>
              </a:rPr>
              <a:t>h,app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n-US" sz="1400" b="0" i="0" u="none" strike="noStrike" baseline="0">
                <a:effectLst/>
              </a:rPr>
              <a:t>vs</a:t>
            </a:r>
            <a:r>
              <a:rPr lang="en-US" baseline="0"/>
              <a:t> q</a:t>
            </a:r>
            <a:r>
              <a:rPr lang="en-US" baseline="30000"/>
              <a:t>2</a:t>
            </a:r>
          </a:p>
        </c:rich>
      </c:tx>
      <c:layout>
        <c:manualLayout>
          <c:xMode val="edge"/>
          <c:yMode val="edge"/>
          <c:x val="0.4057641979279988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Cumulant!$AJ$4:$AJ$11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1-475C-BD2D-D66727B19E2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Cumulant!$AK$4:$AK$11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1-475C-BD2D-D66727B19E2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Cumulant!$AC$4:$AC$11</c:f>
              <c:numCache>
                <c:formatCode>General</c:formatCode>
                <c:ptCount val="8"/>
                <c:pt idx="0">
                  <c:v>0.97890580329857879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Cumulant!$AL$4:$AL$11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1-475C-BD2D-D66727B19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37008"/>
        <c:axId val="120178976"/>
      </c:scatterChart>
      <c:valAx>
        <c:axId val="20653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  <a:r>
                  <a:rPr lang="en-US" baseline="30000"/>
                  <a:t>2</a:t>
                </a:r>
                <a:r>
                  <a:rPr lang="en-US"/>
                  <a:t>/10</a:t>
                </a:r>
                <a:r>
                  <a:rPr lang="en-US" baseline="30000"/>
                  <a:t>10</a:t>
                </a:r>
                <a:r>
                  <a:rPr lang="en-US"/>
                  <a:t>cm</a:t>
                </a:r>
                <a:r>
                  <a:rPr lang="en-US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78976"/>
        <c:crosses val="autoZero"/>
        <c:crossBetween val="midCat"/>
      </c:valAx>
      <c:valAx>
        <c:axId val="1201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R</a:t>
                </a:r>
                <a:r>
                  <a:rPr lang="en-US" baseline="-25000">
                    <a:latin typeface="Arial" panose="020B0604020202020204" pitchFamily="34" charset="0"/>
                    <a:cs typeface="Arial" panose="020B0604020202020204" pitchFamily="34" charset="0"/>
                  </a:rPr>
                  <a:t>h,app</a:t>
                </a: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 / nm</a:t>
                </a:r>
              </a:p>
            </c:rich>
          </c:tx>
          <c:layout>
            <c:manualLayout>
              <c:xMode val="edge"/>
              <c:yMode val="edge"/>
              <c:x val="1.7934140349475672E-2"/>
              <c:y val="0.360535637870544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image" Target="../media/image1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image" Target="../media/image21.png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76198</xdr:rowOff>
    </xdr:from>
    <xdr:to>
      <xdr:col>14</xdr:col>
      <xdr:colOff>76200</xdr:colOff>
      <xdr:row>59</xdr:row>
      <xdr:rowOff>152399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61924" y="76198"/>
          <a:ext cx="8448676" cy="1131570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SMALS Multirun is a</a:t>
          </a:r>
          <a:r>
            <a:rPr lang="en-US" sz="1100" baseline="0"/>
            <a:t> macro-enabled Excel workbook</a:t>
          </a:r>
        </a:p>
        <a:p>
          <a:r>
            <a:rPr lang="en-US" sz="1100" baseline="0"/>
            <a:t>Partly based on: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Alyssa_ReadNewALV_2_MultiRun.xlsm for the one-detector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"new" ALV*</a:t>
          </a:r>
          <a:endParaRPr lang="en-US" sz="1100" baseline="0"/>
        </a:p>
        <a:p>
          <a:r>
            <a:rPr lang="en-US" sz="1100" baseline="0"/>
            <a:t>Paul Russo</a:t>
          </a:r>
        </a:p>
        <a:p>
          <a:r>
            <a:rPr lang="en-US" sz="1100" baseline="0"/>
            <a:t>Updated November 2021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495300</xdr:colOff>
      <xdr:row>14</xdr:row>
      <xdr:rowOff>161925</xdr:rowOff>
    </xdr:from>
    <xdr:ext cx="184731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810500" y="2828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71967</xdr:colOff>
          <xdr:row>1</xdr:row>
          <xdr:rowOff>4233</xdr:rowOff>
        </xdr:from>
        <xdr:to>
          <xdr:col>2</xdr:col>
          <xdr:colOff>220133</xdr:colOff>
          <xdr:row>2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Redisplay Naming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4233</xdr:rowOff>
        </xdr:from>
        <xdr:to>
          <xdr:col>10</xdr:col>
          <xdr:colOff>228600</xdr:colOff>
          <xdr:row>2</xdr:row>
          <xdr:rowOff>148167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364067</xdr:colOff>
          <xdr:row>1</xdr:row>
          <xdr:rowOff>8467</xdr:rowOff>
        </xdr:from>
        <xdr:to>
          <xdr:col>5</xdr:col>
          <xdr:colOff>524933</xdr:colOff>
          <xdr:row>2</xdr:row>
          <xdr:rowOff>160867</xdr:rowOff>
        </xdr:to>
        <xdr:sp macro="" textlink="">
          <xdr:nvSpPr>
            <xdr:cNvPr id="1034" name="cmdAve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29633</xdr:rowOff>
        </xdr:from>
        <xdr:to>
          <xdr:col>8</xdr:col>
          <xdr:colOff>330200</xdr:colOff>
          <xdr:row>2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Export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452663</xdr:colOff>
      <xdr:row>11</xdr:row>
      <xdr:rowOff>45509</xdr:rowOff>
    </xdr:from>
    <xdr:to>
      <xdr:col>17</xdr:col>
      <xdr:colOff>295427</xdr:colOff>
      <xdr:row>24</xdr:row>
      <xdr:rowOff>7409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599320</xdr:colOff>
      <xdr:row>19</xdr:row>
      <xdr:rowOff>159508</xdr:rowOff>
    </xdr:from>
    <xdr:to>
      <xdr:col>25</xdr:col>
      <xdr:colOff>115511</xdr:colOff>
      <xdr:row>31</xdr:row>
      <xdr:rowOff>139096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80889</xdr:colOff>
      <xdr:row>0</xdr:row>
      <xdr:rowOff>0</xdr:rowOff>
    </xdr:from>
    <xdr:to>
      <xdr:col>23</xdr:col>
      <xdr:colOff>483055</xdr:colOff>
      <xdr:row>18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38100</xdr:colOff>
      <xdr:row>32</xdr:row>
      <xdr:rowOff>35984</xdr:rowOff>
    </xdr:from>
    <xdr:to>
      <xdr:col>26</xdr:col>
      <xdr:colOff>293310</xdr:colOff>
      <xdr:row>40</xdr:row>
      <xdr:rowOff>169332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869156</xdr:colOff>
      <xdr:row>37</xdr:row>
      <xdr:rowOff>11906</xdr:rowOff>
    </xdr:from>
    <xdr:to>
      <xdr:col>10</xdr:col>
      <xdr:colOff>150699</xdr:colOff>
      <xdr:row>45</xdr:row>
      <xdr:rowOff>145254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869156</xdr:colOff>
      <xdr:row>47</xdr:row>
      <xdr:rowOff>11906</xdr:rowOff>
    </xdr:from>
    <xdr:to>
      <xdr:col>10</xdr:col>
      <xdr:colOff>150699</xdr:colOff>
      <xdr:row>55</xdr:row>
      <xdr:rowOff>145254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869156</xdr:colOff>
      <xdr:row>57</xdr:row>
      <xdr:rowOff>11906</xdr:rowOff>
    </xdr:from>
    <xdr:to>
      <xdr:col>10</xdr:col>
      <xdr:colOff>150699</xdr:colOff>
      <xdr:row>65</xdr:row>
      <xdr:rowOff>145254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869156</xdr:colOff>
      <xdr:row>67</xdr:row>
      <xdr:rowOff>11906</xdr:rowOff>
    </xdr:from>
    <xdr:to>
      <xdr:col>10</xdr:col>
      <xdr:colOff>150699</xdr:colOff>
      <xdr:row>75</xdr:row>
      <xdr:rowOff>145254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869156</xdr:colOff>
      <xdr:row>77</xdr:row>
      <xdr:rowOff>11906</xdr:rowOff>
    </xdr:from>
    <xdr:to>
      <xdr:col>10</xdr:col>
      <xdr:colOff>150699</xdr:colOff>
      <xdr:row>85</xdr:row>
      <xdr:rowOff>145254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8467</xdr:colOff>
          <xdr:row>10</xdr:row>
          <xdr:rowOff>29633</xdr:rowOff>
        </xdr:from>
        <xdr:to>
          <xdr:col>2</xdr:col>
          <xdr:colOff>334433</xdr:colOff>
          <xdr:row>12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CUMU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220133</xdr:colOff>
          <xdr:row>10</xdr:row>
          <xdr:rowOff>67733</xdr:rowOff>
        </xdr:from>
        <xdr:to>
          <xdr:col>8</xdr:col>
          <xdr:colOff>97367</xdr:colOff>
          <xdr:row>12</xdr:row>
          <xdr:rowOff>46567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21167</xdr:colOff>
          <xdr:row>33</xdr:row>
          <xdr:rowOff>21167</xdr:rowOff>
        </xdr:from>
        <xdr:to>
          <xdr:col>2</xdr:col>
          <xdr:colOff>419100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EXP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29633</xdr:colOff>
          <xdr:row>36</xdr:row>
          <xdr:rowOff>0</xdr:rowOff>
        </xdr:from>
        <xdr:to>
          <xdr:col>2</xdr:col>
          <xdr:colOff>419100</xdr:colOff>
          <xdr:row>37</xdr:row>
          <xdr:rowOff>160867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CONTIN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190916</xdr:colOff>
      <xdr:row>7</xdr:row>
      <xdr:rowOff>125121</xdr:rowOff>
    </xdr:from>
    <xdr:to>
      <xdr:col>14</xdr:col>
      <xdr:colOff>413821</xdr:colOff>
      <xdr:row>22</xdr:row>
      <xdr:rowOff>58104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199215</xdr:colOff>
      <xdr:row>23</xdr:row>
      <xdr:rowOff>33200</xdr:rowOff>
    </xdr:from>
    <xdr:to>
      <xdr:col>14</xdr:col>
      <xdr:colOff>415033</xdr:colOff>
      <xdr:row>31</xdr:row>
      <xdr:rowOff>33767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635000</xdr:colOff>
          <xdr:row>2</xdr:row>
          <xdr:rowOff>195943</xdr:rowOff>
        </xdr:from>
        <xdr:to>
          <xdr:col>16</xdr:col>
          <xdr:colOff>451153</xdr:colOff>
          <xdr:row>5</xdr:row>
          <xdr:rowOff>85876</xdr:rowOff>
        </xdr:to>
        <xdr:sp macro="" textlink="">
          <xdr:nvSpPr>
            <xdr:cNvPr id="5121" name="cmdLoadAngl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8</xdr:row>
          <xdr:rowOff>0</xdr:rowOff>
        </xdr:from>
        <xdr:to>
          <xdr:col>16</xdr:col>
          <xdr:colOff>465667</xdr:colOff>
          <xdr:row>10</xdr:row>
          <xdr:rowOff>97367</xdr:rowOff>
        </xdr:to>
        <xdr:sp macro="" textlink="">
          <xdr:nvSpPr>
            <xdr:cNvPr id="5122" name="cmdLoadAngl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13</xdr:row>
          <xdr:rowOff>0</xdr:rowOff>
        </xdr:from>
        <xdr:to>
          <xdr:col>16</xdr:col>
          <xdr:colOff>465667</xdr:colOff>
          <xdr:row>15</xdr:row>
          <xdr:rowOff>122767</xdr:rowOff>
        </xdr:to>
        <xdr:sp macro="" textlink="">
          <xdr:nvSpPr>
            <xdr:cNvPr id="5123" name="cmdLoadAngl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18</xdr:row>
          <xdr:rowOff>0</xdr:rowOff>
        </xdr:from>
        <xdr:to>
          <xdr:col>16</xdr:col>
          <xdr:colOff>465667</xdr:colOff>
          <xdr:row>20</xdr:row>
          <xdr:rowOff>122767</xdr:rowOff>
        </xdr:to>
        <xdr:sp macro="" textlink="">
          <xdr:nvSpPr>
            <xdr:cNvPr id="5124" name="cmdLoadAngl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</xdr:row>
          <xdr:rowOff>0</xdr:rowOff>
        </xdr:from>
        <xdr:to>
          <xdr:col>16</xdr:col>
          <xdr:colOff>465667</xdr:colOff>
          <xdr:row>25</xdr:row>
          <xdr:rowOff>122767</xdr:rowOff>
        </xdr:to>
        <xdr:sp macro="" textlink="">
          <xdr:nvSpPr>
            <xdr:cNvPr id="5125" name="cmdLoadAngl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16</xdr:col>
          <xdr:colOff>465667</xdr:colOff>
          <xdr:row>30</xdr:row>
          <xdr:rowOff>122767</xdr:rowOff>
        </xdr:to>
        <xdr:sp macro="" textlink="">
          <xdr:nvSpPr>
            <xdr:cNvPr id="5126" name="cmdLoadAngle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16</xdr:col>
          <xdr:colOff>465667</xdr:colOff>
          <xdr:row>35</xdr:row>
          <xdr:rowOff>122767</xdr:rowOff>
        </xdr:to>
        <xdr:sp macro="" textlink="">
          <xdr:nvSpPr>
            <xdr:cNvPr id="5127" name="cmdLoadAngle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38</xdr:row>
          <xdr:rowOff>0</xdr:rowOff>
        </xdr:from>
        <xdr:to>
          <xdr:col>16</xdr:col>
          <xdr:colOff>465667</xdr:colOff>
          <xdr:row>40</xdr:row>
          <xdr:rowOff>122767</xdr:rowOff>
        </xdr:to>
        <xdr:sp macro="" textlink="">
          <xdr:nvSpPr>
            <xdr:cNvPr id="5128" name="cmdLoadAngle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211667</xdr:colOff>
          <xdr:row>2</xdr:row>
          <xdr:rowOff>173567</xdr:rowOff>
        </xdr:from>
        <xdr:to>
          <xdr:col>13</xdr:col>
          <xdr:colOff>8467</xdr:colOff>
          <xdr:row>5</xdr:row>
          <xdr:rowOff>143933</xdr:rowOff>
        </xdr:to>
        <xdr:sp macro="" textlink="">
          <xdr:nvSpPr>
            <xdr:cNvPr id="5129" name="cmdResetMexpSheet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34</xdr:col>
      <xdr:colOff>182429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286544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246856</xdr:colOff>
      <xdr:row>11</xdr:row>
      <xdr:rowOff>114828</xdr:rowOff>
    </xdr:from>
    <xdr:to>
      <xdr:col>50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616857</xdr:colOff>
      <xdr:row>0</xdr:row>
      <xdr:rowOff>151808</xdr:rowOff>
    </xdr:from>
    <xdr:to>
      <xdr:col>6</xdr:col>
      <xdr:colOff>717564</xdr:colOff>
      <xdr:row>2</xdr:row>
      <xdr:rowOff>171870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750DE5-3812-46EA-8A71-4C009AD23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6857" y="151808"/>
          <a:ext cx="4745278" cy="4071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579531</xdr:colOff>
      <xdr:row>8</xdr:row>
      <xdr:rowOff>40456</xdr:rowOff>
    </xdr:from>
    <xdr:to>
      <xdr:col>14</xdr:col>
      <xdr:colOff>492718</xdr:colOff>
      <xdr:row>22</xdr:row>
      <xdr:rowOff>185104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612880-0D4C-4F00-8AC8-40E24C157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579531</xdr:colOff>
      <xdr:row>23</xdr:row>
      <xdr:rowOff>160200</xdr:rowOff>
    </xdr:from>
    <xdr:to>
      <xdr:col>14</xdr:col>
      <xdr:colOff>493930</xdr:colOff>
      <xdr:row>31</xdr:row>
      <xdr:rowOff>160767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A84D13-FDE0-41CF-A9E2-781F718F5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211667</xdr:colOff>
          <xdr:row>2</xdr:row>
          <xdr:rowOff>173567</xdr:rowOff>
        </xdr:from>
        <xdr:to>
          <xdr:col>12</xdr:col>
          <xdr:colOff>8470</xdr:colOff>
          <xdr:row>5</xdr:row>
          <xdr:rowOff>143933</xdr:rowOff>
        </xdr:to>
        <xdr:sp macro="" textlink="">
          <xdr:nvSpPr>
            <xdr:cNvPr id="6153" name="cmdResetCumulantSheet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A47A83DC-83E3-4D23-AFFD-7B959FE12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96440</xdr:colOff>
      <xdr:row>11</xdr:row>
      <xdr:rowOff>113372</xdr:rowOff>
    </xdr:from>
    <xdr:to>
      <xdr:col>35</xdr:col>
      <xdr:colOff>0</xdr:colOff>
      <xdr:row>42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69BBAF4-1CE2-4687-ADC1-847B0639A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0</xdr:colOff>
      <xdr:row>11</xdr:row>
      <xdr:rowOff>114828</xdr:rowOff>
    </xdr:from>
    <xdr:to>
      <xdr:col>42</xdr:col>
      <xdr:colOff>26725</xdr:colOff>
      <xdr:row>41</xdr:row>
      <xdr:rowOff>176892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B34475E-C252-4EA1-B7F8-7902945231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246856</xdr:colOff>
      <xdr:row>11</xdr:row>
      <xdr:rowOff>114828</xdr:rowOff>
    </xdr:from>
    <xdr:to>
      <xdr:col>50</xdr:col>
      <xdr:colOff>58737</xdr:colOff>
      <xdr:row>41</xdr:row>
      <xdr:rowOff>176892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FE69F81-CF09-42A8-BEE7-79A60626FD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641048</xdr:colOff>
      <xdr:row>0</xdr:row>
      <xdr:rowOff>106590</xdr:rowOff>
    </xdr:from>
    <xdr:to>
      <xdr:col>4</xdr:col>
      <xdr:colOff>145142</xdr:colOff>
      <xdr:row>2</xdr:row>
      <xdr:rowOff>158749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77FF26F-88FB-487E-AE9E-9233915E3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2863"/>
        <a:stretch/>
      </xdr:blipFill>
      <xdr:spPr>
        <a:xfrm>
          <a:off x="641048" y="106590"/>
          <a:ext cx="2842380" cy="449791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3</xdr:row>
          <xdr:rowOff>0</xdr:rowOff>
        </xdr:from>
        <xdr:to>
          <xdr:col>16</xdr:col>
          <xdr:colOff>476834</xdr:colOff>
          <xdr:row>4</xdr:row>
          <xdr:rowOff>198968</xdr:rowOff>
        </xdr:to>
        <xdr:sp macro="" textlink="">
          <xdr:nvSpPr>
            <xdr:cNvPr id="6154" name="cmdLoadCumulant1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EBDEA859-30D2-4FDE-BA69-9F3A401FB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7</xdr:row>
          <xdr:rowOff>194733</xdr:rowOff>
        </xdr:from>
        <xdr:to>
          <xdr:col>16</xdr:col>
          <xdr:colOff>489534</xdr:colOff>
          <xdr:row>9</xdr:row>
          <xdr:rowOff>186568</xdr:rowOff>
        </xdr:to>
        <xdr:sp macro="" textlink="">
          <xdr:nvSpPr>
            <xdr:cNvPr id="6155" name="cmdLoadCumulant2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AA5A1763-9F85-4384-9306-E0DB102CE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12</xdr:row>
          <xdr:rowOff>173567</xdr:rowOff>
        </xdr:from>
        <xdr:to>
          <xdr:col>16</xdr:col>
          <xdr:colOff>493767</xdr:colOff>
          <xdr:row>14</xdr:row>
          <xdr:rowOff>156631</xdr:rowOff>
        </xdr:to>
        <xdr:sp macro="" textlink="">
          <xdr:nvSpPr>
            <xdr:cNvPr id="6156" name="cmdLoadCumulant3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8F87F61A-98B1-461A-9EC7-8FE2A48EB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17</xdr:row>
          <xdr:rowOff>169333</xdr:rowOff>
        </xdr:from>
        <xdr:to>
          <xdr:col>16</xdr:col>
          <xdr:colOff>476834</xdr:colOff>
          <xdr:row>19</xdr:row>
          <xdr:rowOff>152401</xdr:rowOff>
        </xdr:to>
        <xdr:sp macro="" textlink="">
          <xdr:nvSpPr>
            <xdr:cNvPr id="6157" name="cmdLoadCumulant4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91BB6548-06C9-4EC5-A438-E554D6292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23</xdr:row>
          <xdr:rowOff>0</xdr:rowOff>
        </xdr:from>
        <xdr:to>
          <xdr:col>16</xdr:col>
          <xdr:colOff>455667</xdr:colOff>
          <xdr:row>25</xdr:row>
          <xdr:rowOff>16937</xdr:rowOff>
        </xdr:to>
        <xdr:sp macro="" textlink="">
          <xdr:nvSpPr>
            <xdr:cNvPr id="6158" name="cmdLoadCumulant5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12ADFADF-3A56-4E66-B76C-8C1571D73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27</xdr:row>
          <xdr:rowOff>173566</xdr:rowOff>
        </xdr:from>
        <xdr:to>
          <xdr:col>16</xdr:col>
          <xdr:colOff>459900</xdr:colOff>
          <xdr:row>29</xdr:row>
          <xdr:rowOff>156632</xdr:rowOff>
        </xdr:to>
        <xdr:sp macro="" textlink="">
          <xdr:nvSpPr>
            <xdr:cNvPr id="6159" name="cmdLoadCumulant6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2B0D067C-E34B-44A8-BEC1-CEA7A3E6B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32</xdr:row>
          <xdr:rowOff>173567</xdr:rowOff>
        </xdr:from>
        <xdr:to>
          <xdr:col>16</xdr:col>
          <xdr:colOff>430267</xdr:colOff>
          <xdr:row>34</xdr:row>
          <xdr:rowOff>156635</xdr:rowOff>
        </xdr:to>
        <xdr:sp macro="" textlink="">
          <xdr:nvSpPr>
            <xdr:cNvPr id="6160" name="cmdLoadCumulant7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28754490-46C9-411E-829C-E98AF451E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8084</xdr:colOff>
          <xdr:row>37</xdr:row>
          <xdr:rowOff>182033</xdr:rowOff>
        </xdr:from>
        <xdr:to>
          <xdr:col>16</xdr:col>
          <xdr:colOff>387934</xdr:colOff>
          <xdr:row>39</xdr:row>
          <xdr:rowOff>165099</xdr:rowOff>
        </xdr:to>
        <xdr:sp macro="" textlink="">
          <xdr:nvSpPr>
            <xdr:cNvPr id="6161" name="cmdLoadCumulant8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AE726D7B-206E-4CD2-964D-AD1E07E75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7.xml"/><Relationship Id="rId18" Type="http://schemas.openxmlformats.org/officeDocument/2006/relationships/image" Target="../media/image9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4.xml"/><Relationship Id="rId6" Type="http://schemas.openxmlformats.org/officeDocument/2006/relationships/image" Target="../media/image3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8.xml"/><Relationship Id="rId10" Type="http://schemas.openxmlformats.org/officeDocument/2006/relationships/image" Target="../media/image5.emf"/><Relationship Id="rId19" Type="http://schemas.openxmlformats.org/officeDocument/2006/relationships/control" Target="../activeX/activeX10.xml"/><Relationship Id="rId4" Type="http://schemas.openxmlformats.org/officeDocument/2006/relationships/image" Target="../media/image2.emf"/><Relationship Id="rId9" Type="http://schemas.openxmlformats.org/officeDocument/2006/relationships/control" Target="../activeX/activeX5.xml"/><Relationship Id="rId1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19" Type="http://schemas.openxmlformats.org/officeDocument/2006/relationships/image" Target="../media/image19.emf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8325-3F63-49E3-9227-3767C22CC792}">
  <sheetPr codeName="Sheet7"/>
  <dimension ref="A1:G41"/>
  <sheetViews>
    <sheetView topLeftCell="A21" workbookViewId="0">
      <selection activeCell="E46" sqref="E46"/>
    </sheetView>
  </sheetViews>
  <sheetFormatPr defaultRowHeight="14.35"/>
  <sheetData>
    <row r="1" spans="1:3">
      <c r="A1" s="24">
        <v>44530</v>
      </c>
      <c r="B1" t="s">
        <v>35</v>
      </c>
    </row>
    <row r="2" spans="1:3">
      <c r="B2" t="s">
        <v>32</v>
      </c>
    </row>
    <row r="3" spans="1:3">
      <c r="B3" t="s">
        <v>33</v>
      </c>
    </row>
    <row r="4" spans="1:3">
      <c r="B4" t="s">
        <v>34</v>
      </c>
    </row>
    <row r="5" spans="1:3">
      <c r="B5" t="s">
        <v>36</v>
      </c>
    </row>
    <row r="6" spans="1:3">
      <c r="C6" t="s">
        <v>37</v>
      </c>
    </row>
    <row r="7" spans="1:3">
      <c r="C7" t="s">
        <v>38</v>
      </c>
    </row>
    <row r="8" spans="1:3">
      <c r="C8" t="s">
        <v>40</v>
      </c>
    </row>
    <row r="9" spans="1:3">
      <c r="C9" t="s">
        <v>39</v>
      </c>
    </row>
    <row r="10" spans="1:3">
      <c r="C10" t="s">
        <v>41</v>
      </c>
    </row>
    <row r="12" spans="1:3">
      <c r="A12" s="24">
        <v>44612</v>
      </c>
      <c r="B12" t="s">
        <v>42</v>
      </c>
    </row>
    <row r="13" spans="1:3">
      <c r="B13" t="s">
        <v>43</v>
      </c>
    </row>
    <row r="14" spans="1:3">
      <c r="B14" t="s">
        <v>44</v>
      </c>
    </row>
    <row r="15" spans="1:3">
      <c r="B15" t="s">
        <v>45</v>
      </c>
    </row>
    <row r="16" spans="1:3">
      <c r="B16" t="s">
        <v>46</v>
      </c>
    </row>
    <row r="17" spans="1:2">
      <c r="B17" t="s">
        <v>47</v>
      </c>
    </row>
    <row r="18" spans="1:2">
      <c r="B18" t="s">
        <v>48</v>
      </c>
    </row>
    <row r="19" spans="1:2">
      <c r="B19" t="s">
        <v>49</v>
      </c>
    </row>
    <row r="20" spans="1:2">
      <c r="B20" t="s">
        <v>50</v>
      </c>
    </row>
    <row r="21" spans="1:2">
      <c r="B21" t="s">
        <v>51</v>
      </c>
    </row>
    <row r="22" spans="1:2">
      <c r="A22" s="24">
        <v>44655</v>
      </c>
      <c r="B22" t="s">
        <v>52</v>
      </c>
    </row>
    <row r="23" spans="1:2">
      <c r="B23" t="s">
        <v>53</v>
      </c>
    </row>
    <row r="24" spans="1:2">
      <c r="B24" t="s">
        <v>54</v>
      </c>
    </row>
    <row r="25" spans="1:2">
      <c r="B25" s="26" t="s">
        <v>55</v>
      </c>
    </row>
    <row r="26" spans="1:2">
      <c r="A26" s="24">
        <v>44717</v>
      </c>
      <c r="B26" t="s">
        <v>56</v>
      </c>
    </row>
    <row r="27" spans="1:2">
      <c r="B27" t="s">
        <v>61</v>
      </c>
    </row>
    <row r="28" spans="1:2">
      <c r="B28" t="s">
        <v>57</v>
      </c>
    </row>
    <row r="29" spans="1:2">
      <c r="B29" t="s">
        <v>58</v>
      </c>
    </row>
    <row r="30" spans="1:2">
      <c r="B30" t="s">
        <v>59</v>
      </c>
    </row>
    <row r="31" spans="1:2">
      <c r="B31" t="s">
        <v>60</v>
      </c>
    </row>
    <row r="32" spans="1:2">
      <c r="A32" s="24">
        <v>44724</v>
      </c>
      <c r="B32" t="s">
        <v>96</v>
      </c>
    </row>
    <row r="33" spans="1:7">
      <c r="B33" t="s">
        <v>98</v>
      </c>
    </row>
    <row r="34" spans="1:7">
      <c r="B34" t="s">
        <v>99</v>
      </c>
    </row>
    <row r="35" spans="1:7">
      <c r="B35" t="s">
        <v>97</v>
      </c>
    </row>
    <row r="36" spans="1:7">
      <c r="B36" t="s">
        <v>101</v>
      </c>
    </row>
    <row r="37" spans="1:7">
      <c r="B37" t="s">
        <v>100</v>
      </c>
    </row>
    <row r="38" spans="1:7">
      <c r="A38" s="24">
        <v>44726</v>
      </c>
      <c r="B38" s="26" t="s">
        <v>105</v>
      </c>
    </row>
    <row r="39" spans="1:7">
      <c r="B39" s="26" t="s">
        <v>102</v>
      </c>
    </row>
    <row r="40" spans="1:7">
      <c r="B40" s="26" t="s">
        <v>103</v>
      </c>
    </row>
    <row r="41" spans="1:7">
      <c r="B41" s="43" t="s">
        <v>104</v>
      </c>
      <c r="C41" s="43"/>
      <c r="D41" s="43"/>
      <c r="E41" s="43"/>
      <c r="F41" s="43"/>
      <c r="G41" s="4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workbookViewId="0">
      <selection activeCell="I3" sqref="I3"/>
    </sheetView>
  </sheetViews>
  <sheetFormatPr defaultRowHeight="14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4"/>
  <sheetViews>
    <sheetView zoomScale="74" zoomScaleNormal="50" workbookViewId="0"/>
  </sheetViews>
  <sheetFormatPr defaultRowHeight="14.35"/>
  <cols>
    <col min="1" max="1" width="18.29296875" customWidth="1"/>
    <col min="2" max="6" width="9" bestFit="1" customWidth="1"/>
    <col min="10" max="10" width="11" customWidth="1"/>
    <col min="13" max="13" width="9" bestFit="1" customWidth="1"/>
  </cols>
  <sheetData>
    <row r="1" spans="1:10">
      <c r="H1" s="22"/>
      <c r="J1" s="23"/>
    </row>
    <row r="4" spans="1:10">
      <c r="A4" s="2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Average">
          <controlPr defaultSize="0" autoLine="0" r:id="rId5">
            <anchor moveWithCells="1">
              <from>
                <xdr:col>2</xdr:col>
                <xdr:colOff>364067</xdr:colOff>
                <xdr:row>1</xdr:row>
                <xdr:rowOff>8467</xdr:rowOff>
              </from>
              <to>
                <xdr:col>5</xdr:col>
                <xdr:colOff>524933</xdr:colOff>
                <xdr:row>2</xdr:row>
                <xdr:rowOff>160867</xdr:rowOff>
              </to>
            </anchor>
          </controlPr>
        </control>
      </mc:Choice>
      <mc:Fallback>
        <control shapeId="1034" r:id="rId4" name="cmdAverage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cmdShowFileDialogBox">
            <anchor moveWithCells="1" sizeWithCells="1">
              <from>
                <xdr:col>0</xdr:col>
                <xdr:colOff>71967</xdr:colOff>
                <xdr:row>1</xdr:row>
                <xdr:rowOff>4233</xdr:rowOff>
              </from>
              <to>
                <xdr:col>2</xdr:col>
                <xdr:colOff>220133</xdr:colOff>
                <xdr:row>2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" name="Button 9">
          <controlPr defaultSize="0" print="0" autoFill="0" autoPict="0" macro="[0]!KillSheets">
            <anchor moveWithCells="1" sizeWithCells="1">
              <from>
                <xdr:col>9</xdr:col>
                <xdr:colOff>0</xdr:colOff>
                <xdr:row>1</xdr:row>
                <xdr:rowOff>4233</xdr:rowOff>
              </from>
              <to>
                <xdr:col>10</xdr:col>
                <xdr:colOff>228600</xdr:colOff>
                <xdr:row>2</xdr:row>
                <xdr:rowOff>148167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" name="Button 11">
          <controlPr defaultSize="0" print="0" autoFill="0" autoPict="0" macro="[0]!PopulateExportSheet">
            <anchor moveWithCells="1" sizeWithCells="1">
              <from>
                <xdr:col>6</xdr:col>
                <xdr:colOff>50800</xdr:colOff>
                <xdr:row>1</xdr:row>
                <xdr:rowOff>29633</xdr:rowOff>
              </from>
              <to>
                <xdr:col>8</xdr:col>
                <xdr:colOff>330200</xdr:colOff>
                <xdr:row>2</xdr:row>
                <xdr:rowOff>152400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Z81"/>
  <sheetViews>
    <sheetView zoomScale="85" zoomScaleNormal="85" workbookViewId="0">
      <selection activeCell="I18" sqref="I18"/>
    </sheetView>
  </sheetViews>
  <sheetFormatPr defaultRowHeight="14.35"/>
  <cols>
    <col min="1" max="1" width="10.5859375" customWidth="1"/>
    <col min="3" max="3" width="13.1171875" customWidth="1"/>
    <col min="4" max="5" width="9" bestFit="1" customWidth="1"/>
    <col min="6" max="6" width="8.41015625" customWidth="1"/>
    <col min="7" max="7" width="3.1171875" customWidth="1"/>
    <col min="8" max="8" width="6.87890625" customWidth="1"/>
    <col min="9" max="9" width="12.29296875" bestFit="1" customWidth="1"/>
    <col min="10" max="10" width="9.29296875" bestFit="1" customWidth="1"/>
    <col min="11" max="11" width="2.41015625" customWidth="1"/>
    <col min="12" max="12" width="7.41015625" customWidth="1"/>
    <col min="14" max="14" width="9.29296875" bestFit="1" customWidth="1"/>
    <col min="15" max="15" width="2.5859375" customWidth="1"/>
    <col min="17" max="17" width="5.703125" customWidth="1"/>
    <col min="18" max="18" width="9.703125" customWidth="1"/>
    <col min="19" max="19" width="6.41015625" customWidth="1"/>
    <col min="21" max="21" width="6.41015625" customWidth="1"/>
    <col min="23" max="23" width="6.29296875" customWidth="1"/>
    <col min="25" max="25" width="6.29296875" customWidth="1"/>
    <col min="27" max="27" width="5.703125" customWidth="1"/>
  </cols>
  <sheetData>
    <row r="1" spans="1:18">
      <c r="E1" s="1" t="s">
        <v>24</v>
      </c>
      <c r="I1" s="1" t="s">
        <v>24</v>
      </c>
      <c r="M1" s="1" t="s">
        <v>25</v>
      </c>
      <c r="Q1" s="1" t="s">
        <v>25</v>
      </c>
    </row>
    <row r="2" spans="1:18">
      <c r="A2" t="s">
        <v>12</v>
      </c>
      <c r="B2" t="s">
        <v>13</v>
      </c>
      <c r="C2" s="3" t="s">
        <v>14</v>
      </c>
      <c r="D2" s="1" t="s">
        <v>0</v>
      </c>
      <c r="H2" s="1" t="s">
        <v>1</v>
      </c>
      <c r="J2" s="1" t="s">
        <v>9</v>
      </c>
      <c r="L2" s="1" t="s">
        <v>2</v>
      </c>
      <c r="N2" s="1" t="s">
        <v>9</v>
      </c>
      <c r="P2" s="1" t="s">
        <v>3</v>
      </c>
      <c r="Q2" s="1" t="s">
        <v>23</v>
      </c>
      <c r="R2" s="1" t="s">
        <v>9</v>
      </c>
    </row>
    <row r="3" spans="1:18">
      <c r="C3" s="6">
        <f>(4*PI()*Refin*SIN(RADIANS(B3/2))/LamCM)^2</f>
        <v>0</v>
      </c>
      <c r="D3" t="s">
        <v>4</v>
      </c>
      <c r="E3" s="19"/>
      <c r="H3" t="s">
        <v>4</v>
      </c>
      <c r="I3" s="19"/>
      <c r="J3" s="19"/>
      <c r="L3" t="s">
        <v>4</v>
      </c>
      <c r="M3" s="19"/>
      <c r="N3" s="19"/>
      <c r="P3" t="s">
        <v>4</v>
      </c>
      <c r="Q3" s="4"/>
      <c r="R3" s="4"/>
    </row>
    <row r="4" spans="1:18">
      <c r="C4" s="6">
        <f t="shared" ref="C4:C10" si="0">(4*PI()*Refin*SIN(RADIANS(B4/2))/LamCM)^2</f>
        <v>0</v>
      </c>
      <c r="D4" t="s">
        <v>5</v>
      </c>
      <c r="E4" s="19"/>
      <c r="H4" t="s">
        <v>5</v>
      </c>
      <c r="I4" s="19"/>
      <c r="J4" s="19"/>
      <c r="L4" t="s">
        <v>5</v>
      </c>
      <c r="M4" s="19"/>
      <c r="N4" s="19"/>
      <c r="P4" t="s">
        <v>5</v>
      </c>
      <c r="Q4" s="4"/>
      <c r="R4" s="4"/>
    </row>
    <row r="5" spans="1:18">
      <c r="C5" s="6">
        <f t="shared" si="0"/>
        <v>0</v>
      </c>
      <c r="D5" t="s">
        <v>6</v>
      </c>
      <c r="E5" s="19"/>
      <c r="H5" t="s">
        <v>6</v>
      </c>
      <c r="I5" s="19"/>
      <c r="J5" s="19"/>
      <c r="L5" t="s">
        <v>6</v>
      </c>
      <c r="M5" s="19"/>
      <c r="N5" s="19"/>
      <c r="P5" t="s">
        <v>6</v>
      </c>
      <c r="Q5" s="4"/>
      <c r="R5" s="4"/>
    </row>
    <row r="6" spans="1:18">
      <c r="C6" s="6">
        <f t="shared" si="0"/>
        <v>0</v>
      </c>
      <c r="D6" t="s">
        <v>7</v>
      </c>
      <c r="E6" s="19"/>
      <c r="H6" t="s">
        <v>7</v>
      </c>
      <c r="I6" s="19"/>
      <c r="J6" s="19"/>
      <c r="L6" t="s">
        <v>7</v>
      </c>
      <c r="M6" s="19"/>
      <c r="N6" s="19"/>
      <c r="P6" t="s">
        <v>7</v>
      </c>
      <c r="Q6" s="4"/>
      <c r="R6" s="4"/>
    </row>
    <row r="7" spans="1:18">
      <c r="C7" s="6">
        <f t="shared" si="0"/>
        <v>0</v>
      </c>
      <c r="D7" t="s">
        <v>8</v>
      </c>
      <c r="E7" s="19"/>
      <c r="H7" t="s">
        <v>8</v>
      </c>
      <c r="I7" s="19"/>
      <c r="J7" s="19"/>
      <c r="L7" t="s">
        <v>8</v>
      </c>
      <c r="M7" s="19"/>
      <c r="N7" s="19"/>
      <c r="P7" t="s">
        <v>8</v>
      </c>
      <c r="Q7" s="4"/>
      <c r="R7" s="4"/>
    </row>
    <row r="8" spans="1:18">
      <c r="C8" s="6">
        <f t="shared" si="0"/>
        <v>0</v>
      </c>
      <c r="D8" t="s">
        <v>29</v>
      </c>
      <c r="E8" s="19"/>
      <c r="H8" t="s">
        <v>29</v>
      </c>
      <c r="I8" s="19"/>
      <c r="J8" s="19"/>
      <c r="L8" t="s">
        <v>29</v>
      </c>
      <c r="M8" s="19"/>
      <c r="N8" s="19"/>
      <c r="P8" t="s">
        <v>29</v>
      </c>
      <c r="Q8" s="4"/>
      <c r="R8" s="4"/>
    </row>
    <row r="9" spans="1:18">
      <c r="C9" s="6">
        <f t="shared" si="0"/>
        <v>0</v>
      </c>
      <c r="D9" s="19" t="s">
        <v>30</v>
      </c>
      <c r="E9" s="19"/>
      <c r="H9" s="19" t="s">
        <v>30</v>
      </c>
      <c r="I9" s="19"/>
      <c r="J9" s="19"/>
      <c r="L9" s="19" t="s">
        <v>30</v>
      </c>
      <c r="M9" s="19"/>
      <c r="N9" s="19"/>
      <c r="P9" s="19" t="s">
        <v>30</v>
      </c>
    </row>
    <row r="10" spans="1:18">
      <c r="C10" s="6">
        <f t="shared" si="0"/>
        <v>0</v>
      </c>
      <c r="D10" s="19" t="s">
        <v>31</v>
      </c>
      <c r="E10" s="19"/>
      <c r="H10" s="19" t="s">
        <v>31</v>
      </c>
      <c r="I10" s="19"/>
      <c r="J10" s="19"/>
      <c r="L10" s="19" t="s">
        <v>31</v>
      </c>
      <c r="M10" s="19"/>
      <c r="N10" s="19"/>
      <c r="P10" s="19" t="s">
        <v>31</v>
      </c>
    </row>
    <row r="11" spans="1:18">
      <c r="D11" s="19"/>
      <c r="E11" s="19"/>
    </row>
    <row r="12" spans="1:18">
      <c r="D12" s="19"/>
      <c r="E12" s="19"/>
    </row>
    <row r="13" spans="1:18">
      <c r="D13" s="1" t="s">
        <v>20</v>
      </c>
    </row>
    <row r="14" spans="1:18">
      <c r="A14" s="3" t="s">
        <v>12</v>
      </c>
      <c r="B14" s="3" t="s">
        <v>13</v>
      </c>
      <c r="C14" s="3" t="s">
        <v>16</v>
      </c>
      <c r="D14" s="1" t="s">
        <v>21</v>
      </c>
      <c r="E14" s="1" t="s">
        <v>15</v>
      </c>
    </row>
    <row r="15" spans="1:18">
      <c r="A15" s="3">
        <f t="shared" ref="A15:B15" si="1">A3</f>
        <v>0</v>
      </c>
      <c r="B15" s="3">
        <f t="shared" si="1"/>
        <v>0</v>
      </c>
      <c r="C15" s="5">
        <f>C3/10000000000</f>
        <v>0</v>
      </c>
      <c r="D15" s="4" t="e">
        <f>(1000*M3/C3)*10000000</f>
        <v>#DIV/0!</v>
      </c>
      <c r="E15" s="20" t="e">
        <f>J3/M3^2</f>
        <v>#DIV/0!</v>
      </c>
    </row>
    <row r="16" spans="1:18">
      <c r="A16" s="3">
        <f t="shared" ref="A16" si="2">A4</f>
        <v>0</v>
      </c>
      <c r="B16" s="3">
        <f t="shared" ref="B16" si="3">B4</f>
        <v>0</v>
      </c>
      <c r="C16" s="5">
        <f t="shared" ref="C16:C22" si="4">C4/10000000000</f>
        <v>0</v>
      </c>
      <c r="D16" s="4" t="e">
        <f t="shared" ref="D16:D22" si="5">(1000*M4/C4)*10000000</f>
        <v>#DIV/0!</v>
      </c>
      <c r="E16" s="20" t="e">
        <f t="shared" ref="E16:E22" si="6">J4/M4^2</f>
        <v>#DIV/0!</v>
      </c>
    </row>
    <row r="17" spans="1:9">
      <c r="A17" s="3">
        <f t="shared" ref="A17" si="7">A5</f>
        <v>0</v>
      </c>
      <c r="B17" s="3">
        <f t="shared" ref="B17" si="8">B5</f>
        <v>0</v>
      </c>
      <c r="C17" s="5">
        <f t="shared" si="4"/>
        <v>0</v>
      </c>
      <c r="D17" s="4" t="e">
        <f t="shared" si="5"/>
        <v>#DIV/0!</v>
      </c>
      <c r="E17" s="20" t="e">
        <f t="shared" si="6"/>
        <v>#DIV/0!</v>
      </c>
    </row>
    <row r="18" spans="1:9">
      <c r="A18" s="3">
        <f t="shared" ref="A18" si="9">A6</f>
        <v>0</v>
      </c>
      <c r="B18" s="3">
        <f t="shared" ref="B18" si="10">B6</f>
        <v>0</v>
      </c>
      <c r="C18" s="5">
        <f t="shared" si="4"/>
        <v>0</v>
      </c>
      <c r="D18" s="4" t="e">
        <f t="shared" si="5"/>
        <v>#DIV/0!</v>
      </c>
      <c r="E18" s="20" t="e">
        <f t="shared" si="6"/>
        <v>#DIV/0!</v>
      </c>
    </row>
    <row r="19" spans="1:9">
      <c r="A19" s="3">
        <f t="shared" ref="A19" si="11">A7</f>
        <v>0</v>
      </c>
      <c r="B19" s="3">
        <f t="shared" ref="B19" si="12">B7</f>
        <v>0</v>
      </c>
      <c r="C19" s="5">
        <f t="shared" si="4"/>
        <v>0</v>
      </c>
      <c r="D19" s="4" t="e">
        <f t="shared" si="5"/>
        <v>#DIV/0!</v>
      </c>
      <c r="E19" s="20" t="e">
        <f t="shared" si="6"/>
        <v>#DIV/0!</v>
      </c>
    </row>
    <row r="20" spans="1:9">
      <c r="A20" s="3">
        <f t="shared" ref="A20" si="13">A8</f>
        <v>0</v>
      </c>
      <c r="B20" s="3">
        <f t="shared" ref="B20" si="14">B8</f>
        <v>0</v>
      </c>
      <c r="C20" s="5">
        <f t="shared" si="4"/>
        <v>0</v>
      </c>
      <c r="D20" s="4" t="e">
        <f t="shared" si="5"/>
        <v>#DIV/0!</v>
      </c>
      <c r="E20" s="20" t="e">
        <f t="shared" si="6"/>
        <v>#DIV/0!</v>
      </c>
    </row>
    <row r="21" spans="1:9">
      <c r="A21" s="3">
        <f t="shared" ref="A21" si="15">A9</f>
        <v>0</v>
      </c>
      <c r="B21" s="3">
        <f t="shared" ref="B21" si="16">B9</f>
        <v>0</v>
      </c>
      <c r="C21" s="5">
        <f t="shared" si="4"/>
        <v>0</v>
      </c>
      <c r="D21" s="4" t="e">
        <f t="shared" si="5"/>
        <v>#DIV/0!</v>
      </c>
      <c r="E21" s="20" t="e">
        <f t="shared" si="6"/>
        <v>#DIV/0!</v>
      </c>
    </row>
    <row r="22" spans="1:9">
      <c r="A22" s="3">
        <f t="shared" ref="A22" si="17">A10</f>
        <v>0</v>
      </c>
      <c r="B22" s="3">
        <f t="shared" ref="B22" si="18">B10</f>
        <v>0</v>
      </c>
      <c r="C22" s="5">
        <f t="shared" si="4"/>
        <v>0</v>
      </c>
      <c r="D22" s="4" t="e">
        <f t="shared" si="5"/>
        <v>#DIV/0!</v>
      </c>
      <c r="E22" s="20" t="e">
        <f t="shared" si="6"/>
        <v>#DIV/0!</v>
      </c>
    </row>
    <row r="23" spans="1:9">
      <c r="E23" s="7"/>
      <c r="F23" s="7" t="s">
        <v>22</v>
      </c>
    </row>
    <row r="24" spans="1:9">
      <c r="A24" s="3" t="s">
        <v>12</v>
      </c>
      <c r="B24" s="3" t="s">
        <v>19</v>
      </c>
      <c r="C24" s="3" t="s">
        <v>14</v>
      </c>
      <c r="D24" s="7"/>
      <c r="E24" s="7"/>
      <c r="F24" s="7" t="s">
        <v>21</v>
      </c>
      <c r="G24" s="7"/>
      <c r="H24" s="7" t="s">
        <v>17</v>
      </c>
      <c r="I24" s="7" t="s">
        <v>18</v>
      </c>
    </row>
    <row r="25" spans="1:9">
      <c r="A25" s="3">
        <f>A3</f>
        <v>0</v>
      </c>
      <c r="B25" s="3">
        <f>B3</f>
        <v>0</v>
      </c>
      <c r="C25" s="5">
        <f>C3/10000000000</f>
        <v>0</v>
      </c>
      <c r="D25" s="19"/>
      <c r="E25" s="19"/>
      <c r="F25" t="e">
        <f>(1000*E25/C3)*10000000</f>
        <v>#DIV/0!</v>
      </c>
      <c r="H25" s="8" t="s">
        <v>26</v>
      </c>
      <c r="I25" s="7"/>
    </row>
    <row r="26" spans="1:9">
      <c r="A26" s="3">
        <f t="shared" ref="A26:B32" si="19">A4</f>
        <v>0</v>
      </c>
      <c r="B26" s="3">
        <f t="shared" si="19"/>
        <v>0</v>
      </c>
      <c r="C26" s="5">
        <f t="shared" ref="C26:C32" si="20">C4/10000000000</f>
        <v>0</v>
      </c>
      <c r="D26" s="19"/>
      <c r="E26" s="19"/>
      <c r="F26" t="e">
        <f t="shared" ref="F26:F32" si="21">(1000*E26/C4)*10000000</f>
        <v>#DIV/0!</v>
      </c>
    </row>
    <row r="27" spans="1:9">
      <c r="A27" s="3">
        <f t="shared" si="19"/>
        <v>0</v>
      </c>
      <c r="B27" s="3">
        <f t="shared" si="19"/>
        <v>0</v>
      </c>
      <c r="C27" s="5">
        <f t="shared" si="20"/>
        <v>0</v>
      </c>
      <c r="D27" s="19"/>
      <c r="E27" s="19"/>
      <c r="F27" t="e">
        <f t="shared" si="21"/>
        <v>#DIV/0!</v>
      </c>
    </row>
    <row r="28" spans="1:9">
      <c r="A28" s="3">
        <f t="shared" si="19"/>
        <v>0</v>
      </c>
      <c r="B28" s="3">
        <f t="shared" si="19"/>
        <v>0</v>
      </c>
      <c r="C28" s="5">
        <f t="shared" si="20"/>
        <v>0</v>
      </c>
      <c r="D28" s="19"/>
      <c r="E28" s="19"/>
      <c r="F28" t="e">
        <f t="shared" si="21"/>
        <v>#DIV/0!</v>
      </c>
    </row>
    <row r="29" spans="1:9">
      <c r="A29" s="3">
        <f t="shared" si="19"/>
        <v>0</v>
      </c>
      <c r="B29" s="3">
        <f t="shared" si="19"/>
        <v>0</v>
      </c>
      <c r="C29" s="5">
        <f t="shared" si="20"/>
        <v>0</v>
      </c>
      <c r="D29" s="19"/>
      <c r="E29" s="19"/>
      <c r="F29" t="e">
        <f t="shared" si="21"/>
        <v>#DIV/0!</v>
      </c>
    </row>
    <row r="30" spans="1:9">
      <c r="A30" s="3">
        <f t="shared" si="19"/>
        <v>0</v>
      </c>
      <c r="B30" s="3">
        <f t="shared" si="19"/>
        <v>0</v>
      </c>
      <c r="C30" s="5">
        <f t="shared" si="20"/>
        <v>0</v>
      </c>
      <c r="D30" s="19"/>
      <c r="E30" s="19"/>
      <c r="F30" t="e">
        <f t="shared" si="21"/>
        <v>#DIV/0!</v>
      </c>
    </row>
    <row r="31" spans="1:9">
      <c r="A31" s="3">
        <f t="shared" si="19"/>
        <v>0</v>
      </c>
      <c r="B31" s="3">
        <f t="shared" si="19"/>
        <v>0</v>
      </c>
      <c r="C31" s="5">
        <f t="shared" si="20"/>
        <v>0</v>
      </c>
      <c r="D31" s="19"/>
      <c r="E31" s="19"/>
      <c r="F31" t="e">
        <f t="shared" si="21"/>
        <v>#DIV/0!</v>
      </c>
    </row>
    <row r="32" spans="1:9">
      <c r="A32" s="3">
        <f t="shared" si="19"/>
        <v>0</v>
      </c>
      <c r="B32" s="3">
        <f t="shared" si="19"/>
        <v>0</v>
      </c>
      <c r="C32" s="5">
        <f t="shared" si="20"/>
        <v>0</v>
      </c>
      <c r="D32" s="19"/>
      <c r="E32" s="19"/>
      <c r="F32" t="e">
        <f t="shared" si="21"/>
        <v>#DIV/0!</v>
      </c>
    </row>
    <row r="38" spans="3:26">
      <c r="M38" s="11" t="s">
        <v>27</v>
      </c>
      <c r="N38" s="15" t="s">
        <v>28</v>
      </c>
    </row>
    <row r="39" spans="3:26">
      <c r="M39" s="18">
        <f>E25</f>
        <v>0</v>
      </c>
      <c r="N39" s="16">
        <f>M3</f>
        <v>0</v>
      </c>
      <c r="O39">
        <v>0</v>
      </c>
      <c r="R39" s="12"/>
      <c r="S39" s="10"/>
      <c r="T39" s="11"/>
      <c r="U39" s="10"/>
      <c r="V39" s="9"/>
      <c r="W39" s="10"/>
      <c r="X39" s="14"/>
      <c r="Y39" s="10"/>
      <c r="Z39" s="13"/>
    </row>
    <row r="40" spans="3:26">
      <c r="M40" s="18">
        <f>E25</f>
        <v>0</v>
      </c>
      <c r="N40" s="16">
        <f>M3</f>
        <v>0</v>
      </c>
      <c r="O40">
        <v>1</v>
      </c>
    </row>
    <row r="41" spans="3:26">
      <c r="C41" s="12">
        <f>A3</f>
        <v>0</v>
      </c>
    </row>
    <row r="48" spans="3:26">
      <c r="M48" s="11" t="s">
        <v>27</v>
      </c>
      <c r="N48" s="15" t="s">
        <v>28</v>
      </c>
    </row>
    <row r="49" spans="3:15">
      <c r="M49" s="18">
        <f>E26</f>
        <v>0</v>
      </c>
      <c r="N49" s="17">
        <f>M4</f>
        <v>0</v>
      </c>
      <c r="O49">
        <v>0</v>
      </c>
    </row>
    <row r="50" spans="3:15">
      <c r="M50" s="18">
        <f>E26</f>
        <v>0</v>
      </c>
      <c r="N50" s="17">
        <f>M4</f>
        <v>0</v>
      </c>
      <c r="O50">
        <v>1</v>
      </c>
    </row>
    <row r="51" spans="3:15">
      <c r="C51" s="11">
        <f>A4</f>
        <v>0</v>
      </c>
    </row>
    <row r="58" spans="3:15">
      <c r="M58" s="11" t="s">
        <v>27</v>
      </c>
      <c r="N58" s="15" t="s">
        <v>28</v>
      </c>
    </row>
    <row r="59" spans="3:15">
      <c r="M59" s="18">
        <f>E27</f>
        <v>0</v>
      </c>
      <c r="N59" s="17">
        <f>M5</f>
        <v>0</v>
      </c>
      <c r="O59">
        <v>0</v>
      </c>
    </row>
    <row r="60" spans="3:15">
      <c r="M60" s="18">
        <f>E27</f>
        <v>0</v>
      </c>
      <c r="N60" s="17">
        <f>M5</f>
        <v>0</v>
      </c>
      <c r="O60">
        <v>1</v>
      </c>
    </row>
    <row r="61" spans="3:15">
      <c r="C61" s="9">
        <f>A5</f>
        <v>0</v>
      </c>
    </row>
    <row r="68" spans="3:15">
      <c r="M68" s="11" t="s">
        <v>27</v>
      </c>
      <c r="N68" s="15" t="s">
        <v>28</v>
      </c>
    </row>
    <row r="69" spans="3:15">
      <c r="M69" s="18">
        <f>E28</f>
        <v>0</v>
      </c>
      <c r="N69" s="17">
        <f>M6</f>
        <v>0</v>
      </c>
      <c r="O69">
        <v>0</v>
      </c>
    </row>
    <row r="70" spans="3:15">
      <c r="M70" s="18">
        <f>E28</f>
        <v>0</v>
      </c>
      <c r="N70" s="17">
        <f>M6</f>
        <v>0</v>
      </c>
      <c r="O70">
        <v>1</v>
      </c>
    </row>
    <row r="71" spans="3:15">
      <c r="C71" s="14">
        <f>A6</f>
        <v>0</v>
      </c>
    </row>
    <row r="78" spans="3:15">
      <c r="M78" s="11" t="s">
        <v>27</v>
      </c>
      <c r="N78" s="15" t="s">
        <v>28</v>
      </c>
    </row>
    <row r="79" spans="3:15">
      <c r="M79" s="18">
        <f>E29</f>
        <v>0</v>
      </c>
      <c r="N79" s="17">
        <f>M7</f>
        <v>0</v>
      </c>
      <c r="O79">
        <v>0</v>
      </c>
    </row>
    <row r="80" spans="3:15">
      <c r="M80" s="18">
        <f>E29</f>
        <v>0</v>
      </c>
      <c r="N80" s="17">
        <f>M7</f>
        <v>0</v>
      </c>
      <c r="O80">
        <v>1</v>
      </c>
    </row>
    <row r="81" spans="3:3">
      <c r="C81" s="13">
        <f>A7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ansferCumu">
                <anchor moveWithCells="1" sizeWithCells="1">
                  <from>
                    <xdr:col>0</xdr:col>
                    <xdr:colOff>8467</xdr:colOff>
                    <xdr:row>10</xdr:row>
                    <xdr:rowOff>29633</xdr:rowOff>
                  </from>
                  <to>
                    <xdr:col>2</xdr:col>
                    <xdr:colOff>334433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This">
                <anchor moveWithCells="1" sizeWithCells="1">
                  <from>
                    <xdr:col>5</xdr:col>
                    <xdr:colOff>220133</xdr:colOff>
                    <xdr:row>10</xdr:row>
                    <xdr:rowOff>67733</xdr:rowOff>
                  </from>
                  <to>
                    <xdr:col>8</xdr:col>
                    <xdr:colOff>97367</xdr:colOff>
                    <xdr:row>12</xdr:row>
                    <xdr:rowOff>46567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ayneTransferExp">
                <anchor moveWithCells="1" sizeWithCells="1">
                  <from>
                    <xdr:col>0</xdr:col>
                    <xdr:colOff>21167</xdr:colOff>
                    <xdr:row>33</xdr:row>
                    <xdr:rowOff>21167</xdr:rowOff>
                  </from>
                  <to>
                    <xdr:col>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LoadCONTIN">
                <anchor moveWithCells="1" sizeWithCells="1">
                  <from>
                    <xdr:col>0</xdr:col>
                    <xdr:colOff>29633</xdr:colOff>
                    <xdr:row>36</xdr:row>
                    <xdr:rowOff>0</xdr:rowOff>
                  </from>
                  <to>
                    <xdr:col>2</xdr:col>
                    <xdr:colOff>419100</xdr:colOff>
                    <xdr:row>37</xdr:row>
                    <xdr:rowOff>160867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E7DE-5304-4489-BC16-5F368A6A26CA}">
  <sheetPr codeName="Sheet1"/>
  <dimension ref="B2:AF9"/>
  <sheetViews>
    <sheetView workbookViewId="0">
      <selection sqref="A1:XFD1048576"/>
    </sheetView>
  </sheetViews>
  <sheetFormatPr defaultRowHeight="14.35"/>
  <sheetData>
    <row r="2" spans="2:32"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</row>
    <row r="3" spans="2:32">
      <c r="B3" s="25"/>
      <c r="D3" s="25"/>
      <c r="F3" s="25"/>
      <c r="H3" s="25"/>
      <c r="J3" s="25"/>
      <c r="L3" s="25"/>
      <c r="N3" s="25"/>
      <c r="P3" s="25"/>
      <c r="R3" s="25"/>
      <c r="T3" s="25"/>
      <c r="V3" s="25"/>
      <c r="X3" s="25"/>
      <c r="Z3" s="25"/>
      <c r="AA3" s="25"/>
      <c r="AB3" s="25"/>
      <c r="AC3" s="25"/>
      <c r="AD3" s="25"/>
      <c r="AE3" s="25"/>
      <c r="AF3" s="25"/>
    </row>
    <row r="4" spans="2:32">
      <c r="AA4" s="25"/>
      <c r="AB4" s="25"/>
      <c r="AC4" s="25"/>
      <c r="AD4" s="25"/>
      <c r="AE4" s="25"/>
      <c r="AF4" s="25"/>
    </row>
    <row r="5" spans="2:32">
      <c r="AB5" s="25"/>
      <c r="AC5" s="25"/>
      <c r="AD5" s="25"/>
      <c r="AE5" s="25"/>
      <c r="AF5" s="25"/>
    </row>
    <row r="6" spans="2:32">
      <c r="AC6" s="25"/>
      <c r="AD6" s="25"/>
      <c r="AE6" s="25"/>
      <c r="AF6" s="25"/>
    </row>
    <row r="7" spans="2:32">
      <c r="AD7" s="25"/>
      <c r="AE7" s="25"/>
      <c r="AF7" s="25"/>
    </row>
    <row r="8" spans="2:32">
      <c r="AE8" s="25"/>
      <c r="AF8" s="25"/>
    </row>
    <row r="9" spans="2:32">
      <c r="AF9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3525-12E2-467C-8E29-952FADBC22C2}">
  <sheetPr codeName="Sheet2"/>
  <dimension ref="A2:AL610"/>
  <sheetViews>
    <sheetView zoomScale="55" zoomScaleNormal="55" workbookViewId="0"/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6" width="9.05859375" bestFit="1" customWidth="1"/>
    <col min="7" max="7" width="13.8203125" bestFit="1" customWidth="1"/>
    <col min="8" max="8" width="7" customWidth="1"/>
    <col min="9" max="9" width="15.87890625" customWidth="1"/>
    <col min="10" max="11" width="9" bestFit="1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33" max="33" width="11.3515625" customWidth="1"/>
    <col min="34" max="34" width="11.703125" customWidth="1"/>
    <col min="35" max="35" width="9.87890625" customWidth="1"/>
  </cols>
  <sheetData>
    <row r="2" spans="1:38" ht="16.350000000000001">
      <c r="AC2" t="s">
        <v>83</v>
      </c>
      <c r="AD2" t="s">
        <v>66</v>
      </c>
      <c r="AE2" t="s">
        <v>67</v>
      </c>
      <c r="AF2" t="s">
        <v>68</v>
      </c>
      <c r="AG2" t="s">
        <v>87</v>
      </c>
      <c r="AH2" t="s">
        <v>88</v>
      </c>
      <c r="AI2" t="s">
        <v>89</v>
      </c>
      <c r="AJ2" t="s">
        <v>90</v>
      </c>
      <c r="AK2" t="s">
        <v>91</v>
      </c>
      <c r="AL2" t="s">
        <v>92</v>
      </c>
    </row>
    <row r="3" spans="1:38" ht="16.350000000000001">
      <c r="AB3" t="s">
        <v>76</v>
      </c>
      <c r="AC3" t="s">
        <v>118</v>
      </c>
      <c r="AD3" t="s">
        <v>82</v>
      </c>
      <c r="AE3" t="s">
        <v>82</v>
      </c>
      <c r="AF3" t="s">
        <v>82</v>
      </c>
      <c r="AG3" t="s">
        <v>86</v>
      </c>
      <c r="AH3" t="s">
        <v>86</v>
      </c>
      <c r="AI3" t="s">
        <v>86</v>
      </c>
      <c r="AJ3" t="s">
        <v>93</v>
      </c>
      <c r="AK3" t="s">
        <v>93</v>
      </c>
      <c r="AL3" t="s">
        <v>93</v>
      </c>
    </row>
    <row r="4" spans="1:38">
      <c r="B4" s="27" t="s">
        <v>62</v>
      </c>
      <c r="C4" s="28"/>
      <c r="D4" s="27" t="s">
        <v>63</v>
      </c>
      <c r="E4" s="28">
        <v>0</v>
      </c>
      <c r="F4" s="27"/>
      <c r="G4" s="27"/>
      <c r="H4" s="27"/>
      <c r="I4" s="27"/>
      <c r="J4" s="27"/>
      <c r="K4" s="30" t="s">
        <v>80</v>
      </c>
      <c r="R4" s="33" t="s">
        <v>62</v>
      </c>
      <c r="S4" s="33"/>
      <c r="T4" s="33" t="s">
        <v>63</v>
      </c>
      <c r="U4" s="33"/>
      <c r="V4" s="33"/>
      <c r="W4" s="33"/>
      <c r="X4" s="33"/>
      <c r="Y4" s="33"/>
      <c r="Z4" s="33"/>
      <c r="AB4">
        <v>1</v>
      </c>
      <c r="AC4">
        <f>S5/10000000000</f>
        <v>0</v>
      </c>
      <c r="AD4">
        <f>W5</f>
        <v>0</v>
      </c>
      <c r="AE4">
        <f>W6</f>
        <v>0</v>
      </c>
      <c r="AF4">
        <f>W7</f>
        <v>0</v>
      </c>
      <c r="AG4" t="e">
        <f>(10000000)*(1000*AD4)/(10000000000*AC4)</f>
        <v>#DIV/0!</v>
      </c>
      <c r="AH4" t="e">
        <f>(10000000)*(1000*AE4)/(10000000000*AC4)</f>
        <v>#DIV/0!</v>
      </c>
      <c r="AI4" t="e">
        <f>(10000000)*(1000*AF4)/(10000000000*AC4)</f>
        <v>#DIV/0!</v>
      </c>
      <c r="AJ4" t="e">
        <f t="shared" ref="AJ4:AL9" si="0">(kBoltz*TdegK)/(6*PI()*EtaP*AG4/10000000)*10000000</f>
        <v>#DIV/0!</v>
      </c>
      <c r="AK4" t="e">
        <f t="shared" si="0"/>
        <v>#DIV/0!</v>
      </c>
      <c r="AL4" t="e">
        <f t="shared" si="0"/>
        <v>#DIV/0!</v>
      </c>
    </row>
    <row r="5" spans="1:38" ht="16.350000000000001">
      <c r="B5" s="27" t="s">
        <v>69</v>
      </c>
      <c r="C5" s="31">
        <f>(4*PI()*Refin*SIN(RADIANS(C4/2))/LamCM)^2</f>
        <v>0</v>
      </c>
      <c r="D5" s="27" t="s">
        <v>64</v>
      </c>
      <c r="E5" s="28">
        <v>0.5</v>
      </c>
      <c r="F5" s="27" t="s">
        <v>66</v>
      </c>
      <c r="G5" s="28">
        <v>1</v>
      </c>
      <c r="H5" s="27" t="s">
        <v>82</v>
      </c>
      <c r="I5" s="27" t="s">
        <v>75</v>
      </c>
      <c r="J5" s="28">
        <v>10</v>
      </c>
      <c r="K5" s="27">
        <f>J5+10</f>
        <v>20</v>
      </c>
      <c r="R5" s="33" t="s">
        <v>81</v>
      </c>
      <c r="S5" s="33"/>
      <c r="T5" s="33" t="s">
        <v>64</v>
      </c>
      <c r="U5" s="33"/>
      <c r="V5" s="33" t="s">
        <v>66</v>
      </c>
      <c r="W5" s="33"/>
      <c r="X5" s="33" t="s">
        <v>82</v>
      </c>
      <c r="Y5" s="33" t="s">
        <v>75</v>
      </c>
      <c r="Z5" s="33"/>
      <c r="AB5">
        <v>2</v>
      </c>
      <c r="AC5">
        <f>S10/10000000000</f>
        <v>0</v>
      </c>
      <c r="AD5">
        <f>W10</f>
        <v>0</v>
      </c>
      <c r="AE5">
        <f>W11</f>
        <v>0</v>
      </c>
      <c r="AF5">
        <f>W12</f>
        <v>0</v>
      </c>
      <c r="AG5" t="e">
        <f t="shared" ref="AG5:AG11" si="1">(10000000)*(1000*AD5)/(10000000000*AC5)</f>
        <v>#DIV/0!</v>
      </c>
      <c r="AH5" t="e">
        <f t="shared" ref="AH5:AH11" si="2">(10000000)*(1000*AE5)/(10000000000*AC5)</f>
        <v>#DIV/0!</v>
      </c>
      <c r="AI5" t="e">
        <f t="shared" ref="AI5:AI11" si="3">(10000000)*(1000*AF5)/(10000000000*AC5)</f>
        <v>#DIV/0!</v>
      </c>
      <c r="AJ5" t="e">
        <f t="shared" si="0"/>
        <v>#DIV/0!</v>
      </c>
      <c r="AK5" t="e">
        <f t="shared" si="0"/>
        <v>#DIV/0!</v>
      </c>
      <c r="AL5" t="e">
        <f t="shared" si="0"/>
        <v>#DIV/0!</v>
      </c>
    </row>
    <row r="6" spans="1:38">
      <c r="B6" s="27"/>
      <c r="C6" s="27"/>
      <c r="D6" s="27" t="s">
        <v>17</v>
      </c>
      <c r="E6" s="28">
        <v>0</v>
      </c>
      <c r="F6" s="27" t="s">
        <v>67</v>
      </c>
      <c r="G6" s="28">
        <v>0</v>
      </c>
      <c r="H6" s="27" t="s">
        <v>82</v>
      </c>
      <c r="I6" s="27" t="s">
        <v>79</v>
      </c>
      <c r="J6" s="28">
        <v>128</v>
      </c>
      <c r="K6" s="27">
        <f>J6+10</f>
        <v>138</v>
      </c>
      <c r="R6" s="33"/>
      <c r="S6" s="33"/>
      <c r="T6" s="33" t="s">
        <v>17</v>
      </c>
      <c r="U6" s="33"/>
      <c r="V6" s="33" t="s">
        <v>67</v>
      </c>
      <c r="W6" s="33"/>
      <c r="X6" s="33" t="s">
        <v>82</v>
      </c>
      <c r="Y6" s="33" t="s">
        <v>79</v>
      </c>
      <c r="Z6" s="33"/>
      <c r="AB6">
        <v>3</v>
      </c>
      <c r="AC6">
        <f>S15/10000000000</f>
        <v>0</v>
      </c>
      <c r="AD6">
        <f>W15</f>
        <v>0</v>
      </c>
      <c r="AE6">
        <f>W16</f>
        <v>0</v>
      </c>
      <c r="AF6">
        <f>W17</f>
        <v>0</v>
      </c>
      <c r="AG6" t="e">
        <f t="shared" si="1"/>
        <v>#DIV/0!</v>
      </c>
      <c r="AH6" t="e">
        <f t="shared" si="2"/>
        <v>#DIV/0!</v>
      </c>
      <c r="AI6" t="e">
        <f t="shared" si="3"/>
        <v>#DIV/0!</v>
      </c>
      <c r="AJ6" t="e">
        <f t="shared" si="0"/>
        <v>#DIV/0!</v>
      </c>
      <c r="AK6" t="e">
        <f t="shared" si="0"/>
        <v>#DIV/0!</v>
      </c>
      <c r="AL6" t="e">
        <f t="shared" si="0"/>
        <v>#DIV/0!</v>
      </c>
    </row>
    <row r="7" spans="1:38">
      <c r="B7" s="27"/>
      <c r="C7" s="27"/>
      <c r="D7" s="27" t="s">
        <v>65</v>
      </c>
      <c r="E7" s="28">
        <v>0</v>
      </c>
      <c r="F7" s="27" t="s">
        <v>68</v>
      </c>
      <c r="G7" s="28">
        <v>0</v>
      </c>
      <c r="H7" s="27" t="s">
        <v>82</v>
      </c>
      <c r="I7" s="27"/>
      <c r="J7" s="27"/>
      <c r="K7" s="27"/>
      <c r="R7" s="33"/>
      <c r="S7" s="33"/>
      <c r="T7" s="33" t="s">
        <v>65</v>
      </c>
      <c r="U7" s="33"/>
      <c r="V7" s="33" t="s">
        <v>68</v>
      </c>
      <c r="W7" s="33"/>
      <c r="X7" s="33" t="s">
        <v>82</v>
      </c>
      <c r="Y7" s="33"/>
      <c r="Z7" s="33"/>
      <c r="AB7">
        <v>4</v>
      </c>
      <c r="AC7">
        <f>S20/10000000000</f>
        <v>0</v>
      </c>
      <c r="AD7">
        <f>W20</f>
        <v>0</v>
      </c>
      <c r="AE7">
        <f>W21</f>
        <v>0</v>
      </c>
      <c r="AF7">
        <f>W22</f>
        <v>0</v>
      </c>
      <c r="AG7" t="e">
        <f t="shared" si="1"/>
        <v>#DIV/0!</v>
      </c>
      <c r="AH7" t="e">
        <f t="shared" si="2"/>
        <v>#DIV/0!</v>
      </c>
      <c r="AI7" t="e">
        <f t="shared" si="3"/>
        <v>#DIV/0!</v>
      </c>
      <c r="AJ7" t="e">
        <f t="shared" si="0"/>
        <v>#DIV/0!</v>
      </c>
      <c r="AK7" t="e">
        <f t="shared" si="0"/>
        <v>#DIV/0!</v>
      </c>
      <c r="AL7" t="e">
        <f t="shared" si="0"/>
        <v>#DIV/0!</v>
      </c>
    </row>
    <row r="8" spans="1:38">
      <c r="AB8">
        <v>5</v>
      </c>
      <c r="AC8">
        <f>S25/10000000000</f>
        <v>0</v>
      </c>
      <c r="AD8">
        <f>W25</f>
        <v>0</v>
      </c>
      <c r="AE8">
        <f>W26</f>
        <v>0</v>
      </c>
      <c r="AF8">
        <f>W27</f>
        <v>0</v>
      </c>
      <c r="AG8" t="e">
        <f t="shared" si="1"/>
        <v>#DIV/0!</v>
      </c>
      <c r="AH8" t="e">
        <f t="shared" si="2"/>
        <v>#DIV/0!</v>
      </c>
      <c r="AI8" t="e">
        <f t="shared" si="3"/>
        <v>#DIV/0!</v>
      </c>
      <c r="AJ8" t="e">
        <f t="shared" si="0"/>
        <v>#DIV/0!</v>
      </c>
      <c r="AK8" t="e">
        <f t="shared" si="0"/>
        <v>#DIV/0!</v>
      </c>
      <c r="AL8" t="e">
        <f t="shared" si="0"/>
        <v>#DIV/0!</v>
      </c>
    </row>
    <row r="9" spans="1:38"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B9">
        <v>6</v>
      </c>
      <c r="AC9">
        <f>S30/10000000000</f>
        <v>0</v>
      </c>
      <c r="AD9">
        <f>W30</f>
        <v>0</v>
      </c>
      <c r="AE9">
        <f>W31</f>
        <v>0</v>
      </c>
      <c r="AF9">
        <v>0</v>
      </c>
      <c r="AG9" t="e">
        <f t="shared" si="1"/>
        <v>#DIV/0!</v>
      </c>
      <c r="AH9" t="e">
        <f t="shared" si="2"/>
        <v>#DIV/0!</v>
      </c>
      <c r="AI9" t="e">
        <f t="shared" si="3"/>
        <v>#DIV/0!</v>
      </c>
      <c r="AJ9" t="e">
        <f t="shared" si="0"/>
        <v>#DIV/0!</v>
      </c>
      <c r="AK9" t="e">
        <f t="shared" ref="AK9:AL11" si="4">(kBoltz*TdegK)/(6*PI()*EtaP*AH9/10000000)*10000000</f>
        <v>#DIV/0!</v>
      </c>
      <c r="AL9" t="e">
        <f t="shared" si="4"/>
        <v>#DIV/0!</v>
      </c>
    </row>
    <row r="10" spans="1:38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34" t="s">
        <v>64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B10">
        <v>7</v>
      </c>
      <c r="AC10">
        <f>S35/10000000000</f>
        <v>0</v>
      </c>
      <c r="AD10">
        <f>W35</f>
        <v>0</v>
      </c>
      <c r="AE10">
        <f>W36</f>
        <v>0</v>
      </c>
      <c r="AF10">
        <f>W37</f>
        <v>0</v>
      </c>
      <c r="AG10" t="e">
        <f t="shared" si="1"/>
        <v>#DIV/0!</v>
      </c>
      <c r="AH10" t="e">
        <f t="shared" si="2"/>
        <v>#DIV/0!</v>
      </c>
      <c r="AI10" t="e">
        <f t="shared" si="3"/>
        <v>#DIV/0!</v>
      </c>
      <c r="AJ10" t="e">
        <f>(kBoltz*TdegK)/(6*PI()*EtaP*AG10/10000000)*10000000</f>
        <v>#DIV/0!</v>
      </c>
      <c r="AK10" t="e">
        <f t="shared" si="4"/>
        <v>#DIV/0!</v>
      </c>
      <c r="AL10" t="e">
        <f t="shared" si="4"/>
        <v>#DIV/0!</v>
      </c>
    </row>
    <row r="11" spans="1:38">
      <c r="A11">
        <v>1</v>
      </c>
      <c r="B11">
        <f>C11/1000</f>
        <v>0</v>
      </c>
      <c r="C11" s="29"/>
      <c r="D11" s="29"/>
      <c r="E11">
        <f t="shared" ref="E11:E74" si="5">BaseAdjust+(ampl1*EXP(-gamma1*C11)+ampl2*EXP(-gamma2*C11)+ampl3*EXP(-gamma3*C11))^2</f>
        <v>0.25</v>
      </c>
      <c r="F11">
        <f>D11-E11</f>
        <v>-0.25</v>
      </c>
      <c r="G11">
        <f>F11^2</f>
        <v>6.25E-2</v>
      </c>
      <c r="H11">
        <f ca="1">SUM(INDIRECT("G"&amp;K5&amp;":G"&amp;K6))</f>
        <v>7.4375</v>
      </c>
      <c r="R11" s="34"/>
      <c r="S11" s="34"/>
      <c r="T11" s="34" t="s">
        <v>17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B11">
        <v>8</v>
      </c>
      <c r="AC11">
        <f>S40/10000000000</f>
        <v>0</v>
      </c>
      <c r="AD11">
        <f>W40</f>
        <v>0</v>
      </c>
      <c r="AE11">
        <f>W41</f>
        <v>0</v>
      </c>
      <c r="AF11">
        <f>W42</f>
        <v>0</v>
      </c>
      <c r="AG11" t="e">
        <f t="shared" si="1"/>
        <v>#DIV/0!</v>
      </c>
      <c r="AH11" t="e">
        <f t="shared" si="2"/>
        <v>#DIV/0!</v>
      </c>
      <c r="AI11" t="e">
        <f t="shared" si="3"/>
        <v>#DIV/0!</v>
      </c>
      <c r="AJ11" t="e">
        <f>(kBoltz*TdegK)/(6*PI()*EtaP*AG11/10000000)*10000000</f>
        <v>#DIV/0!</v>
      </c>
      <c r="AK11" t="e">
        <f t="shared" si="4"/>
        <v>#DIV/0!</v>
      </c>
      <c r="AL11" t="e">
        <f t="shared" si="4"/>
        <v>#DIV/0!</v>
      </c>
    </row>
    <row r="12" spans="1:38">
      <c r="A12">
        <v>2</v>
      </c>
      <c r="B12">
        <f t="shared" ref="B12:B75" si="6">C12/1000</f>
        <v>0</v>
      </c>
      <c r="C12" s="28"/>
      <c r="D12" s="28"/>
      <c r="E12">
        <f t="shared" si="5"/>
        <v>0.25</v>
      </c>
      <c r="F12">
        <f t="shared" ref="F12:F75" si="7">D12-E12</f>
        <v>-0.25</v>
      </c>
      <c r="G12">
        <f t="shared" ref="G12:G75" si="8">F12^2</f>
        <v>6.25E-2</v>
      </c>
      <c r="R12" s="34"/>
      <c r="S12" s="34"/>
      <c r="T12" s="34" t="s">
        <v>65</v>
      </c>
      <c r="U12" s="34"/>
      <c r="V12" s="34" t="s">
        <v>68</v>
      </c>
      <c r="W12" s="34"/>
      <c r="X12" s="34" t="s">
        <v>82</v>
      </c>
      <c r="Y12" s="34"/>
      <c r="Z12" s="34"/>
    </row>
    <row r="13" spans="1:38">
      <c r="A13">
        <v>3</v>
      </c>
      <c r="B13">
        <f t="shared" si="6"/>
        <v>0</v>
      </c>
      <c r="C13" s="28"/>
      <c r="D13" s="28"/>
      <c r="E13">
        <f t="shared" si="5"/>
        <v>0.25</v>
      </c>
      <c r="F13">
        <f t="shared" si="7"/>
        <v>-0.25</v>
      </c>
      <c r="G13">
        <f t="shared" si="8"/>
        <v>6.25E-2</v>
      </c>
    </row>
    <row r="14" spans="1:38">
      <c r="A14">
        <v>4</v>
      </c>
      <c r="B14">
        <f t="shared" si="6"/>
        <v>0</v>
      </c>
      <c r="C14" s="28"/>
      <c r="D14" s="28"/>
      <c r="E14">
        <f t="shared" si="5"/>
        <v>0.25</v>
      </c>
      <c r="F14">
        <f t="shared" si="7"/>
        <v>-0.25</v>
      </c>
      <c r="G14">
        <f t="shared" si="8"/>
        <v>6.25E-2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</row>
    <row r="15" spans="1:38">
      <c r="A15">
        <v>5</v>
      </c>
      <c r="B15">
        <f t="shared" si="6"/>
        <v>0</v>
      </c>
      <c r="C15" s="28"/>
      <c r="D15" s="28"/>
      <c r="E15">
        <f t="shared" si="5"/>
        <v>0.25</v>
      </c>
      <c r="F15">
        <f t="shared" si="7"/>
        <v>-0.25</v>
      </c>
      <c r="G15">
        <f t="shared" si="8"/>
        <v>6.25E-2</v>
      </c>
      <c r="R15" s="35" t="s">
        <v>81</v>
      </c>
      <c r="S15" s="35"/>
      <c r="T15" s="35" t="s">
        <v>64</v>
      </c>
      <c r="U15" s="35"/>
      <c r="V15" s="35" t="s">
        <v>66</v>
      </c>
      <c r="W15" s="35"/>
      <c r="X15" s="35" t="s">
        <v>82</v>
      </c>
      <c r="Y15" s="35" t="s">
        <v>75</v>
      </c>
      <c r="Z15" s="35"/>
    </row>
    <row r="16" spans="1:38">
      <c r="A16">
        <v>6</v>
      </c>
      <c r="B16">
        <f t="shared" si="6"/>
        <v>0</v>
      </c>
      <c r="C16" s="28"/>
      <c r="D16" s="28"/>
      <c r="E16">
        <f t="shared" si="5"/>
        <v>0.25</v>
      </c>
      <c r="F16">
        <f t="shared" si="7"/>
        <v>-0.25</v>
      </c>
      <c r="G16">
        <f t="shared" si="8"/>
        <v>6.25E-2</v>
      </c>
      <c r="R16" s="35"/>
      <c r="S16" s="35"/>
      <c r="T16" s="35" t="s">
        <v>17</v>
      </c>
      <c r="U16" s="35"/>
      <c r="V16" s="35" t="s">
        <v>67</v>
      </c>
      <c r="W16" s="35"/>
      <c r="X16" s="35" t="s">
        <v>82</v>
      </c>
      <c r="Y16" s="35" t="s">
        <v>79</v>
      </c>
      <c r="Z16" s="35"/>
    </row>
    <row r="17" spans="1:26">
      <c r="A17">
        <v>7</v>
      </c>
      <c r="B17">
        <f t="shared" si="6"/>
        <v>0</v>
      </c>
      <c r="C17" s="28"/>
      <c r="D17" s="28"/>
      <c r="E17">
        <f t="shared" si="5"/>
        <v>0.25</v>
      </c>
      <c r="F17">
        <f t="shared" si="7"/>
        <v>-0.25</v>
      </c>
      <c r="G17">
        <f t="shared" si="8"/>
        <v>6.25E-2</v>
      </c>
      <c r="R17" s="35"/>
      <c r="S17" s="35"/>
      <c r="T17" s="35" t="s">
        <v>65</v>
      </c>
      <c r="U17" s="35"/>
      <c r="V17" s="35" t="s">
        <v>68</v>
      </c>
      <c r="W17" s="35"/>
      <c r="X17" s="35" t="s">
        <v>82</v>
      </c>
      <c r="Y17" s="35"/>
      <c r="Z17" s="35"/>
    </row>
    <row r="18" spans="1:26">
      <c r="A18">
        <v>8</v>
      </c>
      <c r="B18">
        <f t="shared" si="6"/>
        <v>0</v>
      </c>
      <c r="C18" s="28"/>
      <c r="D18" s="28"/>
      <c r="E18">
        <f t="shared" si="5"/>
        <v>0.25</v>
      </c>
      <c r="F18">
        <f t="shared" si="7"/>
        <v>-0.25</v>
      </c>
      <c r="G18">
        <f t="shared" si="8"/>
        <v>6.25E-2</v>
      </c>
    </row>
    <row r="19" spans="1:26">
      <c r="A19">
        <v>9</v>
      </c>
      <c r="B19">
        <f t="shared" si="6"/>
        <v>0</v>
      </c>
      <c r="C19" s="28"/>
      <c r="D19" s="28"/>
      <c r="E19">
        <f t="shared" si="5"/>
        <v>0.25</v>
      </c>
      <c r="F19">
        <f t="shared" si="7"/>
        <v>-0.25</v>
      </c>
      <c r="G19">
        <f t="shared" si="8"/>
        <v>6.25E-2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</row>
    <row r="20" spans="1:26">
      <c r="A20">
        <v>10</v>
      </c>
      <c r="B20">
        <f t="shared" si="6"/>
        <v>0</v>
      </c>
      <c r="C20" s="28"/>
      <c r="D20" s="28"/>
      <c r="E20">
        <f t="shared" si="5"/>
        <v>0.25</v>
      </c>
      <c r="F20">
        <f t="shared" si="7"/>
        <v>-0.25</v>
      </c>
      <c r="G20">
        <f t="shared" si="8"/>
        <v>6.25E-2</v>
      </c>
      <c r="R20" s="36" t="s">
        <v>81</v>
      </c>
      <c r="S20" s="36"/>
      <c r="T20" s="36" t="s">
        <v>64</v>
      </c>
      <c r="U20" s="36"/>
      <c r="V20" s="36" t="s">
        <v>66</v>
      </c>
      <c r="W20" s="36"/>
      <c r="X20" s="36" t="s">
        <v>82</v>
      </c>
      <c r="Y20" s="36" t="s">
        <v>75</v>
      </c>
      <c r="Z20" s="36"/>
    </row>
    <row r="21" spans="1:26">
      <c r="A21">
        <v>11</v>
      </c>
      <c r="B21">
        <f t="shared" si="6"/>
        <v>0</v>
      </c>
      <c r="C21" s="28"/>
      <c r="D21" s="28"/>
      <c r="E21">
        <f t="shared" si="5"/>
        <v>0.25</v>
      </c>
      <c r="F21">
        <f t="shared" si="7"/>
        <v>-0.25</v>
      </c>
      <c r="G21">
        <f t="shared" si="8"/>
        <v>6.25E-2</v>
      </c>
      <c r="R21" s="36"/>
      <c r="S21" s="36"/>
      <c r="T21" s="36" t="s">
        <v>17</v>
      </c>
      <c r="U21" s="36"/>
      <c r="V21" s="36" t="s">
        <v>67</v>
      </c>
      <c r="W21" s="36"/>
      <c r="X21" s="36" t="s">
        <v>82</v>
      </c>
      <c r="Y21" s="36" t="s">
        <v>79</v>
      </c>
      <c r="Z21" s="36"/>
    </row>
    <row r="22" spans="1:26">
      <c r="A22">
        <v>12</v>
      </c>
      <c r="B22">
        <f t="shared" si="6"/>
        <v>0</v>
      </c>
      <c r="C22" s="28"/>
      <c r="D22" s="28"/>
      <c r="E22">
        <f t="shared" si="5"/>
        <v>0.25</v>
      </c>
      <c r="F22">
        <f t="shared" si="7"/>
        <v>-0.25</v>
      </c>
      <c r="G22">
        <f t="shared" si="8"/>
        <v>6.25E-2</v>
      </c>
      <c r="R22" s="36"/>
      <c r="S22" s="36"/>
      <c r="T22" s="36" t="s">
        <v>65</v>
      </c>
      <c r="U22" s="36"/>
      <c r="V22" s="36" t="s">
        <v>68</v>
      </c>
      <c r="W22" s="36"/>
      <c r="X22" s="36" t="s">
        <v>82</v>
      </c>
      <c r="Y22" s="36"/>
      <c r="Z22" s="36"/>
    </row>
    <row r="23" spans="1:26">
      <c r="A23">
        <v>13</v>
      </c>
      <c r="B23">
        <f t="shared" si="6"/>
        <v>0</v>
      </c>
      <c r="C23" s="28"/>
      <c r="D23" s="28"/>
      <c r="E23">
        <f t="shared" si="5"/>
        <v>0.25</v>
      </c>
      <c r="F23">
        <f t="shared" si="7"/>
        <v>-0.25</v>
      </c>
      <c r="G23">
        <f t="shared" si="8"/>
        <v>6.25E-2</v>
      </c>
    </row>
    <row r="24" spans="1:26">
      <c r="A24">
        <v>14</v>
      </c>
      <c r="B24">
        <f t="shared" si="6"/>
        <v>0</v>
      </c>
      <c r="C24" s="28"/>
      <c r="D24" s="28"/>
      <c r="E24">
        <f t="shared" si="5"/>
        <v>0.25</v>
      </c>
      <c r="F24">
        <f t="shared" si="7"/>
        <v>-0.25</v>
      </c>
      <c r="G24">
        <f t="shared" si="8"/>
        <v>6.25E-2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</row>
    <row r="25" spans="1:26">
      <c r="A25">
        <v>15</v>
      </c>
      <c r="B25">
        <f t="shared" si="6"/>
        <v>0</v>
      </c>
      <c r="C25" s="28"/>
      <c r="D25" s="28"/>
      <c r="E25">
        <f t="shared" si="5"/>
        <v>0.25</v>
      </c>
      <c r="F25">
        <f t="shared" si="7"/>
        <v>-0.25</v>
      </c>
      <c r="G25">
        <f t="shared" si="8"/>
        <v>6.25E-2</v>
      </c>
      <c r="R25" s="37" t="s">
        <v>81</v>
      </c>
      <c r="S25" s="37"/>
      <c r="T25" s="37" t="s">
        <v>64</v>
      </c>
      <c r="U25" s="37"/>
      <c r="V25" s="37" t="s">
        <v>66</v>
      </c>
      <c r="W25" s="37"/>
      <c r="X25" s="37" t="s">
        <v>82</v>
      </c>
      <c r="Y25" s="37" t="s">
        <v>75</v>
      </c>
      <c r="Z25" s="37"/>
    </row>
    <row r="26" spans="1:26">
      <c r="A26">
        <v>16</v>
      </c>
      <c r="B26">
        <f t="shared" si="6"/>
        <v>0</v>
      </c>
      <c r="C26" s="28"/>
      <c r="D26" s="28"/>
      <c r="E26">
        <f t="shared" si="5"/>
        <v>0.25</v>
      </c>
      <c r="F26">
        <f t="shared" si="7"/>
        <v>-0.25</v>
      </c>
      <c r="G26">
        <f t="shared" si="8"/>
        <v>6.25E-2</v>
      </c>
      <c r="R26" s="37"/>
      <c r="S26" s="37"/>
      <c r="T26" s="37" t="s">
        <v>17</v>
      </c>
      <c r="U26" s="37"/>
      <c r="V26" s="37" t="s">
        <v>67</v>
      </c>
      <c r="W26" s="37"/>
      <c r="X26" s="37" t="s">
        <v>82</v>
      </c>
      <c r="Y26" s="37" t="s">
        <v>79</v>
      </c>
      <c r="Z26" s="37"/>
    </row>
    <row r="27" spans="1:26">
      <c r="A27">
        <v>17</v>
      </c>
      <c r="B27">
        <f t="shared" si="6"/>
        <v>0</v>
      </c>
      <c r="C27" s="28"/>
      <c r="D27" s="28"/>
      <c r="E27">
        <f t="shared" si="5"/>
        <v>0.25</v>
      </c>
      <c r="F27">
        <f t="shared" si="7"/>
        <v>-0.25</v>
      </c>
      <c r="G27">
        <f t="shared" si="8"/>
        <v>6.25E-2</v>
      </c>
      <c r="R27" s="37"/>
      <c r="S27" s="37"/>
      <c r="T27" s="37" t="s">
        <v>65</v>
      </c>
      <c r="U27" s="37"/>
      <c r="V27" s="37" t="s">
        <v>68</v>
      </c>
      <c r="W27" s="37"/>
      <c r="X27" s="37" t="s">
        <v>82</v>
      </c>
      <c r="Y27" s="37"/>
      <c r="Z27" s="37"/>
    </row>
    <row r="28" spans="1:26">
      <c r="A28">
        <v>18</v>
      </c>
      <c r="B28">
        <f t="shared" si="6"/>
        <v>0</v>
      </c>
      <c r="C28" s="28"/>
      <c r="D28" s="28"/>
      <c r="E28">
        <f t="shared" si="5"/>
        <v>0.25</v>
      </c>
      <c r="F28">
        <f t="shared" si="7"/>
        <v>-0.25</v>
      </c>
      <c r="G28">
        <f t="shared" si="8"/>
        <v>6.25E-2</v>
      </c>
    </row>
    <row r="29" spans="1:26">
      <c r="A29">
        <v>19</v>
      </c>
      <c r="B29">
        <f t="shared" si="6"/>
        <v>0</v>
      </c>
      <c r="C29" s="28"/>
      <c r="D29" s="28"/>
      <c r="E29">
        <f t="shared" si="5"/>
        <v>0.25</v>
      </c>
      <c r="F29">
        <f t="shared" si="7"/>
        <v>-0.25</v>
      </c>
      <c r="G29">
        <f t="shared" si="8"/>
        <v>6.25E-2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</row>
    <row r="30" spans="1:26">
      <c r="A30">
        <v>20</v>
      </c>
      <c r="B30">
        <f t="shared" si="6"/>
        <v>0</v>
      </c>
      <c r="C30" s="28"/>
      <c r="D30" s="28"/>
      <c r="E30">
        <f t="shared" si="5"/>
        <v>0.25</v>
      </c>
      <c r="F30">
        <f t="shared" si="7"/>
        <v>-0.25</v>
      </c>
      <c r="G30">
        <f t="shared" si="8"/>
        <v>6.25E-2</v>
      </c>
      <c r="R30" s="38" t="s">
        <v>81</v>
      </c>
      <c r="S30" s="38"/>
      <c r="T30" s="38" t="s">
        <v>64</v>
      </c>
      <c r="U30" s="38"/>
      <c r="V30" s="38" t="s">
        <v>66</v>
      </c>
      <c r="W30" s="38"/>
      <c r="X30" s="38" t="s">
        <v>82</v>
      </c>
      <c r="Y30" s="38" t="s">
        <v>75</v>
      </c>
      <c r="Z30" s="38"/>
    </row>
    <row r="31" spans="1:26">
      <c r="A31">
        <v>21</v>
      </c>
      <c r="B31">
        <f t="shared" si="6"/>
        <v>0</v>
      </c>
      <c r="C31" s="28"/>
      <c r="D31" s="28"/>
      <c r="E31">
        <f t="shared" si="5"/>
        <v>0.25</v>
      </c>
      <c r="F31">
        <f t="shared" si="7"/>
        <v>-0.25</v>
      </c>
      <c r="G31">
        <f t="shared" si="8"/>
        <v>6.25E-2</v>
      </c>
      <c r="R31" s="38"/>
      <c r="S31" s="38"/>
      <c r="T31" s="38" t="s">
        <v>17</v>
      </c>
      <c r="U31" s="38"/>
      <c r="V31" s="38" t="s">
        <v>67</v>
      </c>
      <c r="W31" s="38"/>
      <c r="X31" s="38" t="s">
        <v>82</v>
      </c>
      <c r="Y31" s="38" t="s">
        <v>79</v>
      </c>
      <c r="Z31" s="38"/>
    </row>
    <row r="32" spans="1:26">
      <c r="A32">
        <v>22</v>
      </c>
      <c r="B32">
        <f t="shared" si="6"/>
        <v>0</v>
      </c>
      <c r="C32" s="28"/>
      <c r="D32" s="28"/>
      <c r="E32">
        <f t="shared" si="5"/>
        <v>0.25</v>
      </c>
      <c r="F32">
        <f t="shared" si="7"/>
        <v>-0.25</v>
      </c>
      <c r="G32">
        <f t="shared" si="8"/>
        <v>6.25E-2</v>
      </c>
      <c r="R32" s="38"/>
      <c r="S32" s="38"/>
      <c r="T32" s="38" t="s">
        <v>65</v>
      </c>
      <c r="U32" s="38"/>
      <c r="V32" s="38" t="s">
        <v>68</v>
      </c>
      <c r="W32" s="38"/>
      <c r="X32" s="38" t="s">
        <v>82</v>
      </c>
      <c r="Y32" s="38"/>
      <c r="Z32" s="38"/>
    </row>
    <row r="33" spans="1:26">
      <c r="A33">
        <v>23</v>
      </c>
      <c r="B33">
        <f t="shared" si="6"/>
        <v>0</v>
      </c>
      <c r="C33" s="28"/>
      <c r="D33" s="28"/>
      <c r="E33">
        <f t="shared" si="5"/>
        <v>0.25</v>
      </c>
      <c r="F33">
        <f t="shared" si="7"/>
        <v>-0.25</v>
      </c>
      <c r="G33">
        <f t="shared" si="8"/>
        <v>6.25E-2</v>
      </c>
    </row>
    <row r="34" spans="1:26">
      <c r="A34">
        <v>24</v>
      </c>
      <c r="B34">
        <f t="shared" si="6"/>
        <v>0</v>
      </c>
      <c r="C34" s="28"/>
      <c r="D34" s="28"/>
      <c r="E34">
        <f t="shared" si="5"/>
        <v>0.25</v>
      </c>
      <c r="F34">
        <f t="shared" si="7"/>
        <v>-0.25</v>
      </c>
      <c r="G34">
        <f t="shared" si="8"/>
        <v>6.25E-2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</row>
    <row r="35" spans="1:26">
      <c r="A35">
        <v>25</v>
      </c>
      <c r="B35">
        <f t="shared" si="6"/>
        <v>0</v>
      </c>
      <c r="C35" s="28"/>
      <c r="D35" s="28"/>
      <c r="E35">
        <f t="shared" si="5"/>
        <v>0.25</v>
      </c>
      <c r="F35">
        <f t="shared" si="7"/>
        <v>-0.25</v>
      </c>
      <c r="G35">
        <f t="shared" si="8"/>
        <v>6.25E-2</v>
      </c>
      <c r="R35" s="39" t="s">
        <v>81</v>
      </c>
      <c r="S35" s="39"/>
      <c r="T35" s="39" t="s">
        <v>64</v>
      </c>
      <c r="U35" s="39"/>
      <c r="V35" s="39" t="s">
        <v>66</v>
      </c>
      <c r="W35" s="39"/>
      <c r="X35" s="39" t="s">
        <v>82</v>
      </c>
      <c r="Y35" s="39" t="s">
        <v>75</v>
      </c>
      <c r="Z35" s="39"/>
    </row>
    <row r="36" spans="1:26">
      <c r="A36">
        <v>26</v>
      </c>
      <c r="B36">
        <f t="shared" si="6"/>
        <v>0</v>
      </c>
      <c r="C36" s="28"/>
      <c r="D36" s="28"/>
      <c r="E36">
        <f t="shared" si="5"/>
        <v>0.25</v>
      </c>
      <c r="F36">
        <f t="shared" si="7"/>
        <v>-0.25</v>
      </c>
      <c r="G36">
        <f t="shared" si="8"/>
        <v>6.25E-2</v>
      </c>
      <c r="R36" s="39"/>
      <c r="S36" s="39"/>
      <c r="T36" s="39" t="s">
        <v>17</v>
      </c>
      <c r="U36" s="39"/>
      <c r="V36" s="39" t="s">
        <v>67</v>
      </c>
      <c r="W36" s="39"/>
      <c r="X36" s="39" t="s">
        <v>82</v>
      </c>
      <c r="Y36" s="39" t="s">
        <v>79</v>
      </c>
      <c r="Z36" s="39"/>
    </row>
    <row r="37" spans="1:26">
      <c r="A37">
        <v>27</v>
      </c>
      <c r="B37">
        <f t="shared" si="6"/>
        <v>0</v>
      </c>
      <c r="C37" s="28"/>
      <c r="D37" s="28"/>
      <c r="E37">
        <f t="shared" si="5"/>
        <v>0.25</v>
      </c>
      <c r="F37">
        <f t="shared" si="7"/>
        <v>-0.25</v>
      </c>
      <c r="G37">
        <f t="shared" si="8"/>
        <v>6.25E-2</v>
      </c>
      <c r="R37" s="39"/>
      <c r="S37" s="39"/>
      <c r="T37" s="39" t="s">
        <v>65</v>
      </c>
      <c r="U37" s="39"/>
      <c r="V37" s="39" t="s">
        <v>68</v>
      </c>
      <c r="W37" s="39"/>
      <c r="X37" s="39" t="s">
        <v>82</v>
      </c>
      <c r="Y37" s="39"/>
      <c r="Z37" s="39"/>
    </row>
    <row r="38" spans="1:26">
      <c r="A38">
        <v>28</v>
      </c>
      <c r="B38">
        <f t="shared" si="6"/>
        <v>0</v>
      </c>
      <c r="C38" s="28"/>
      <c r="D38" s="28"/>
      <c r="E38">
        <f t="shared" si="5"/>
        <v>0.25</v>
      </c>
      <c r="F38">
        <f t="shared" si="7"/>
        <v>-0.25</v>
      </c>
      <c r="G38">
        <f t="shared" si="8"/>
        <v>6.25E-2</v>
      </c>
    </row>
    <row r="39" spans="1:26">
      <c r="A39">
        <v>29</v>
      </c>
      <c r="B39">
        <f t="shared" si="6"/>
        <v>0</v>
      </c>
      <c r="C39" s="28"/>
      <c r="D39" s="28"/>
      <c r="E39">
        <f t="shared" si="5"/>
        <v>0.25</v>
      </c>
      <c r="F39">
        <f t="shared" si="7"/>
        <v>-0.25</v>
      </c>
      <c r="G39">
        <f t="shared" si="8"/>
        <v>6.25E-2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</row>
    <row r="40" spans="1:26">
      <c r="A40">
        <v>30</v>
      </c>
      <c r="B40">
        <f t="shared" si="6"/>
        <v>0</v>
      </c>
      <c r="C40" s="28"/>
      <c r="D40" s="28"/>
      <c r="E40">
        <f t="shared" si="5"/>
        <v>0.25</v>
      </c>
      <c r="F40">
        <f t="shared" si="7"/>
        <v>-0.25</v>
      </c>
      <c r="G40">
        <f t="shared" si="8"/>
        <v>6.25E-2</v>
      </c>
      <c r="R40" s="40" t="s">
        <v>81</v>
      </c>
      <c r="S40" s="40"/>
      <c r="T40" s="40" t="s">
        <v>64</v>
      </c>
      <c r="U40" s="40"/>
      <c r="V40" s="40" t="s">
        <v>66</v>
      </c>
      <c r="W40" s="40"/>
      <c r="X40" s="40" t="s">
        <v>82</v>
      </c>
      <c r="Y40" s="40" t="s">
        <v>75</v>
      </c>
      <c r="Z40" s="40"/>
    </row>
    <row r="41" spans="1:26">
      <c r="A41">
        <v>31</v>
      </c>
      <c r="B41">
        <f t="shared" si="6"/>
        <v>0</v>
      </c>
      <c r="C41" s="28"/>
      <c r="D41" s="28"/>
      <c r="E41">
        <f t="shared" si="5"/>
        <v>0.25</v>
      </c>
      <c r="F41">
        <f t="shared" si="7"/>
        <v>-0.25</v>
      </c>
      <c r="G41">
        <f t="shared" si="8"/>
        <v>6.25E-2</v>
      </c>
      <c r="R41" s="40"/>
      <c r="S41" s="40"/>
      <c r="T41" s="40" t="s">
        <v>17</v>
      </c>
      <c r="U41" s="40"/>
      <c r="V41" s="40" t="s">
        <v>67</v>
      </c>
      <c r="W41" s="40"/>
      <c r="X41" s="40" t="s">
        <v>82</v>
      </c>
      <c r="Y41" s="40" t="s">
        <v>79</v>
      </c>
      <c r="Z41" s="40"/>
    </row>
    <row r="42" spans="1:26">
      <c r="A42">
        <v>32</v>
      </c>
      <c r="B42">
        <f t="shared" si="6"/>
        <v>0</v>
      </c>
      <c r="C42" s="28"/>
      <c r="D42" s="28"/>
      <c r="E42">
        <f t="shared" si="5"/>
        <v>0.25</v>
      </c>
      <c r="F42">
        <f t="shared" si="7"/>
        <v>-0.25</v>
      </c>
      <c r="G42">
        <f t="shared" si="8"/>
        <v>6.25E-2</v>
      </c>
      <c r="R42" s="40"/>
      <c r="S42" s="40"/>
      <c r="T42" s="40" t="s">
        <v>65</v>
      </c>
      <c r="U42" s="40"/>
      <c r="V42" s="40" t="s">
        <v>68</v>
      </c>
      <c r="W42" s="40"/>
      <c r="X42" s="40" t="s">
        <v>82</v>
      </c>
      <c r="Y42" s="40"/>
      <c r="Z42" s="40"/>
    </row>
    <row r="43" spans="1:26">
      <c r="A43">
        <v>33</v>
      </c>
      <c r="B43">
        <f t="shared" si="6"/>
        <v>0</v>
      </c>
      <c r="C43" s="28"/>
      <c r="D43" s="28"/>
      <c r="E43">
        <f t="shared" si="5"/>
        <v>0.25</v>
      </c>
      <c r="F43">
        <f t="shared" si="7"/>
        <v>-0.25</v>
      </c>
      <c r="G43">
        <f t="shared" si="8"/>
        <v>6.25E-2</v>
      </c>
    </row>
    <row r="44" spans="1:26">
      <c r="A44">
        <v>34</v>
      </c>
      <c r="B44">
        <f t="shared" si="6"/>
        <v>0</v>
      </c>
      <c r="C44" s="28"/>
      <c r="D44" s="28"/>
      <c r="E44">
        <f t="shared" si="5"/>
        <v>0.25</v>
      </c>
      <c r="F44">
        <f t="shared" si="7"/>
        <v>-0.25</v>
      </c>
      <c r="G44">
        <f t="shared" si="8"/>
        <v>6.25E-2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>
      <c r="A45">
        <v>35</v>
      </c>
      <c r="B45">
        <f t="shared" si="6"/>
        <v>0</v>
      </c>
      <c r="C45" s="28"/>
      <c r="D45" s="28"/>
      <c r="E45">
        <f t="shared" si="5"/>
        <v>0.25</v>
      </c>
      <c r="F45">
        <f t="shared" si="7"/>
        <v>-0.25</v>
      </c>
      <c r="G45">
        <f t="shared" si="8"/>
        <v>6.25E-2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>
      <c r="A46">
        <v>36</v>
      </c>
      <c r="B46">
        <f t="shared" si="6"/>
        <v>0</v>
      </c>
      <c r="C46" s="28"/>
      <c r="D46" s="28"/>
      <c r="E46">
        <f t="shared" si="5"/>
        <v>0.25</v>
      </c>
      <c r="F46">
        <f t="shared" si="7"/>
        <v>-0.25</v>
      </c>
      <c r="G46">
        <f t="shared" si="8"/>
        <v>6.25E-2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>
      <c r="A47">
        <v>37</v>
      </c>
      <c r="B47">
        <f t="shared" si="6"/>
        <v>0</v>
      </c>
      <c r="C47" s="28"/>
      <c r="D47" s="28"/>
      <c r="E47">
        <f t="shared" si="5"/>
        <v>0.25</v>
      </c>
      <c r="F47">
        <f t="shared" si="7"/>
        <v>-0.25</v>
      </c>
      <c r="G47">
        <f t="shared" si="8"/>
        <v>6.25E-2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>
      <c r="A48">
        <v>38</v>
      </c>
      <c r="B48">
        <f t="shared" si="6"/>
        <v>0</v>
      </c>
      <c r="C48" s="28"/>
      <c r="D48" s="28"/>
      <c r="E48">
        <f t="shared" si="5"/>
        <v>0.25</v>
      </c>
      <c r="F48">
        <f t="shared" si="7"/>
        <v>-0.25</v>
      </c>
      <c r="G48">
        <f t="shared" si="8"/>
        <v>6.25E-2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6"/>
        <v>0</v>
      </c>
      <c r="C49" s="28"/>
      <c r="D49" s="28"/>
      <c r="E49">
        <f t="shared" si="5"/>
        <v>0.25</v>
      </c>
      <c r="F49">
        <f t="shared" si="7"/>
        <v>-0.25</v>
      </c>
      <c r="G49">
        <f t="shared" si="8"/>
        <v>6.25E-2</v>
      </c>
    </row>
    <row r="50" spans="1:7">
      <c r="A50">
        <v>40</v>
      </c>
      <c r="B50">
        <f t="shared" si="6"/>
        <v>0</v>
      </c>
      <c r="C50" s="28"/>
      <c r="D50" s="28"/>
      <c r="E50">
        <f t="shared" si="5"/>
        <v>0.25</v>
      </c>
      <c r="F50">
        <f t="shared" si="7"/>
        <v>-0.25</v>
      </c>
      <c r="G50">
        <f t="shared" si="8"/>
        <v>6.25E-2</v>
      </c>
    </row>
    <row r="51" spans="1:7">
      <c r="A51">
        <v>41</v>
      </c>
      <c r="B51">
        <f t="shared" si="6"/>
        <v>0</v>
      </c>
      <c r="C51" s="28"/>
      <c r="D51" s="28"/>
      <c r="E51">
        <f t="shared" si="5"/>
        <v>0.25</v>
      </c>
      <c r="F51">
        <f t="shared" si="7"/>
        <v>-0.25</v>
      </c>
      <c r="G51">
        <f t="shared" si="8"/>
        <v>6.25E-2</v>
      </c>
    </row>
    <row r="52" spans="1:7">
      <c r="A52">
        <v>42</v>
      </c>
      <c r="B52">
        <f t="shared" si="6"/>
        <v>0</v>
      </c>
      <c r="C52" s="28"/>
      <c r="D52" s="28"/>
      <c r="E52">
        <f t="shared" si="5"/>
        <v>0.25</v>
      </c>
      <c r="F52">
        <f t="shared" si="7"/>
        <v>-0.25</v>
      </c>
      <c r="G52">
        <f t="shared" si="8"/>
        <v>6.25E-2</v>
      </c>
    </row>
    <row r="53" spans="1:7">
      <c r="A53">
        <v>43</v>
      </c>
      <c r="B53">
        <f t="shared" si="6"/>
        <v>0</v>
      </c>
      <c r="C53" s="28"/>
      <c r="D53" s="28"/>
      <c r="E53">
        <f t="shared" si="5"/>
        <v>0.25</v>
      </c>
      <c r="F53">
        <f t="shared" si="7"/>
        <v>-0.25</v>
      </c>
      <c r="G53">
        <f t="shared" si="8"/>
        <v>6.25E-2</v>
      </c>
    </row>
    <row r="54" spans="1:7">
      <c r="A54">
        <v>44</v>
      </c>
      <c r="B54">
        <f t="shared" si="6"/>
        <v>0</v>
      </c>
      <c r="C54" s="28"/>
      <c r="D54" s="28"/>
      <c r="E54">
        <f t="shared" si="5"/>
        <v>0.25</v>
      </c>
      <c r="F54">
        <f t="shared" si="7"/>
        <v>-0.25</v>
      </c>
      <c r="G54">
        <f t="shared" si="8"/>
        <v>6.25E-2</v>
      </c>
    </row>
    <row r="55" spans="1:7">
      <c r="A55">
        <v>45</v>
      </c>
      <c r="B55">
        <f t="shared" si="6"/>
        <v>0</v>
      </c>
      <c r="C55" s="28"/>
      <c r="D55" s="28"/>
      <c r="E55">
        <f t="shared" si="5"/>
        <v>0.25</v>
      </c>
      <c r="F55">
        <f t="shared" si="7"/>
        <v>-0.25</v>
      </c>
      <c r="G55">
        <f t="shared" si="8"/>
        <v>6.25E-2</v>
      </c>
    </row>
    <row r="56" spans="1:7">
      <c r="A56">
        <v>46</v>
      </c>
      <c r="B56">
        <f t="shared" si="6"/>
        <v>0</v>
      </c>
      <c r="C56" s="28"/>
      <c r="D56" s="28"/>
      <c r="E56">
        <f t="shared" si="5"/>
        <v>0.25</v>
      </c>
      <c r="F56">
        <f t="shared" si="7"/>
        <v>-0.25</v>
      </c>
      <c r="G56">
        <f t="shared" si="8"/>
        <v>6.25E-2</v>
      </c>
    </row>
    <row r="57" spans="1:7">
      <c r="A57">
        <v>47</v>
      </c>
      <c r="B57">
        <f t="shared" si="6"/>
        <v>0</v>
      </c>
      <c r="C57" s="28"/>
      <c r="D57" s="28"/>
      <c r="E57">
        <f t="shared" si="5"/>
        <v>0.25</v>
      </c>
      <c r="F57">
        <f t="shared" si="7"/>
        <v>-0.25</v>
      </c>
      <c r="G57">
        <f t="shared" si="8"/>
        <v>6.25E-2</v>
      </c>
    </row>
    <row r="58" spans="1:7">
      <c r="A58">
        <v>48</v>
      </c>
      <c r="B58">
        <f t="shared" si="6"/>
        <v>0</v>
      </c>
      <c r="C58" s="28"/>
      <c r="D58" s="28"/>
      <c r="E58">
        <f t="shared" si="5"/>
        <v>0.25</v>
      </c>
      <c r="F58">
        <f t="shared" si="7"/>
        <v>-0.25</v>
      </c>
      <c r="G58">
        <f t="shared" si="8"/>
        <v>6.25E-2</v>
      </c>
    </row>
    <row r="59" spans="1:7">
      <c r="A59">
        <v>49</v>
      </c>
      <c r="B59">
        <f t="shared" si="6"/>
        <v>0</v>
      </c>
      <c r="C59" s="28"/>
      <c r="D59" s="28"/>
      <c r="E59">
        <f t="shared" si="5"/>
        <v>0.25</v>
      </c>
      <c r="F59">
        <f t="shared" si="7"/>
        <v>-0.25</v>
      </c>
      <c r="G59">
        <f t="shared" si="8"/>
        <v>6.25E-2</v>
      </c>
    </row>
    <row r="60" spans="1:7">
      <c r="A60">
        <v>50</v>
      </c>
      <c r="B60">
        <f t="shared" si="6"/>
        <v>0</v>
      </c>
      <c r="C60" s="28"/>
      <c r="D60" s="28"/>
      <c r="E60">
        <f t="shared" si="5"/>
        <v>0.25</v>
      </c>
      <c r="F60">
        <f t="shared" si="7"/>
        <v>-0.25</v>
      </c>
      <c r="G60">
        <f t="shared" si="8"/>
        <v>6.25E-2</v>
      </c>
    </row>
    <row r="61" spans="1:7">
      <c r="A61">
        <v>51</v>
      </c>
      <c r="B61">
        <f t="shared" si="6"/>
        <v>0</v>
      </c>
      <c r="C61" s="28"/>
      <c r="D61" s="28"/>
      <c r="E61">
        <f t="shared" si="5"/>
        <v>0.25</v>
      </c>
      <c r="F61">
        <f t="shared" si="7"/>
        <v>-0.25</v>
      </c>
      <c r="G61">
        <f t="shared" si="8"/>
        <v>6.25E-2</v>
      </c>
    </row>
    <row r="62" spans="1:7">
      <c r="A62">
        <v>52</v>
      </c>
      <c r="B62">
        <f t="shared" si="6"/>
        <v>0</v>
      </c>
      <c r="C62" s="28"/>
      <c r="D62" s="28"/>
      <c r="E62">
        <f t="shared" si="5"/>
        <v>0.25</v>
      </c>
      <c r="F62">
        <f t="shared" si="7"/>
        <v>-0.25</v>
      </c>
      <c r="G62">
        <f t="shared" si="8"/>
        <v>6.25E-2</v>
      </c>
    </row>
    <row r="63" spans="1:7">
      <c r="A63">
        <v>53</v>
      </c>
      <c r="B63">
        <f t="shared" si="6"/>
        <v>0</v>
      </c>
      <c r="C63" s="28"/>
      <c r="D63" s="28"/>
      <c r="E63">
        <f t="shared" si="5"/>
        <v>0.25</v>
      </c>
      <c r="F63">
        <f t="shared" si="7"/>
        <v>-0.25</v>
      </c>
      <c r="G63">
        <f t="shared" si="8"/>
        <v>6.25E-2</v>
      </c>
    </row>
    <row r="64" spans="1:7">
      <c r="A64">
        <v>54</v>
      </c>
      <c r="B64">
        <f t="shared" si="6"/>
        <v>0</v>
      </c>
      <c r="C64" s="28"/>
      <c r="D64" s="28"/>
      <c r="E64">
        <f t="shared" si="5"/>
        <v>0.25</v>
      </c>
      <c r="F64">
        <f t="shared" si="7"/>
        <v>-0.25</v>
      </c>
      <c r="G64">
        <f t="shared" si="8"/>
        <v>6.25E-2</v>
      </c>
    </row>
    <row r="65" spans="1:7">
      <c r="A65">
        <v>55</v>
      </c>
      <c r="B65">
        <f t="shared" si="6"/>
        <v>0</v>
      </c>
      <c r="C65" s="28"/>
      <c r="D65" s="28"/>
      <c r="E65">
        <f t="shared" si="5"/>
        <v>0.25</v>
      </c>
      <c r="F65">
        <f t="shared" si="7"/>
        <v>-0.25</v>
      </c>
      <c r="G65">
        <f t="shared" si="8"/>
        <v>6.25E-2</v>
      </c>
    </row>
    <row r="66" spans="1:7">
      <c r="A66">
        <v>56</v>
      </c>
      <c r="B66">
        <f t="shared" si="6"/>
        <v>0</v>
      </c>
      <c r="C66" s="28"/>
      <c r="D66" s="28"/>
      <c r="E66">
        <f t="shared" si="5"/>
        <v>0.25</v>
      </c>
      <c r="F66">
        <f t="shared" si="7"/>
        <v>-0.25</v>
      </c>
      <c r="G66">
        <f t="shared" si="8"/>
        <v>6.25E-2</v>
      </c>
    </row>
    <row r="67" spans="1:7">
      <c r="A67">
        <v>57</v>
      </c>
      <c r="B67">
        <f t="shared" si="6"/>
        <v>0</v>
      </c>
      <c r="C67" s="28"/>
      <c r="D67" s="28"/>
      <c r="E67">
        <f t="shared" si="5"/>
        <v>0.25</v>
      </c>
      <c r="F67">
        <f t="shared" si="7"/>
        <v>-0.25</v>
      </c>
      <c r="G67">
        <f t="shared" si="8"/>
        <v>6.25E-2</v>
      </c>
    </row>
    <row r="68" spans="1:7">
      <c r="A68">
        <v>58</v>
      </c>
      <c r="B68">
        <f t="shared" si="6"/>
        <v>0</v>
      </c>
      <c r="C68" s="28"/>
      <c r="D68" s="28"/>
      <c r="E68">
        <f t="shared" si="5"/>
        <v>0.25</v>
      </c>
      <c r="F68">
        <f t="shared" si="7"/>
        <v>-0.25</v>
      </c>
      <c r="G68">
        <f t="shared" si="8"/>
        <v>6.25E-2</v>
      </c>
    </row>
    <row r="69" spans="1:7">
      <c r="A69">
        <v>59</v>
      </c>
      <c r="B69">
        <f t="shared" si="6"/>
        <v>0</v>
      </c>
      <c r="C69" s="28"/>
      <c r="D69" s="28"/>
      <c r="E69">
        <f t="shared" si="5"/>
        <v>0.25</v>
      </c>
      <c r="F69">
        <f t="shared" si="7"/>
        <v>-0.25</v>
      </c>
      <c r="G69">
        <f t="shared" si="8"/>
        <v>6.25E-2</v>
      </c>
    </row>
    <row r="70" spans="1:7">
      <c r="A70">
        <v>60</v>
      </c>
      <c r="B70">
        <f t="shared" si="6"/>
        <v>0</v>
      </c>
      <c r="C70" s="28"/>
      <c r="D70" s="28"/>
      <c r="E70">
        <f t="shared" si="5"/>
        <v>0.25</v>
      </c>
      <c r="F70">
        <f t="shared" si="7"/>
        <v>-0.25</v>
      </c>
      <c r="G70">
        <f t="shared" si="8"/>
        <v>6.25E-2</v>
      </c>
    </row>
    <row r="71" spans="1:7">
      <c r="A71">
        <v>61</v>
      </c>
      <c r="B71">
        <f t="shared" si="6"/>
        <v>0</v>
      </c>
      <c r="C71" s="28"/>
      <c r="D71" s="28"/>
      <c r="E71">
        <f t="shared" si="5"/>
        <v>0.25</v>
      </c>
      <c r="F71">
        <f t="shared" si="7"/>
        <v>-0.25</v>
      </c>
      <c r="G71">
        <f t="shared" si="8"/>
        <v>6.25E-2</v>
      </c>
    </row>
    <row r="72" spans="1:7">
      <c r="A72">
        <v>62</v>
      </c>
      <c r="B72">
        <f t="shared" si="6"/>
        <v>0</v>
      </c>
      <c r="C72" s="28"/>
      <c r="D72" s="28"/>
      <c r="E72">
        <f t="shared" si="5"/>
        <v>0.25</v>
      </c>
      <c r="F72">
        <f t="shared" si="7"/>
        <v>-0.25</v>
      </c>
      <c r="G72">
        <f t="shared" si="8"/>
        <v>6.25E-2</v>
      </c>
    </row>
    <row r="73" spans="1:7">
      <c r="A73">
        <v>63</v>
      </c>
      <c r="B73">
        <f t="shared" si="6"/>
        <v>0</v>
      </c>
      <c r="C73" s="28"/>
      <c r="D73" s="28"/>
      <c r="E73">
        <f t="shared" si="5"/>
        <v>0.25</v>
      </c>
      <c r="F73">
        <f t="shared" si="7"/>
        <v>-0.25</v>
      </c>
      <c r="G73">
        <f t="shared" si="8"/>
        <v>6.25E-2</v>
      </c>
    </row>
    <row r="74" spans="1:7">
      <c r="A74">
        <v>64</v>
      </c>
      <c r="B74">
        <f t="shared" si="6"/>
        <v>0</v>
      </c>
      <c r="C74" s="28"/>
      <c r="D74" s="28"/>
      <c r="E74">
        <f t="shared" si="5"/>
        <v>0.25</v>
      </c>
      <c r="F74">
        <f t="shared" si="7"/>
        <v>-0.25</v>
      </c>
      <c r="G74">
        <f t="shared" si="8"/>
        <v>6.25E-2</v>
      </c>
    </row>
    <row r="75" spans="1:7">
      <c r="A75">
        <v>65</v>
      </c>
      <c r="B75">
        <f t="shared" si="6"/>
        <v>0</v>
      </c>
      <c r="C75" s="28"/>
      <c r="D75" s="28"/>
      <c r="E75">
        <f t="shared" ref="E75:E138" si="9">BaseAdjust+(ampl1*EXP(-gamma1*C75)+ampl2*EXP(-gamma2*C75)+ampl3*EXP(-gamma3*C75))^2</f>
        <v>0.25</v>
      </c>
      <c r="F75">
        <f t="shared" si="7"/>
        <v>-0.25</v>
      </c>
      <c r="G75">
        <f t="shared" si="8"/>
        <v>6.25E-2</v>
      </c>
    </row>
    <row r="76" spans="1:7">
      <c r="A76">
        <v>66</v>
      </c>
      <c r="B76">
        <f t="shared" ref="B76:B139" si="10">C76/1000</f>
        <v>0</v>
      </c>
      <c r="C76" s="28"/>
      <c r="D76" s="28"/>
      <c r="E76">
        <f t="shared" si="9"/>
        <v>0.25</v>
      </c>
      <c r="F76">
        <f t="shared" ref="F76:F139" si="11">D76-E76</f>
        <v>-0.25</v>
      </c>
      <c r="G76">
        <f t="shared" ref="G76:G139" si="12">F76^2</f>
        <v>6.25E-2</v>
      </c>
    </row>
    <row r="77" spans="1:7">
      <c r="A77">
        <v>67</v>
      </c>
      <c r="B77">
        <f t="shared" si="10"/>
        <v>0</v>
      </c>
      <c r="C77" s="28"/>
      <c r="D77" s="28"/>
      <c r="E77">
        <f t="shared" si="9"/>
        <v>0.25</v>
      </c>
      <c r="F77">
        <f t="shared" si="11"/>
        <v>-0.25</v>
      </c>
      <c r="G77">
        <f t="shared" si="12"/>
        <v>6.25E-2</v>
      </c>
    </row>
    <row r="78" spans="1:7">
      <c r="A78">
        <v>68</v>
      </c>
      <c r="B78">
        <f t="shared" si="10"/>
        <v>0</v>
      </c>
      <c r="C78" s="28"/>
      <c r="D78" s="28"/>
      <c r="E78">
        <f t="shared" si="9"/>
        <v>0.25</v>
      </c>
      <c r="F78">
        <f t="shared" si="11"/>
        <v>-0.25</v>
      </c>
      <c r="G78">
        <f t="shared" si="12"/>
        <v>6.25E-2</v>
      </c>
    </row>
    <row r="79" spans="1:7">
      <c r="A79">
        <v>69</v>
      </c>
      <c r="B79">
        <f t="shared" si="10"/>
        <v>0</v>
      </c>
      <c r="C79" s="28"/>
      <c r="D79" s="28"/>
      <c r="E79">
        <f t="shared" si="9"/>
        <v>0.25</v>
      </c>
      <c r="F79">
        <f t="shared" si="11"/>
        <v>-0.25</v>
      </c>
      <c r="G79">
        <f t="shared" si="12"/>
        <v>6.25E-2</v>
      </c>
    </row>
    <row r="80" spans="1:7">
      <c r="A80">
        <v>70</v>
      </c>
      <c r="B80">
        <f t="shared" si="10"/>
        <v>0</v>
      </c>
      <c r="C80" s="28"/>
      <c r="D80" s="28"/>
      <c r="E80">
        <f t="shared" si="9"/>
        <v>0.25</v>
      </c>
      <c r="F80">
        <f t="shared" si="11"/>
        <v>-0.25</v>
      </c>
      <c r="G80">
        <f t="shared" si="12"/>
        <v>6.25E-2</v>
      </c>
    </row>
    <row r="81" spans="1:7">
      <c r="A81">
        <v>71</v>
      </c>
      <c r="B81">
        <f t="shared" si="10"/>
        <v>0</v>
      </c>
      <c r="C81" s="28"/>
      <c r="D81" s="28"/>
      <c r="E81">
        <f t="shared" si="9"/>
        <v>0.25</v>
      </c>
      <c r="F81">
        <f t="shared" si="11"/>
        <v>-0.25</v>
      </c>
      <c r="G81">
        <f t="shared" si="12"/>
        <v>6.25E-2</v>
      </c>
    </row>
    <row r="82" spans="1:7">
      <c r="A82">
        <v>72</v>
      </c>
      <c r="B82">
        <f t="shared" si="10"/>
        <v>0</v>
      </c>
      <c r="C82" s="28"/>
      <c r="D82" s="28"/>
      <c r="E82">
        <f t="shared" si="9"/>
        <v>0.25</v>
      </c>
      <c r="F82">
        <f t="shared" si="11"/>
        <v>-0.25</v>
      </c>
      <c r="G82">
        <f t="shared" si="12"/>
        <v>6.25E-2</v>
      </c>
    </row>
    <row r="83" spans="1:7">
      <c r="A83">
        <v>73</v>
      </c>
      <c r="B83">
        <f t="shared" si="10"/>
        <v>0</v>
      </c>
      <c r="C83" s="28"/>
      <c r="D83" s="28"/>
      <c r="E83">
        <f t="shared" si="9"/>
        <v>0.25</v>
      </c>
      <c r="F83">
        <f t="shared" si="11"/>
        <v>-0.25</v>
      </c>
      <c r="G83">
        <f t="shared" si="12"/>
        <v>6.25E-2</v>
      </c>
    </row>
    <row r="84" spans="1:7">
      <c r="A84">
        <v>74</v>
      </c>
      <c r="B84">
        <f t="shared" si="10"/>
        <v>0</v>
      </c>
      <c r="C84" s="28"/>
      <c r="D84" s="28"/>
      <c r="E84">
        <f t="shared" si="9"/>
        <v>0.25</v>
      </c>
      <c r="F84">
        <f t="shared" si="11"/>
        <v>-0.25</v>
      </c>
      <c r="G84">
        <f t="shared" si="12"/>
        <v>6.25E-2</v>
      </c>
    </row>
    <row r="85" spans="1:7">
      <c r="A85">
        <v>75</v>
      </c>
      <c r="B85">
        <f t="shared" si="10"/>
        <v>0</v>
      </c>
      <c r="C85" s="28"/>
      <c r="D85" s="28"/>
      <c r="E85">
        <f t="shared" si="9"/>
        <v>0.25</v>
      </c>
      <c r="F85">
        <f t="shared" si="11"/>
        <v>-0.25</v>
      </c>
      <c r="G85">
        <f t="shared" si="12"/>
        <v>6.25E-2</v>
      </c>
    </row>
    <row r="86" spans="1:7">
      <c r="A86">
        <v>76</v>
      </c>
      <c r="B86">
        <f t="shared" si="10"/>
        <v>0</v>
      </c>
      <c r="C86" s="28"/>
      <c r="D86" s="28"/>
      <c r="E86">
        <f t="shared" si="9"/>
        <v>0.25</v>
      </c>
      <c r="F86">
        <f t="shared" si="11"/>
        <v>-0.25</v>
      </c>
      <c r="G86">
        <f t="shared" si="12"/>
        <v>6.25E-2</v>
      </c>
    </row>
    <row r="87" spans="1:7">
      <c r="A87">
        <v>77</v>
      </c>
      <c r="B87">
        <f t="shared" si="10"/>
        <v>0</v>
      </c>
      <c r="C87" s="28"/>
      <c r="D87" s="28"/>
      <c r="E87">
        <f t="shared" si="9"/>
        <v>0.25</v>
      </c>
      <c r="F87">
        <f t="shared" si="11"/>
        <v>-0.25</v>
      </c>
      <c r="G87">
        <f t="shared" si="12"/>
        <v>6.25E-2</v>
      </c>
    </row>
    <row r="88" spans="1:7">
      <c r="A88">
        <v>78</v>
      </c>
      <c r="B88">
        <f t="shared" si="10"/>
        <v>0</v>
      </c>
      <c r="C88" s="28"/>
      <c r="D88" s="28"/>
      <c r="E88">
        <f t="shared" si="9"/>
        <v>0.25</v>
      </c>
      <c r="F88">
        <f t="shared" si="11"/>
        <v>-0.25</v>
      </c>
      <c r="G88">
        <f t="shared" si="12"/>
        <v>6.25E-2</v>
      </c>
    </row>
    <row r="89" spans="1:7">
      <c r="A89">
        <v>79</v>
      </c>
      <c r="B89">
        <f t="shared" si="10"/>
        <v>0</v>
      </c>
      <c r="C89" s="28"/>
      <c r="D89" s="28"/>
      <c r="E89">
        <f t="shared" si="9"/>
        <v>0.25</v>
      </c>
      <c r="F89">
        <f t="shared" si="11"/>
        <v>-0.25</v>
      </c>
      <c r="G89">
        <f t="shared" si="12"/>
        <v>6.25E-2</v>
      </c>
    </row>
    <row r="90" spans="1:7">
      <c r="A90">
        <v>80</v>
      </c>
      <c r="B90">
        <f t="shared" si="10"/>
        <v>0</v>
      </c>
      <c r="C90" s="28"/>
      <c r="D90" s="28"/>
      <c r="E90">
        <f t="shared" si="9"/>
        <v>0.25</v>
      </c>
      <c r="F90">
        <f t="shared" si="11"/>
        <v>-0.25</v>
      </c>
      <c r="G90">
        <f t="shared" si="12"/>
        <v>6.25E-2</v>
      </c>
    </row>
    <row r="91" spans="1:7">
      <c r="A91">
        <v>81</v>
      </c>
      <c r="B91">
        <f t="shared" si="10"/>
        <v>0</v>
      </c>
      <c r="C91" s="28"/>
      <c r="D91" s="28"/>
      <c r="E91">
        <f t="shared" si="9"/>
        <v>0.25</v>
      </c>
      <c r="F91">
        <f t="shared" si="11"/>
        <v>-0.25</v>
      </c>
      <c r="G91">
        <f t="shared" si="12"/>
        <v>6.25E-2</v>
      </c>
    </row>
    <row r="92" spans="1:7">
      <c r="A92">
        <v>82</v>
      </c>
      <c r="B92">
        <f t="shared" si="10"/>
        <v>0</v>
      </c>
      <c r="C92" s="28"/>
      <c r="D92" s="28"/>
      <c r="E92">
        <f t="shared" si="9"/>
        <v>0.25</v>
      </c>
      <c r="F92">
        <f t="shared" si="11"/>
        <v>-0.25</v>
      </c>
      <c r="G92">
        <f t="shared" si="12"/>
        <v>6.25E-2</v>
      </c>
    </row>
    <row r="93" spans="1:7">
      <c r="A93">
        <v>83</v>
      </c>
      <c r="B93">
        <f t="shared" si="10"/>
        <v>0</v>
      </c>
      <c r="C93" s="28"/>
      <c r="D93" s="28"/>
      <c r="E93">
        <f t="shared" si="9"/>
        <v>0.25</v>
      </c>
      <c r="F93">
        <f t="shared" si="11"/>
        <v>-0.25</v>
      </c>
      <c r="G93">
        <f t="shared" si="12"/>
        <v>6.25E-2</v>
      </c>
    </row>
    <row r="94" spans="1:7">
      <c r="A94">
        <v>84</v>
      </c>
      <c r="B94">
        <f t="shared" si="10"/>
        <v>0</v>
      </c>
      <c r="C94" s="28"/>
      <c r="D94" s="28"/>
      <c r="E94">
        <f t="shared" si="9"/>
        <v>0.25</v>
      </c>
      <c r="F94">
        <f t="shared" si="11"/>
        <v>-0.25</v>
      </c>
      <c r="G94">
        <f t="shared" si="12"/>
        <v>6.25E-2</v>
      </c>
    </row>
    <row r="95" spans="1:7">
      <c r="A95">
        <v>85</v>
      </c>
      <c r="B95">
        <f t="shared" si="10"/>
        <v>0</v>
      </c>
      <c r="C95" s="28"/>
      <c r="D95" s="28"/>
      <c r="E95">
        <f t="shared" si="9"/>
        <v>0.25</v>
      </c>
      <c r="F95">
        <f t="shared" si="11"/>
        <v>-0.25</v>
      </c>
      <c r="G95">
        <f t="shared" si="12"/>
        <v>6.25E-2</v>
      </c>
    </row>
    <row r="96" spans="1:7">
      <c r="A96">
        <v>86</v>
      </c>
      <c r="B96">
        <f t="shared" si="10"/>
        <v>0</v>
      </c>
      <c r="C96" s="28"/>
      <c r="D96" s="28"/>
      <c r="E96">
        <f t="shared" si="9"/>
        <v>0.25</v>
      </c>
      <c r="F96">
        <f t="shared" si="11"/>
        <v>-0.25</v>
      </c>
      <c r="G96">
        <f t="shared" si="12"/>
        <v>6.25E-2</v>
      </c>
    </row>
    <row r="97" spans="1:7">
      <c r="A97">
        <v>87</v>
      </c>
      <c r="B97">
        <f t="shared" si="10"/>
        <v>0</v>
      </c>
      <c r="C97" s="28"/>
      <c r="D97" s="28"/>
      <c r="E97">
        <f t="shared" si="9"/>
        <v>0.25</v>
      </c>
      <c r="F97">
        <f t="shared" si="11"/>
        <v>-0.25</v>
      </c>
      <c r="G97">
        <f t="shared" si="12"/>
        <v>6.25E-2</v>
      </c>
    </row>
    <row r="98" spans="1:7">
      <c r="A98">
        <v>88</v>
      </c>
      <c r="B98">
        <f t="shared" si="10"/>
        <v>0</v>
      </c>
      <c r="C98" s="28"/>
      <c r="D98" s="28"/>
      <c r="E98">
        <f t="shared" si="9"/>
        <v>0.25</v>
      </c>
      <c r="F98">
        <f t="shared" si="11"/>
        <v>-0.25</v>
      </c>
      <c r="G98">
        <f t="shared" si="12"/>
        <v>6.25E-2</v>
      </c>
    </row>
    <row r="99" spans="1:7">
      <c r="A99">
        <v>89</v>
      </c>
      <c r="B99">
        <f t="shared" si="10"/>
        <v>0</v>
      </c>
      <c r="C99" s="28"/>
      <c r="D99" s="28"/>
      <c r="E99">
        <f t="shared" si="9"/>
        <v>0.25</v>
      </c>
      <c r="F99">
        <f t="shared" si="11"/>
        <v>-0.25</v>
      </c>
      <c r="G99">
        <f t="shared" si="12"/>
        <v>6.25E-2</v>
      </c>
    </row>
    <row r="100" spans="1:7">
      <c r="A100">
        <v>90</v>
      </c>
      <c r="B100">
        <f t="shared" si="10"/>
        <v>0</v>
      </c>
      <c r="C100" s="28"/>
      <c r="D100" s="28"/>
      <c r="E100">
        <f t="shared" si="9"/>
        <v>0.25</v>
      </c>
      <c r="F100">
        <f t="shared" si="11"/>
        <v>-0.25</v>
      </c>
      <c r="G100">
        <f t="shared" si="12"/>
        <v>6.25E-2</v>
      </c>
    </row>
    <row r="101" spans="1:7">
      <c r="A101">
        <v>91</v>
      </c>
      <c r="B101">
        <f t="shared" si="10"/>
        <v>0</v>
      </c>
      <c r="C101" s="28"/>
      <c r="D101" s="28"/>
      <c r="E101">
        <f t="shared" si="9"/>
        <v>0.25</v>
      </c>
      <c r="F101">
        <f t="shared" si="11"/>
        <v>-0.25</v>
      </c>
      <c r="G101">
        <f t="shared" si="12"/>
        <v>6.25E-2</v>
      </c>
    </row>
    <row r="102" spans="1:7">
      <c r="A102">
        <v>92</v>
      </c>
      <c r="B102">
        <f t="shared" si="10"/>
        <v>0</v>
      </c>
      <c r="C102" s="28"/>
      <c r="D102" s="28"/>
      <c r="E102">
        <f t="shared" si="9"/>
        <v>0.25</v>
      </c>
      <c r="F102">
        <f t="shared" si="11"/>
        <v>-0.25</v>
      </c>
      <c r="G102">
        <f t="shared" si="12"/>
        <v>6.25E-2</v>
      </c>
    </row>
    <row r="103" spans="1:7">
      <c r="A103">
        <v>93</v>
      </c>
      <c r="B103">
        <f t="shared" si="10"/>
        <v>0</v>
      </c>
      <c r="C103" s="28"/>
      <c r="D103" s="28"/>
      <c r="E103">
        <f t="shared" si="9"/>
        <v>0.25</v>
      </c>
      <c r="F103">
        <f t="shared" si="11"/>
        <v>-0.25</v>
      </c>
      <c r="G103">
        <f t="shared" si="12"/>
        <v>6.25E-2</v>
      </c>
    </row>
    <row r="104" spans="1:7">
      <c r="A104">
        <v>94</v>
      </c>
      <c r="B104">
        <f t="shared" si="10"/>
        <v>0</v>
      </c>
      <c r="C104" s="28"/>
      <c r="D104" s="28"/>
      <c r="E104">
        <f t="shared" si="9"/>
        <v>0.25</v>
      </c>
      <c r="F104">
        <f t="shared" si="11"/>
        <v>-0.25</v>
      </c>
      <c r="G104">
        <f t="shared" si="12"/>
        <v>6.25E-2</v>
      </c>
    </row>
    <row r="105" spans="1:7">
      <c r="A105">
        <v>95</v>
      </c>
      <c r="B105">
        <f t="shared" si="10"/>
        <v>0</v>
      </c>
      <c r="C105" s="28"/>
      <c r="D105" s="28"/>
      <c r="E105">
        <f t="shared" si="9"/>
        <v>0.25</v>
      </c>
      <c r="F105">
        <f t="shared" si="11"/>
        <v>-0.25</v>
      </c>
      <c r="G105">
        <f t="shared" si="12"/>
        <v>6.25E-2</v>
      </c>
    </row>
    <row r="106" spans="1:7">
      <c r="A106">
        <v>96</v>
      </c>
      <c r="B106">
        <f t="shared" si="10"/>
        <v>0</v>
      </c>
      <c r="C106" s="28"/>
      <c r="D106" s="28"/>
      <c r="E106">
        <f t="shared" si="9"/>
        <v>0.25</v>
      </c>
      <c r="F106">
        <f t="shared" si="11"/>
        <v>-0.25</v>
      </c>
      <c r="G106">
        <f t="shared" si="12"/>
        <v>6.25E-2</v>
      </c>
    </row>
    <row r="107" spans="1:7">
      <c r="A107">
        <v>97</v>
      </c>
      <c r="B107">
        <f t="shared" si="10"/>
        <v>0</v>
      </c>
      <c r="C107" s="28"/>
      <c r="D107" s="28"/>
      <c r="E107">
        <f t="shared" si="9"/>
        <v>0.25</v>
      </c>
      <c r="F107">
        <f t="shared" si="11"/>
        <v>-0.25</v>
      </c>
      <c r="G107">
        <f t="shared" si="12"/>
        <v>6.25E-2</v>
      </c>
    </row>
    <row r="108" spans="1:7">
      <c r="A108">
        <v>98</v>
      </c>
      <c r="B108">
        <f t="shared" si="10"/>
        <v>0</v>
      </c>
      <c r="C108" s="28"/>
      <c r="D108" s="28"/>
      <c r="E108">
        <f t="shared" si="9"/>
        <v>0.25</v>
      </c>
      <c r="F108">
        <f t="shared" si="11"/>
        <v>-0.25</v>
      </c>
      <c r="G108">
        <f t="shared" si="12"/>
        <v>6.25E-2</v>
      </c>
    </row>
    <row r="109" spans="1:7">
      <c r="A109">
        <v>99</v>
      </c>
      <c r="B109">
        <f t="shared" si="10"/>
        <v>0</v>
      </c>
      <c r="C109" s="28"/>
      <c r="D109" s="28"/>
      <c r="E109">
        <f t="shared" si="9"/>
        <v>0.25</v>
      </c>
      <c r="F109">
        <f t="shared" si="11"/>
        <v>-0.25</v>
      </c>
      <c r="G109">
        <f t="shared" si="12"/>
        <v>6.25E-2</v>
      </c>
    </row>
    <row r="110" spans="1:7">
      <c r="A110">
        <v>100</v>
      </c>
      <c r="B110">
        <f t="shared" si="10"/>
        <v>0</v>
      </c>
      <c r="C110" s="28"/>
      <c r="D110" s="28"/>
      <c r="E110">
        <f t="shared" si="9"/>
        <v>0.25</v>
      </c>
      <c r="F110">
        <f t="shared" si="11"/>
        <v>-0.25</v>
      </c>
      <c r="G110">
        <f t="shared" si="12"/>
        <v>6.25E-2</v>
      </c>
    </row>
    <row r="111" spans="1:7">
      <c r="A111">
        <v>101</v>
      </c>
      <c r="B111">
        <f t="shared" si="10"/>
        <v>0</v>
      </c>
      <c r="C111" s="28"/>
      <c r="D111" s="28"/>
      <c r="E111">
        <f t="shared" si="9"/>
        <v>0.25</v>
      </c>
      <c r="F111">
        <f t="shared" si="11"/>
        <v>-0.25</v>
      </c>
      <c r="G111">
        <f t="shared" si="12"/>
        <v>6.25E-2</v>
      </c>
    </row>
    <row r="112" spans="1:7">
      <c r="A112">
        <v>102</v>
      </c>
      <c r="B112">
        <f t="shared" si="10"/>
        <v>0</v>
      </c>
      <c r="C112" s="28"/>
      <c r="D112" s="28"/>
      <c r="E112">
        <f t="shared" si="9"/>
        <v>0.25</v>
      </c>
      <c r="F112">
        <f t="shared" si="11"/>
        <v>-0.25</v>
      </c>
      <c r="G112">
        <f t="shared" si="12"/>
        <v>6.25E-2</v>
      </c>
    </row>
    <row r="113" spans="1:7">
      <c r="A113">
        <v>103</v>
      </c>
      <c r="B113">
        <f t="shared" si="10"/>
        <v>0</v>
      </c>
      <c r="C113" s="28"/>
      <c r="D113" s="28"/>
      <c r="E113">
        <f t="shared" si="9"/>
        <v>0.25</v>
      </c>
      <c r="F113">
        <f t="shared" si="11"/>
        <v>-0.25</v>
      </c>
      <c r="G113">
        <f t="shared" si="12"/>
        <v>6.25E-2</v>
      </c>
    </row>
    <row r="114" spans="1:7">
      <c r="A114">
        <v>104</v>
      </c>
      <c r="B114">
        <f t="shared" si="10"/>
        <v>0</v>
      </c>
      <c r="C114" s="28"/>
      <c r="D114" s="28"/>
      <c r="E114">
        <f t="shared" si="9"/>
        <v>0.25</v>
      </c>
      <c r="F114">
        <f t="shared" si="11"/>
        <v>-0.25</v>
      </c>
      <c r="G114">
        <f t="shared" si="12"/>
        <v>6.25E-2</v>
      </c>
    </row>
    <row r="115" spans="1:7">
      <c r="A115">
        <v>105</v>
      </c>
      <c r="B115">
        <f t="shared" si="10"/>
        <v>0</v>
      </c>
      <c r="C115" s="28"/>
      <c r="D115" s="28"/>
      <c r="E115">
        <f t="shared" si="9"/>
        <v>0.25</v>
      </c>
      <c r="F115">
        <f t="shared" si="11"/>
        <v>-0.25</v>
      </c>
      <c r="G115">
        <f t="shared" si="12"/>
        <v>6.25E-2</v>
      </c>
    </row>
    <row r="116" spans="1:7">
      <c r="A116">
        <v>106</v>
      </c>
      <c r="B116">
        <f t="shared" si="10"/>
        <v>0</v>
      </c>
      <c r="C116" s="28"/>
      <c r="D116" s="28"/>
      <c r="E116">
        <f t="shared" si="9"/>
        <v>0.25</v>
      </c>
      <c r="F116">
        <f t="shared" si="11"/>
        <v>-0.25</v>
      </c>
      <c r="G116">
        <f t="shared" si="12"/>
        <v>6.25E-2</v>
      </c>
    </row>
    <row r="117" spans="1:7">
      <c r="A117">
        <v>107</v>
      </c>
      <c r="B117">
        <f t="shared" si="10"/>
        <v>0</v>
      </c>
      <c r="C117" s="28"/>
      <c r="D117" s="28"/>
      <c r="E117">
        <f t="shared" si="9"/>
        <v>0.25</v>
      </c>
      <c r="F117">
        <f t="shared" si="11"/>
        <v>-0.25</v>
      </c>
      <c r="G117">
        <f t="shared" si="12"/>
        <v>6.25E-2</v>
      </c>
    </row>
    <row r="118" spans="1:7">
      <c r="A118">
        <v>108</v>
      </c>
      <c r="B118">
        <f t="shared" si="10"/>
        <v>0</v>
      </c>
      <c r="C118" s="28"/>
      <c r="D118" s="28"/>
      <c r="E118">
        <f t="shared" si="9"/>
        <v>0.25</v>
      </c>
      <c r="F118">
        <f t="shared" si="11"/>
        <v>-0.25</v>
      </c>
      <c r="G118">
        <f t="shared" si="12"/>
        <v>6.25E-2</v>
      </c>
    </row>
    <row r="119" spans="1:7">
      <c r="A119">
        <v>109</v>
      </c>
      <c r="B119">
        <f t="shared" si="10"/>
        <v>0</v>
      </c>
      <c r="C119" s="28"/>
      <c r="D119" s="28"/>
      <c r="E119">
        <f t="shared" si="9"/>
        <v>0.25</v>
      </c>
      <c r="F119">
        <f t="shared" si="11"/>
        <v>-0.25</v>
      </c>
      <c r="G119">
        <f t="shared" si="12"/>
        <v>6.25E-2</v>
      </c>
    </row>
    <row r="120" spans="1:7">
      <c r="A120">
        <v>110</v>
      </c>
      <c r="B120">
        <f t="shared" si="10"/>
        <v>0</v>
      </c>
      <c r="C120" s="28"/>
      <c r="D120" s="28"/>
      <c r="E120">
        <f t="shared" si="9"/>
        <v>0.25</v>
      </c>
      <c r="F120">
        <f t="shared" si="11"/>
        <v>-0.25</v>
      </c>
      <c r="G120">
        <f t="shared" si="12"/>
        <v>6.25E-2</v>
      </c>
    </row>
    <row r="121" spans="1:7">
      <c r="A121">
        <v>111</v>
      </c>
      <c r="B121">
        <f t="shared" si="10"/>
        <v>0</v>
      </c>
      <c r="C121" s="28"/>
      <c r="D121" s="28"/>
      <c r="E121">
        <f t="shared" si="9"/>
        <v>0.25</v>
      </c>
      <c r="F121">
        <f t="shared" si="11"/>
        <v>-0.25</v>
      </c>
      <c r="G121">
        <f t="shared" si="12"/>
        <v>6.25E-2</v>
      </c>
    </row>
    <row r="122" spans="1:7">
      <c r="A122">
        <v>112</v>
      </c>
      <c r="B122">
        <f t="shared" si="10"/>
        <v>0</v>
      </c>
      <c r="C122" s="28"/>
      <c r="D122" s="28"/>
      <c r="E122">
        <f t="shared" si="9"/>
        <v>0.25</v>
      </c>
      <c r="F122">
        <f t="shared" si="11"/>
        <v>-0.25</v>
      </c>
      <c r="G122">
        <f t="shared" si="12"/>
        <v>6.25E-2</v>
      </c>
    </row>
    <row r="123" spans="1:7">
      <c r="A123">
        <v>113</v>
      </c>
      <c r="B123">
        <f t="shared" si="10"/>
        <v>0</v>
      </c>
      <c r="C123" s="28"/>
      <c r="D123" s="28"/>
      <c r="E123">
        <f t="shared" si="9"/>
        <v>0.25</v>
      </c>
      <c r="F123">
        <f t="shared" si="11"/>
        <v>-0.25</v>
      </c>
      <c r="G123">
        <f t="shared" si="12"/>
        <v>6.25E-2</v>
      </c>
    </row>
    <row r="124" spans="1:7">
      <c r="A124">
        <v>114</v>
      </c>
      <c r="B124">
        <f t="shared" si="10"/>
        <v>0</v>
      </c>
      <c r="C124" s="28"/>
      <c r="D124" s="28"/>
      <c r="E124">
        <f t="shared" si="9"/>
        <v>0.25</v>
      </c>
      <c r="F124">
        <f t="shared" si="11"/>
        <v>-0.25</v>
      </c>
      <c r="G124">
        <f t="shared" si="12"/>
        <v>6.25E-2</v>
      </c>
    </row>
    <row r="125" spans="1:7">
      <c r="A125">
        <v>115</v>
      </c>
      <c r="B125">
        <f t="shared" si="10"/>
        <v>0</v>
      </c>
      <c r="C125" s="28"/>
      <c r="D125" s="28"/>
      <c r="E125">
        <f t="shared" si="9"/>
        <v>0.25</v>
      </c>
      <c r="F125">
        <f t="shared" si="11"/>
        <v>-0.25</v>
      </c>
      <c r="G125">
        <f t="shared" si="12"/>
        <v>6.25E-2</v>
      </c>
    </row>
    <row r="126" spans="1:7">
      <c r="A126">
        <v>116</v>
      </c>
      <c r="B126">
        <f t="shared" si="10"/>
        <v>0</v>
      </c>
      <c r="C126" s="28"/>
      <c r="D126" s="28"/>
      <c r="E126">
        <f t="shared" si="9"/>
        <v>0.25</v>
      </c>
      <c r="F126">
        <f t="shared" si="11"/>
        <v>-0.25</v>
      </c>
      <c r="G126">
        <f t="shared" si="12"/>
        <v>6.25E-2</v>
      </c>
    </row>
    <row r="127" spans="1:7">
      <c r="A127">
        <v>117</v>
      </c>
      <c r="B127">
        <f t="shared" si="10"/>
        <v>0</v>
      </c>
      <c r="C127" s="28"/>
      <c r="D127" s="28"/>
      <c r="E127">
        <f t="shared" si="9"/>
        <v>0.25</v>
      </c>
      <c r="F127">
        <f t="shared" si="11"/>
        <v>-0.25</v>
      </c>
      <c r="G127">
        <f t="shared" si="12"/>
        <v>6.25E-2</v>
      </c>
    </row>
    <row r="128" spans="1:7">
      <c r="A128">
        <v>118</v>
      </c>
      <c r="B128">
        <f t="shared" si="10"/>
        <v>0</v>
      </c>
      <c r="C128" s="28"/>
      <c r="D128" s="28"/>
      <c r="E128">
        <f t="shared" si="9"/>
        <v>0.25</v>
      </c>
      <c r="F128">
        <f t="shared" si="11"/>
        <v>-0.25</v>
      </c>
      <c r="G128">
        <f t="shared" si="12"/>
        <v>6.25E-2</v>
      </c>
    </row>
    <row r="129" spans="1:7">
      <c r="A129">
        <v>119</v>
      </c>
      <c r="B129">
        <f t="shared" si="10"/>
        <v>0</v>
      </c>
      <c r="C129" s="28"/>
      <c r="D129" s="28"/>
      <c r="E129">
        <f t="shared" si="9"/>
        <v>0.25</v>
      </c>
      <c r="F129">
        <f t="shared" si="11"/>
        <v>-0.25</v>
      </c>
      <c r="G129">
        <f t="shared" si="12"/>
        <v>6.25E-2</v>
      </c>
    </row>
    <row r="130" spans="1:7">
      <c r="A130">
        <v>120</v>
      </c>
      <c r="B130">
        <f t="shared" si="10"/>
        <v>0</v>
      </c>
      <c r="C130" s="28"/>
      <c r="D130" s="28"/>
      <c r="E130">
        <f t="shared" si="9"/>
        <v>0.25</v>
      </c>
      <c r="F130">
        <f t="shared" si="11"/>
        <v>-0.25</v>
      </c>
      <c r="G130">
        <f t="shared" si="12"/>
        <v>6.25E-2</v>
      </c>
    </row>
    <row r="131" spans="1:7">
      <c r="A131">
        <v>121</v>
      </c>
      <c r="B131">
        <f t="shared" si="10"/>
        <v>0</v>
      </c>
      <c r="C131" s="28"/>
      <c r="D131" s="28"/>
      <c r="E131">
        <f t="shared" si="9"/>
        <v>0.25</v>
      </c>
      <c r="F131">
        <f t="shared" si="11"/>
        <v>-0.25</v>
      </c>
      <c r="G131">
        <f t="shared" si="12"/>
        <v>6.25E-2</v>
      </c>
    </row>
    <row r="132" spans="1:7">
      <c r="A132">
        <v>122</v>
      </c>
      <c r="B132">
        <f t="shared" si="10"/>
        <v>0</v>
      </c>
      <c r="C132" s="28"/>
      <c r="D132" s="28"/>
      <c r="E132">
        <f t="shared" si="9"/>
        <v>0.25</v>
      </c>
      <c r="F132">
        <f t="shared" si="11"/>
        <v>-0.25</v>
      </c>
      <c r="G132">
        <f t="shared" si="12"/>
        <v>6.25E-2</v>
      </c>
    </row>
    <row r="133" spans="1:7">
      <c r="A133">
        <v>123</v>
      </c>
      <c r="B133">
        <f t="shared" si="10"/>
        <v>0</v>
      </c>
      <c r="C133" s="28"/>
      <c r="D133" s="28"/>
      <c r="E133">
        <f t="shared" si="9"/>
        <v>0.25</v>
      </c>
      <c r="F133">
        <f t="shared" si="11"/>
        <v>-0.25</v>
      </c>
      <c r="G133">
        <f t="shared" si="12"/>
        <v>6.25E-2</v>
      </c>
    </row>
    <row r="134" spans="1:7">
      <c r="A134">
        <v>124</v>
      </c>
      <c r="B134">
        <f t="shared" si="10"/>
        <v>0</v>
      </c>
      <c r="C134" s="28"/>
      <c r="D134" s="28"/>
      <c r="E134">
        <f t="shared" si="9"/>
        <v>0.25</v>
      </c>
      <c r="F134">
        <f t="shared" si="11"/>
        <v>-0.25</v>
      </c>
      <c r="G134">
        <f t="shared" si="12"/>
        <v>6.25E-2</v>
      </c>
    </row>
    <row r="135" spans="1:7">
      <c r="A135">
        <v>125</v>
      </c>
      <c r="B135">
        <f t="shared" si="10"/>
        <v>0</v>
      </c>
      <c r="C135" s="28"/>
      <c r="D135" s="28"/>
      <c r="E135">
        <f t="shared" si="9"/>
        <v>0.25</v>
      </c>
      <c r="F135">
        <f t="shared" si="11"/>
        <v>-0.25</v>
      </c>
      <c r="G135">
        <f t="shared" si="12"/>
        <v>6.25E-2</v>
      </c>
    </row>
    <row r="136" spans="1:7">
      <c r="A136">
        <v>126</v>
      </c>
      <c r="B136">
        <f t="shared" si="10"/>
        <v>0</v>
      </c>
      <c r="C136" s="28"/>
      <c r="D136" s="28"/>
      <c r="E136">
        <f t="shared" si="9"/>
        <v>0.25</v>
      </c>
      <c r="F136">
        <f t="shared" si="11"/>
        <v>-0.25</v>
      </c>
      <c r="G136">
        <f t="shared" si="12"/>
        <v>6.25E-2</v>
      </c>
    </row>
    <row r="137" spans="1:7">
      <c r="A137">
        <v>127</v>
      </c>
      <c r="B137">
        <f t="shared" si="10"/>
        <v>0</v>
      </c>
      <c r="C137" s="28"/>
      <c r="D137" s="28"/>
      <c r="E137">
        <f t="shared" si="9"/>
        <v>0.25</v>
      </c>
      <c r="F137">
        <f t="shared" si="11"/>
        <v>-0.25</v>
      </c>
      <c r="G137">
        <f t="shared" si="12"/>
        <v>6.25E-2</v>
      </c>
    </row>
    <row r="138" spans="1:7">
      <c r="A138">
        <v>128</v>
      </c>
      <c r="B138">
        <f t="shared" si="10"/>
        <v>0</v>
      </c>
      <c r="C138" s="28"/>
      <c r="D138" s="28"/>
      <c r="E138">
        <f t="shared" si="9"/>
        <v>0.25</v>
      </c>
      <c r="F138">
        <f t="shared" si="11"/>
        <v>-0.25</v>
      </c>
      <c r="G138">
        <f t="shared" si="12"/>
        <v>6.25E-2</v>
      </c>
    </row>
    <row r="139" spans="1:7">
      <c r="A139">
        <v>129</v>
      </c>
      <c r="B139">
        <f t="shared" si="10"/>
        <v>0</v>
      </c>
      <c r="C139" s="28"/>
      <c r="D139" s="28"/>
      <c r="E139">
        <f t="shared" ref="E139:E202" si="13">BaseAdjust+(ampl1*EXP(-gamma1*C139)+ampl2*EXP(-gamma2*C139)+ampl3*EXP(-gamma3*C139))^2</f>
        <v>0.25</v>
      </c>
      <c r="F139">
        <f t="shared" si="11"/>
        <v>-0.25</v>
      </c>
      <c r="G139">
        <f t="shared" si="12"/>
        <v>6.25E-2</v>
      </c>
    </row>
    <row r="140" spans="1:7">
      <c r="A140">
        <v>130</v>
      </c>
      <c r="B140">
        <f t="shared" ref="B140:B203" si="14">C140/1000</f>
        <v>0</v>
      </c>
      <c r="C140" s="28"/>
      <c r="D140" s="28"/>
      <c r="E140">
        <f t="shared" si="13"/>
        <v>0.25</v>
      </c>
      <c r="F140">
        <f t="shared" ref="F140:F203" si="15">D140-E140</f>
        <v>-0.25</v>
      </c>
      <c r="G140">
        <f t="shared" ref="G140:G203" si="16">F140^2</f>
        <v>6.25E-2</v>
      </c>
    </row>
    <row r="141" spans="1:7">
      <c r="A141">
        <v>131</v>
      </c>
      <c r="B141">
        <f t="shared" si="14"/>
        <v>0</v>
      </c>
      <c r="C141" s="28"/>
      <c r="D141" s="28"/>
      <c r="E141">
        <f t="shared" si="13"/>
        <v>0.25</v>
      </c>
      <c r="F141">
        <f t="shared" si="15"/>
        <v>-0.25</v>
      </c>
      <c r="G141">
        <f t="shared" si="16"/>
        <v>6.25E-2</v>
      </c>
    </row>
    <row r="142" spans="1:7">
      <c r="A142">
        <v>132</v>
      </c>
      <c r="B142">
        <f t="shared" si="14"/>
        <v>0</v>
      </c>
      <c r="C142" s="28"/>
      <c r="D142" s="28"/>
      <c r="E142">
        <f t="shared" si="13"/>
        <v>0.25</v>
      </c>
      <c r="F142">
        <f t="shared" si="15"/>
        <v>-0.25</v>
      </c>
      <c r="G142">
        <f t="shared" si="16"/>
        <v>6.25E-2</v>
      </c>
    </row>
    <row r="143" spans="1:7">
      <c r="A143">
        <v>133</v>
      </c>
      <c r="B143">
        <f t="shared" si="14"/>
        <v>0</v>
      </c>
      <c r="C143" s="28"/>
      <c r="D143" s="28"/>
      <c r="E143">
        <f t="shared" si="13"/>
        <v>0.25</v>
      </c>
      <c r="F143">
        <f t="shared" si="15"/>
        <v>-0.25</v>
      </c>
      <c r="G143">
        <f t="shared" si="16"/>
        <v>6.25E-2</v>
      </c>
    </row>
    <row r="144" spans="1:7">
      <c r="A144">
        <v>134</v>
      </c>
      <c r="B144">
        <f t="shared" si="14"/>
        <v>0</v>
      </c>
      <c r="C144" s="28"/>
      <c r="D144" s="28"/>
      <c r="E144">
        <f t="shared" si="13"/>
        <v>0.25</v>
      </c>
      <c r="F144">
        <f t="shared" si="15"/>
        <v>-0.25</v>
      </c>
      <c r="G144">
        <f t="shared" si="16"/>
        <v>6.25E-2</v>
      </c>
    </row>
    <row r="145" spans="1:7">
      <c r="A145">
        <v>135</v>
      </c>
      <c r="B145">
        <f t="shared" si="14"/>
        <v>0</v>
      </c>
      <c r="C145" s="28"/>
      <c r="D145" s="28"/>
      <c r="E145">
        <f t="shared" si="13"/>
        <v>0.25</v>
      </c>
      <c r="F145">
        <f t="shared" si="15"/>
        <v>-0.25</v>
      </c>
      <c r="G145">
        <f t="shared" si="16"/>
        <v>6.25E-2</v>
      </c>
    </row>
    <row r="146" spans="1:7">
      <c r="A146">
        <v>136</v>
      </c>
      <c r="B146">
        <f t="shared" si="14"/>
        <v>0</v>
      </c>
      <c r="C146" s="28"/>
      <c r="D146" s="28"/>
      <c r="E146">
        <f t="shared" si="13"/>
        <v>0.25</v>
      </c>
      <c r="F146">
        <f t="shared" si="15"/>
        <v>-0.25</v>
      </c>
      <c r="G146">
        <f t="shared" si="16"/>
        <v>6.25E-2</v>
      </c>
    </row>
    <row r="147" spans="1:7">
      <c r="A147">
        <v>137</v>
      </c>
      <c r="B147">
        <f t="shared" si="14"/>
        <v>0</v>
      </c>
      <c r="C147" s="28"/>
      <c r="D147" s="28"/>
      <c r="E147">
        <f t="shared" si="13"/>
        <v>0.25</v>
      </c>
      <c r="F147">
        <f t="shared" si="15"/>
        <v>-0.25</v>
      </c>
      <c r="G147">
        <f t="shared" si="16"/>
        <v>6.25E-2</v>
      </c>
    </row>
    <row r="148" spans="1:7">
      <c r="A148">
        <v>138</v>
      </c>
      <c r="B148">
        <f t="shared" si="14"/>
        <v>0</v>
      </c>
      <c r="C148" s="28"/>
      <c r="D148" s="28"/>
      <c r="E148">
        <f t="shared" si="13"/>
        <v>0.25</v>
      </c>
      <c r="F148">
        <f t="shared" si="15"/>
        <v>-0.25</v>
      </c>
      <c r="G148">
        <f t="shared" si="16"/>
        <v>6.25E-2</v>
      </c>
    </row>
    <row r="149" spans="1:7">
      <c r="A149">
        <v>139</v>
      </c>
      <c r="B149">
        <f t="shared" si="14"/>
        <v>0</v>
      </c>
      <c r="C149" s="28"/>
      <c r="D149" s="28"/>
      <c r="E149">
        <f t="shared" si="13"/>
        <v>0.25</v>
      </c>
      <c r="F149">
        <f t="shared" si="15"/>
        <v>-0.25</v>
      </c>
      <c r="G149">
        <f t="shared" si="16"/>
        <v>6.25E-2</v>
      </c>
    </row>
    <row r="150" spans="1:7">
      <c r="A150">
        <v>140</v>
      </c>
      <c r="B150">
        <f t="shared" si="14"/>
        <v>0</v>
      </c>
      <c r="C150" s="28"/>
      <c r="D150" s="28"/>
      <c r="E150">
        <f t="shared" si="13"/>
        <v>0.25</v>
      </c>
      <c r="F150">
        <f t="shared" si="15"/>
        <v>-0.25</v>
      </c>
      <c r="G150">
        <f t="shared" si="16"/>
        <v>6.25E-2</v>
      </c>
    </row>
    <row r="151" spans="1:7">
      <c r="A151">
        <v>141</v>
      </c>
      <c r="B151">
        <f t="shared" si="14"/>
        <v>0</v>
      </c>
      <c r="C151" s="28"/>
      <c r="D151" s="28"/>
      <c r="E151">
        <f t="shared" si="13"/>
        <v>0.25</v>
      </c>
      <c r="F151">
        <f t="shared" si="15"/>
        <v>-0.25</v>
      </c>
      <c r="G151">
        <f t="shared" si="16"/>
        <v>6.25E-2</v>
      </c>
    </row>
    <row r="152" spans="1:7">
      <c r="A152">
        <v>142</v>
      </c>
      <c r="B152">
        <f t="shared" si="14"/>
        <v>0</v>
      </c>
      <c r="C152" s="28"/>
      <c r="D152" s="28"/>
      <c r="E152">
        <f t="shared" si="13"/>
        <v>0.25</v>
      </c>
      <c r="F152">
        <f t="shared" si="15"/>
        <v>-0.25</v>
      </c>
      <c r="G152">
        <f t="shared" si="16"/>
        <v>6.25E-2</v>
      </c>
    </row>
    <row r="153" spans="1:7">
      <c r="A153">
        <v>143</v>
      </c>
      <c r="B153">
        <f t="shared" si="14"/>
        <v>0</v>
      </c>
      <c r="C153" s="28"/>
      <c r="D153" s="28"/>
      <c r="E153">
        <f t="shared" si="13"/>
        <v>0.25</v>
      </c>
      <c r="F153">
        <f t="shared" si="15"/>
        <v>-0.25</v>
      </c>
      <c r="G153">
        <f t="shared" si="16"/>
        <v>6.25E-2</v>
      </c>
    </row>
    <row r="154" spans="1:7">
      <c r="A154">
        <v>144</v>
      </c>
      <c r="B154">
        <f t="shared" si="14"/>
        <v>0</v>
      </c>
      <c r="C154" s="28"/>
      <c r="D154" s="28"/>
      <c r="E154">
        <f t="shared" si="13"/>
        <v>0.25</v>
      </c>
      <c r="F154">
        <f t="shared" si="15"/>
        <v>-0.25</v>
      </c>
      <c r="G154">
        <f t="shared" si="16"/>
        <v>6.25E-2</v>
      </c>
    </row>
    <row r="155" spans="1:7">
      <c r="A155">
        <v>145</v>
      </c>
      <c r="B155">
        <f t="shared" si="14"/>
        <v>0</v>
      </c>
      <c r="C155" s="28"/>
      <c r="D155" s="28"/>
      <c r="E155">
        <f t="shared" si="13"/>
        <v>0.25</v>
      </c>
      <c r="F155">
        <f t="shared" si="15"/>
        <v>-0.25</v>
      </c>
      <c r="G155">
        <f t="shared" si="16"/>
        <v>6.25E-2</v>
      </c>
    </row>
    <row r="156" spans="1:7">
      <c r="A156">
        <v>146</v>
      </c>
      <c r="B156">
        <f t="shared" si="14"/>
        <v>0</v>
      </c>
      <c r="C156" s="28"/>
      <c r="D156" s="28"/>
      <c r="E156">
        <f t="shared" si="13"/>
        <v>0.25</v>
      </c>
      <c r="F156">
        <f t="shared" si="15"/>
        <v>-0.25</v>
      </c>
      <c r="G156">
        <f t="shared" si="16"/>
        <v>6.25E-2</v>
      </c>
    </row>
    <row r="157" spans="1:7">
      <c r="A157">
        <v>147</v>
      </c>
      <c r="B157">
        <f t="shared" si="14"/>
        <v>0</v>
      </c>
      <c r="C157" s="28"/>
      <c r="D157" s="28"/>
      <c r="E157">
        <f t="shared" si="13"/>
        <v>0.25</v>
      </c>
      <c r="F157">
        <f t="shared" si="15"/>
        <v>-0.25</v>
      </c>
      <c r="G157">
        <f t="shared" si="16"/>
        <v>6.25E-2</v>
      </c>
    </row>
    <row r="158" spans="1:7">
      <c r="A158">
        <v>148</v>
      </c>
      <c r="B158">
        <f t="shared" si="14"/>
        <v>0</v>
      </c>
      <c r="C158" s="28"/>
      <c r="D158" s="28"/>
      <c r="E158">
        <f t="shared" si="13"/>
        <v>0.25</v>
      </c>
      <c r="F158">
        <f t="shared" si="15"/>
        <v>-0.25</v>
      </c>
      <c r="G158">
        <f t="shared" si="16"/>
        <v>6.25E-2</v>
      </c>
    </row>
    <row r="159" spans="1:7">
      <c r="A159">
        <v>149</v>
      </c>
      <c r="B159">
        <f t="shared" si="14"/>
        <v>0</v>
      </c>
      <c r="C159" s="28"/>
      <c r="D159" s="28"/>
      <c r="E159">
        <f t="shared" si="13"/>
        <v>0.25</v>
      </c>
      <c r="F159">
        <f t="shared" si="15"/>
        <v>-0.25</v>
      </c>
      <c r="G159">
        <f t="shared" si="16"/>
        <v>6.25E-2</v>
      </c>
    </row>
    <row r="160" spans="1:7">
      <c r="A160">
        <v>150</v>
      </c>
      <c r="B160">
        <f t="shared" si="14"/>
        <v>0</v>
      </c>
      <c r="C160" s="28"/>
      <c r="D160" s="28"/>
      <c r="E160">
        <f t="shared" si="13"/>
        <v>0.25</v>
      </c>
      <c r="F160">
        <f t="shared" si="15"/>
        <v>-0.25</v>
      </c>
      <c r="G160">
        <f t="shared" si="16"/>
        <v>6.25E-2</v>
      </c>
    </row>
    <row r="161" spans="1:7">
      <c r="A161">
        <v>151</v>
      </c>
      <c r="B161">
        <f t="shared" si="14"/>
        <v>0</v>
      </c>
      <c r="C161" s="28"/>
      <c r="D161" s="28"/>
      <c r="E161">
        <f t="shared" si="13"/>
        <v>0.25</v>
      </c>
      <c r="F161">
        <f t="shared" si="15"/>
        <v>-0.25</v>
      </c>
      <c r="G161">
        <f t="shared" si="16"/>
        <v>6.25E-2</v>
      </c>
    </row>
    <row r="162" spans="1:7">
      <c r="A162">
        <v>152</v>
      </c>
      <c r="B162">
        <f t="shared" si="14"/>
        <v>0</v>
      </c>
      <c r="C162" s="28"/>
      <c r="D162" s="28"/>
      <c r="E162">
        <f t="shared" si="13"/>
        <v>0.25</v>
      </c>
      <c r="F162">
        <f t="shared" si="15"/>
        <v>-0.25</v>
      </c>
      <c r="G162">
        <f t="shared" si="16"/>
        <v>6.25E-2</v>
      </c>
    </row>
    <row r="163" spans="1:7">
      <c r="A163">
        <v>153</v>
      </c>
      <c r="B163">
        <f t="shared" si="14"/>
        <v>0</v>
      </c>
      <c r="C163" s="28"/>
      <c r="D163" s="28"/>
      <c r="E163">
        <f t="shared" si="13"/>
        <v>0.25</v>
      </c>
      <c r="F163">
        <f t="shared" si="15"/>
        <v>-0.25</v>
      </c>
      <c r="G163">
        <f t="shared" si="16"/>
        <v>6.25E-2</v>
      </c>
    </row>
    <row r="164" spans="1:7">
      <c r="A164">
        <v>154</v>
      </c>
      <c r="B164">
        <f t="shared" si="14"/>
        <v>0</v>
      </c>
      <c r="C164" s="28"/>
      <c r="D164" s="28"/>
      <c r="E164">
        <f t="shared" si="13"/>
        <v>0.25</v>
      </c>
      <c r="F164">
        <f t="shared" si="15"/>
        <v>-0.25</v>
      </c>
      <c r="G164">
        <f t="shared" si="16"/>
        <v>6.25E-2</v>
      </c>
    </row>
    <row r="165" spans="1:7">
      <c r="A165">
        <v>155</v>
      </c>
      <c r="B165">
        <f t="shared" si="14"/>
        <v>0</v>
      </c>
      <c r="C165" s="28"/>
      <c r="D165" s="28"/>
      <c r="E165">
        <f t="shared" si="13"/>
        <v>0.25</v>
      </c>
      <c r="F165">
        <f t="shared" si="15"/>
        <v>-0.25</v>
      </c>
      <c r="G165">
        <f t="shared" si="16"/>
        <v>6.25E-2</v>
      </c>
    </row>
    <row r="166" spans="1:7">
      <c r="A166">
        <v>156</v>
      </c>
      <c r="B166">
        <f t="shared" si="14"/>
        <v>0</v>
      </c>
      <c r="C166" s="28"/>
      <c r="D166" s="28"/>
      <c r="E166">
        <f t="shared" si="13"/>
        <v>0.25</v>
      </c>
      <c r="F166">
        <f t="shared" si="15"/>
        <v>-0.25</v>
      </c>
      <c r="G166">
        <f t="shared" si="16"/>
        <v>6.25E-2</v>
      </c>
    </row>
    <row r="167" spans="1:7">
      <c r="A167">
        <v>157</v>
      </c>
      <c r="B167">
        <f t="shared" si="14"/>
        <v>0</v>
      </c>
      <c r="C167" s="28"/>
      <c r="D167" s="28"/>
      <c r="E167">
        <f t="shared" si="13"/>
        <v>0.25</v>
      </c>
      <c r="F167">
        <f t="shared" si="15"/>
        <v>-0.25</v>
      </c>
      <c r="G167">
        <f t="shared" si="16"/>
        <v>6.25E-2</v>
      </c>
    </row>
    <row r="168" spans="1:7">
      <c r="A168">
        <v>158</v>
      </c>
      <c r="B168">
        <f t="shared" si="14"/>
        <v>0</v>
      </c>
      <c r="C168" s="28"/>
      <c r="D168" s="28"/>
      <c r="E168">
        <f t="shared" si="13"/>
        <v>0.25</v>
      </c>
      <c r="F168">
        <f t="shared" si="15"/>
        <v>-0.25</v>
      </c>
      <c r="G168">
        <f t="shared" si="16"/>
        <v>6.25E-2</v>
      </c>
    </row>
    <row r="169" spans="1:7">
      <c r="A169">
        <v>159</v>
      </c>
      <c r="B169">
        <f t="shared" si="14"/>
        <v>0</v>
      </c>
      <c r="C169" s="28"/>
      <c r="D169" s="28"/>
      <c r="E169">
        <f t="shared" si="13"/>
        <v>0.25</v>
      </c>
      <c r="F169">
        <f t="shared" si="15"/>
        <v>-0.25</v>
      </c>
      <c r="G169">
        <f t="shared" si="16"/>
        <v>6.25E-2</v>
      </c>
    </row>
    <row r="170" spans="1:7">
      <c r="A170">
        <v>160</v>
      </c>
      <c r="B170">
        <f t="shared" si="14"/>
        <v>0</v>
      </c>
      <c r="C170" s="28"/>
      <c r="D170" s="28"/>
      <c r="E170">
        <f t="shared" si="13"/>
        <v>0.25</v>
      </c>
      <c r="F170">
        <f t="shared" si="15"/>
        <v>-0.25</v>
      </c>
      <c r="G170">
        <f t="shared" si="16"/>
        <v>6.25E-2</v>
      </c>
    </row>
    <row r="171" spans="1:7">
      <c r="A171">
        <v>161</v>
      </c>
      <c r="B171">
        <f t="shared" si="14"/>
        <v>0</v>
      </c>
      <c r="C171" s="28"/>
      <c r="D171" s="28"/>
      <c r="E171">
        <f t="shared" si="13"/>
        <v>0.25</v>
      </c>
      <c r="F171">
        <f t="shared" si="15"/>
        <v>-0.25</v>
      </c>
      <c r="G171">
        <f t="shared" si="16"/>
        <v>6.25E-2</v>
      </c>
    </row>
    <row r="172" spans="1:7">
      <c r="A172">
        <v>162</v>
      </c>
      <c r="B172">
        <f t="shared" si="14"/>
        <v>0</v>
      </c>
      <c r="C172" s="28"/>
      <c r="D172" s="28"/>
      <c r="E172">
        <f t="shared" si="13"/>
        <v>0.25</v>
      </c>
      <c r="F172">
        <f t="shared" si="15"/>
        <v>-0.25</v>
      </c>
      <c r="G172">
        <f t="shared" si="16"/>
        <v>6.25E-2</v>
      </c>
    </row>
    <row r="173" spans="1:7">
      <c r="A173">
        <v>163</v>
      </c>
      <c r="B173">
        <f t="shared" si="14"/>
        <v>0</v>
      </c>
      <c r="C173" s="28"/>
      <c r="D173" s="28"/>
      <c r="E173">
        <f t="shared" si="13"/>
        <v>0.25</v>
      </c>
      <c r="F173">
        <f t="shared" si="15"/>
        <v>-0.25</v>
      </c>
      <c r="G173">
        <f t="shared" si="16"/>
        <v>6.25E-2</v>
      </c>
    </row>
    <row r="174" spans="1:7">
      <c r="A174">
        <v>164</v>
      </c>
      <c r="B174">
        <f t="shared" si="14"/>
        <v>0</v>
      </c>
      <c r="C174" s="28"/>
      <c r="D174" s="28"/>
      <c r="E174">
        <f t="shared" si="13"/>
        <v>0.25</v>
      </c>
      <c r="F174">
        <f t="shared" si="15"/>
        <v>-0.25</v>
      </c>
      <c r="G174">
        <f t="shared" si="16"/>
        <v>6.25E-2</v>
      </c>
    </row>
    <row r="175" spans="1:7">
      <c r="A175">
        <v>165</v>
      </c>
      <c r="B175">
        <f t="shared" si="14"/>
        <v>0</v>
      </c>
      <c r="C175" s="28"/>
      <c r="D175" s="28"/>
      <c r="E175">
        <f t="shared" si="13"/>
        <v>0.25</v>
      </c>
      <c r="F175">
        <f t="shared" si="15"/>
        <v>-0.25</v>
      </c>
      <c r="G175">
        <f t="shared" si="16"/>
        <v>6.25E-2</v>
      </c>
    </row>
    <row r="176" spans="1:7">
      <c r="A176">
        <v>166</v>
      </c>
      <c r="B176">
        <f t="shared" si="14"/>
        <v>0</v>
      </c>
      <c r="C176" s="28"/>
      <c r="D176" s="28"/>
      <c r="E176">
        <f t="shared" si="13"/>
        <v>0.25</v>
      </c>
      <c r="F176">
        <f t="shared" si="15"/>
        <v>-0.25</v>
      </c>
      <c r="G176">
        <f t="shared" si="16"/>
        <v>6.25E-2</v>
      </c>
    </row>
    <row r="177" spans="1:7">
      <c r="A177">
        <v>167</v>
      </c>
      <c r="B177">
        <f t="shared" si="14"/>
        <v>0</v>
      </c>
      <c r="C177" s="28"/>
      <c r="D177" s="28"/>
      <c r="E177">
        <f t="shared" si="13"/>
        <v>0.25</v>
      </c>
      <c r="F177">
        <f t="shared" si="15"/>
        <v>-0.25</v>
      </c>
      <c r="G177">
        <f t="shared" si="16"/>
        <v>6.25E-2</v>
      </c>
    </row>
    <row r="178" spans="1:7">
      <c r="A178">
        <v>168</v>
      </c>
      <c r="B178">
        <f t="shared" si="14"/>
        <v>0</v>
      </c>
      <c r="C178" s="28"/>
      <c r="D178" s="28"/>
      <c r="E178">
        <f t="shared" si="13"/>
        <v>0.25</v>
      </c>
      <c r="F178">
        <f t="shared" si="15"/>
        <v>-0.25</v>
      </c>
      <c r="G178">
        <f t="shared" si="16"/>
        <v>6.25E-2</v>
      </c>
    </row>
    <row r="179" spans="1:7">
      <c r="A179">
        <v>169</v>
      </c>
      <c r="B179">
        <f t="shared" si="14"/>
        <v>0</v>
      </c>
      <c r="C179" s="28"/>
      <c r="D179" s="28"/>
      <c r="E179">
        <f t="shared" si="13"/>
        <v>0.25</v>
      </c>
      <c r="F179">
        <f t="shared" si="15"/>
        <v>-0.25</v>
      </c>
      <c r="G179">
        <f t="shared" si="16"/>
        <v>6.25E-2</v>
      </c>
    </row>
    <row r="180" spans="1:7">
      <c r="A180">
        <v>170</v>
      </c>
      <c r="B180">
        <f t="shared" si="14"/>
        <v>0</v>
      </c>
      <c r="C180" s="28"/>
      <c r="D180" s="28"/>
      <c r="E180">
        <f t="shared" si="13"/>
        <v>0.25</v>
      </c>
      <c r="F180">
        <f t="shared" si="15"/>
        <v>-0.25</v>
      </c>
      <c r="G180">
        <f t="shared" si="16"/>
        <v>6.25E-2</v>
      </c>
    </row>
    <row r="181" spans="1:7">
      <c r="A181">
        <v>171</v>
      </c>
      <c r="B181">
        <f t="shared" si="14"/>
        <v>0</v>
      </c>
      <c r="C181" s="28"/>
      <c r="D181" s="28"/>
      <c r="E181">
        <f t="shared" si="13"/>
        <v>0.25</v>
      </c>
      <c r="F181">
        <f t="shared" si="15"/>
        <v>-0.25</v>
      </c>
      <c r="G181">
        <f t="shared" si="16"/>
        <v>6.25E-2</v>
      </c>
    </row>
    <row r="182" spans="1:7">
      <c r="A182">
        <v>172</v>
      </c>
      <c r="B182">
        <f t="shared" si="14"/>
        <v>0</v>
      </c>
      <c r="C182" s="28"/>
      <c r="D182" s="28"/>
      <c r="E182">
        <f t="shared" si="13"/>
        <v>0.25</v>
      </c>
      <c r="F182">
        <f t="shared" si="15"/>
        <v>-0.25</v>
      </c>
      <c r="G182">
        <f t="shared" si="16"/>
        <v>6.25E-2</v>
      </c>
    </row>
    <row r="183" spans="1:7">
      <c r="A183">
        <v>173</v>
      </c>
      <c r="B183">
        <f t="shared" si="14"/>
        <v>0</v>
      </c>
      <c r="C183" s="28"/>
      <c r="D183" s="28"/>
      <c r="E183">
        <f t="shared" si="13"/>
        <v>0.25</v>
      </c>
      <c r="F183">
        <f t="shared" si="15"/>
        <v>-0.25</v>
      </c>
      <c r="G183">
        <f t="shared" si="16"/>
        <v>6.25E-2</v>
      </c>
    </row>
    <row r="184" spans="1:7">
      <c r="A184">
        <v>174</v>
      </c>
      <c r="B184">
        <f t="shared" si="14"/>
        <v>0</v>
      </c>
      <c r="C184" s="28"/>
      <c r="D184" s="28"/>
      <c r="E184">
        <f t="shared" si="13"/>
        <v>0.25</v>
      </c>
      <c r="F184">
        <f t="shared" si="15"/>
        <v>-0.25</v>
      </c>
      <c r="G184">
        <f t="shared" si="16"/>
        <v>6.25E-2</v>
      </c>
    </row>
    <row r="185" spans="1:7">
      <c r="A185">
        <v>175</v>
      </c>
      <c r="B185">
        <f t="shared" si="14"/>
        <v>0</v>
      </c>
      <c r="C185" s="28"/>
      <c r="D185" s="28"/>
      <c r="E185">
        <f t="shared" si="13"/>
        <v>0.25</v>
      </c>
      <c r="F185">
        <f t="shared" si="15"/>
        <v>-0.25</v>
      </c>
      <c r="G185">
        <f t="shared" si="16"/>
        <v>6.25E-2</v>
      </c>
    </row>
    <row r="186" spans="1:7">
      <c r="A186">
        <v>176</v>
      </c>
      <c r="B186">
        <f t="shared" si="14"/>
        <v>0</v>
      </c>
      <c r="C186" s="28"/>
      <c r="D186" s="28"/>
      <c r="E186">
        <f t="shared" si="13"/>
        <v>0.25</v>
      </c>
      <c r="F186">
        <f t="shared" si="15"/>
        <v>-0.25</v>
      </c>
      <c r="G186">
        <f t="shared" si="16"/>
        <v>6.25E-2</v>
      </c>
    </row>
    <row r="187" spans="1:7">
      <c r="A187">
        <v>177</v>
      </c>
      <c r="B187">
        <f t="shared" si="14"/>
        <v>0</v>
      </c>
      <c r="C187" s="28"/>
      <c r="D187" s="28"/>
      <c r="E187">
        <f t="shared" si="13"/>
        <v>0.25</v>
      </c>
      <c r="F187">
        <f t="shared" si="15"/>
        <v>-0.25</v>
      </c>
      <c r="G187">
        <f t="shared" si="16"/>
        <v>6.25E-2</v>
      </c>
    </row>
    <row r="188" spans="1:7">
      <c r="A188">
        <v>178</v>
      </c>
      <c r="B188">
        <f t="shared" si="14"/>
        <v>0</v>
      </c>
      <c r="C188" s="28"/>
      <c r="D188" s="28"/>
      <c r="E188">
        <f t="shared" si="13"/>
        <v>0.25</v>
      </c>
      <c r="F188">
        <f t="shared" si="15"/>
        <v>-0.25</v>
      </c>
      <c r="G188">
        <f t="shared" si="16"/>
        <v>6.25E-2</v>
      </c>
    </row>
    <row r="189" spans="1:7">
      <c r="A189">
        <v>179</v>
      </c>
      <c r="B189">
        <f t="shared" si="14"/>
        <v>0</v>
      </c>
      <c r="C189" s="28"/>
      <c r="D189" s="28"/>
      <c r="E189">
        <f t="shared" si="13"/>
        <v>0.25</v>
      </c>
      <c r="F189">
        <f t="shared" si="15"/>
        <v>-0.25</v>
      </c>
      <c r="G189">
        <f t="shared" si="16"/>
        <v>6.25E-2</v>
      </c>
    </row>
    <row r="190" spans="1:7">
      <c r="A190">
        <v>180</v>
      </c>
      <c r="B190">
        <f t="shared" si="14"/>
        <v>0</v>
      </c>
      <c r="C190" s="28"/>
      <c r="D190" s="28"/>
      <c r="E190">
        <f t="shared" si="13"/>
        <v>0.25</v>
      </c>
      <c r="F190">
        <f t="shared" si="15"/>
        <v>-0.25</v>
      </c>
      <c r="G190">
        <f t="shared" si="16"/>
        <v>6.25E-2</v>
      </c>
    </row>
    <row r="191" spans="1:7">
      <c r="A191">
        <v>181</v>
      </c>
      <c r="B191">
        <f t="shared" si="14"/>
        <v>0</v>
      </c>
      <c r="C191" s="28"/>
      <c r="D191" s="28"/>
      <c r="E191">
        <f t="shared" si="13"/>
        <v>0.25</v>
      </c>
      <c r="F191">
        <f t="shared" si="15"/>
        <v>-0.25</v>
      </c>
      <c r="G191">
        <f t="shared" si="16"/>
        <v>6.25E-2</v>
      </c>
    </row>
    <row r="192" spans="1:7">
      <c r="A192">
        <v>182</v>
      </c>
      <c r="B192">
        <f t="shared" si="14"/>
        <v>0</v>
      </c>
      <c r="C192" s="28"/>
      <c r="D192" s="28"/>
      <c r="E192">
        <f t="shared" si="13"/>
        <v>0.25</v>
      </c>
      <c r="F192">
        <f t="shared" si="15"/>
        <v>-0.25</v>
      </c>
      <c r="G192">
        <f t="shared" si="16"/>
        <v>6.25E-2</v>
      </c>
    </row>
    <row r="193" spans="1:7">
      <c r="A193">
        <v>183</v>
      </c>
      <c r="B193">
        <f t="shared" si="14"/>
        <v>0</v>
      </c>
      <c r="C193" s="28"/>
      <c r="D193" s="28"/>
      <c r="E193">
        <f t="shared" si="13"/>
        <v>0.25</v>
      </c>
      <c r="F193">
        <f t="shared" si="15"/>
        <v>-0.25</v>
      </c>
      <c r="G193">
        <f t="shared" si="16"/>
        <v>6.25E-2</v>
      </c>
    </row>
    <row r="194" spans="1:7">
      <c r="A194">
        <v>184</v>
      </c>
      <c r="B194">
        <f t="shared" si="14"/>
        <v>0</v>
      </c>
      <c r="C194" s="28"/>
      <c r="D194" s="28"/>
      <c r="E194">
        <f t="shared" si="13"/>
        <v>0.25</v>
      </c>
      <c r="F194">
        <f t="shared" si="15"/>
        <v>-0.25</v>
      </c>
      <c r="G194">
        <f t="shared" si="16"/>
        <v>6.25E-2</v>
      </c>
    </row>
    <row r="195" spans="1:7">
      <c r="A195">
        <v>185</v>
      </c>
      <c r="B195">
        <f t="shared" si="14"/>
        <v>0</v>
      </c>
      <c r="C195" s="28"/>
      <c r="D195" s="28"/>
      <c r="E195">
        <f t="shared" si="13"/>
        <v>0.25</v>
      </c>
      <c r="F195">
        <f t="shared" si="15"/>
        <v>-0.25</v>
      </c>
      <c r="G195">
        <f t="shared" si="16"/>
        <v>6.25E-2</v>
      </c>
    </row>
    <row r="196" spans="1:7">
      <c r="A196">
        <v>186</v>
      </c>
      <c r="B196">
        <f t="shared" si="14"/>
        <v>0</v>
      </c>
      <c r="C196" s="28"/>
      <c r="D196" s="28"/>
      <c r="E196">
        <f t="shared" si="13"/>
        <v>0.25</v>
      </c>
      <c r="F196">
        <f t="shared" si="15"/>
        <v>-0.25</v>
      </c>
      <c r="G196">
        <f t="shared" si="16"/>
        <v>6.25E-2</v>
      </c>
    </row>
    <row r="197" spans="1:7">
      <c r="A197">
        <v>187</v>
      </c>
      <c r="B197">
        <f t="shared" si="14"/>
        <v>0</v>
      </c>
      <c r="C197" s="28"/>
      <c r="D197" s="28"/>
      <c r="E197">
        <f t="shared" si="13"/>
        <v>0.25</v>
      </c>
      <c r="F197">
        <f t="shared" si="15"/>
        <v>-0.25</v>
      </c>
      <c r="G197">
        <f t="shared" si="16"/>
        <v>6.25E-2</v>
      </c>
    </row>
    <row r="198" spans="1:7">
      <c r="A198">
        <v>188</v>
      </c>
      <c r="B198">
        <f t="shared" si="14"/>
        <v>0</v>
      </c>
      <c r="C198" s="28"/>
      <c r="D198" s="28"/>
      <c r="E198">
        <f t="shared" si="13"/>
        <v>0.25</v>
      </c>
      <c r="F198">
        <f t="shared" si="15"/>
        <v>-0.25</v>
      </c>
      <c r="G198">
        <f t="shared" si="16"/>
        <v>6.25E-2</v>
      </c>
    </row>
    <row r="199" spans="1:7">
      <c r="A199">
        <v>189</v>
      </c>
      <c r="B199">
        <f t="shared" si="14"/>
        <v>0</v>
      </c>
      <c r="C199" s="28"/>
      <c r="D199" s="28"/>
      <c r="E199">
        <f t="shared" si="13"/>
        <v>0.25</v>
      </c>
      <c r="F199">
        <f t="shared" si="15"/>
        <v>-0.25</v>
      </c>
      <c r="G199">
        <f t="shared" si="16"/>
        <v>6.25E-2</v>
      </c>
    </row>
    <row r="200" spans="1:7">
      <c r="A200">
        <v>190</v>
      </c>
      <c r="B200">
        <f t="shared" si="14"/>
        <v>0</v>
      </c>
      <c r="C200" s="28"/>
      <c r="D200" s="28"/>
      <c r="E200">
        <f t="shared" si="13"/>
        <v>0.25</v>
      </c>
      <c r="F200">
        <f t="shared" si="15"/>
        <v>-0.25</v>
      </c>
      <c r="G200">
        <f t="shared" si="16"/>
        <v>6.25E-2</v>
      </c>
    </row>
    <row r="201" spans="1:7">
      <c r="A201">
        <v>191</v>
      </c>
      <c r="B201">
        <f t="shared" si="14"/>
        <v>0</v>
      </c>
      <c r="C201" s="28"/>
      <c r="D201" s="28"/>
      <c r="E201">
        <f t="shared" si="13"/>
        <v>0.25</v>
      </c>
      <c r="F201">
        <f t="shared" si="15"/>
        <v>-0.25</v>
      </c>
      <c r="G201">
        <f t="shared" si="16"/>
        <v>6.25E-2</v>
      </c>
    </row>
    <row r="202" spans="1:7">
      <c r="A202">
        <v>192</v>
      </c>
      <c r="B202">
        <f t="shared" si="14"/>
        <v>0</v>
      </c>
      <c r="C202" s="28"/>
      <c r="D202" s="28"/>
      <c r="E202">
        <f t="shared" si="13"/>
        <v>0.25</v>
      </c>
      <c r="F202">
        <f t="shared" si="15"/>
        <v>-0.25</v>
      </c>
      <c r="G202">
        <f t="shared" si="16"/>
        <v>6.25E-2</v>
      </c>
    </row>
    <row r="203" spans="1:7">
      <c r="A203">
        <v>193</v>
      </c>
      <c r="B203">
        <f t="shared" si="14"/>
        <v>0</v>
      </c>
      <c r="C203" s="28"/>
      <c r="D203" s="28"/>
      <c r="E203">
        <f t="shared" ref="E203:E266" si="17">BaseAdjust+(ampl1*EXP(-gamma1*C203)+ampl2*EXP(-gamma2*C203)+ampl3*EXP(-gamma3*C203))^2</f>
        <v>0.25</v>
      </c>
      <c r="F203">
        <f t="shared" si="15"/>
        <v>-0.25</v>
      </c>
      <c r="G203">
        <f t="shared" si="16"/>
        <v>6.25E-2</v>
      </c>
    </row>
    <row r="204" spans="1:7">
      <c r="A204">
        <v>194</v>
      </c>
      <c r="B204">
        <f t="shared" ref="B204:B267" si="18">C204/1000</f>
        <v>0</v>
      </c>
      <c r="C204" s="28"/>
      <c r="D204" s="28"/>
      <c r="E204">
        <f t="shared" si="17"/>
        <v>0.25</v>
      </c>
      <c r="F204">
        <f t="shared" ref="F204:F267" si="19">D204-E204</f>
        <v>-0.25</v>
      </c>
      <c r="G204">
        <f t="shared" ref="G204:G267" si="20">F204^2</f>
        <v>6.25E-2</v>
      </c>
    </row>
    <row r="205" spans="1:7">
      <c r="A205">
        <v>195</v>
      </c>
      <c r="B205">
        <f t="shared" si="18"/>
        <v>0</v>
      </c>
      <c r="C205" s="28"/>
      <c r="D205" s="28"/>
      <c r="E205">
        <f t="shared" si="17"/>
        <v>0.25</v>
      </c>
      <c r="F205">
        <f t="shared" si="19"/>
        <v>-0.25</v>
      </c>
      <c r="G205">
        <f t="shared" si="20"/>
        <v>6.25E-2</v>
      </c>
    </row>
    <row r="206" spans="1:7">
      <c r="A206">
        <v>196</v>
      </c>
      <c r="B206">
        <f t="shared" si="18"/>
        <v>0</v>
      </c>
      <c r="C206" s="28"/>
      <c r="D206" s="28"/>
      <c r="E206">
        <f t="shared" si="17"/>
        <v>0.25</v>
      </c>
      <c r="F206">
        <f t="shared" si="19"/>
        <v>-0.25</v>
      </c>
      <c r="G206">
        <f t="shared" si="20"/>
        <v>6.25E-2</v>
      </c>
    </row>
    <row r="207" spans="1:7">
      <c r="A207">
        <v>197</v>
      </c>
      <c r="B207">
        <f t="shared" si="18"/>
        <v>0</v>
      </c>
      <c r="C207" s="28"/>
      <c r="D207" s="28"/>
      <c r="E207">
        <f t="shared" si="17"/>
        <v>0.25</v>
      </c>
      <c r="F207">
        <f t="shared" si="19"/>
        <v>-0.25</v>
      </c>
      <c r="G207">
        <f t="shared" si="20"/>
        <v>6.25E-2</v>
      </c>
    </row>
    <row r="208" spans="1:7">
      <c r="A208">
        <v>198</v>
      </c>
      <c r="B208">
        <f t="shared" si="18"/>
        <v>0</v>
      </c>
      <c r="C208" s="28"/>
      <c r="D208" s="28"/>
      <c r="E208">
        <f t="shared" si="17"/>
        <v>0.25</v>
      </c>
      <c r="F208">
        <f t="shared" si="19"/>
        <v>-0.25</v>
      </c>
      <c r="G208">
        <f t="shared" si="20"/>
        <v>6.25E-2</v>
      </c>
    </row>
    <row r="209" spans="1:7">
      <c r="A209">
        <v>199</v>
      </c>
      <c r="B209">
        <f t="shared" si="18"/>
        <v>0</v>
      </c>
      <c r="C209" s="28"/>
      <c r="D209" s="28"/>
      <c r="E209">
        <f t="shared" si="17"/>
        <v>0.25</v>
      </c>
      <c r="F209">
        <f t="shared" si="19"/>
        <v>-0.25</v>
      </c>
      <c r="G209">
        <f t="shared" si="20"/>
        <v>6.25E-2</v>
      </c>
    </row>
    <row r="210" spans="1:7">
      <c r="A210">
        <v>200</v>
      </c>
      <c r="B210">
        <f t="shared" si="18"/>
        <v>0</v>
      </c>
      <c r="C210" s="28"/>
      <c r="D210" s="28"/>
      <c r="E210">
        <f t="shared" si="17"/>
        <v>0.25</v>
      </c>
      <c r="F210">
        <f t="shared" si="19"/>
        <v>-0.25</v>
      </c>
      <c r="G210">
        <f t="shared" si="20"/>
        <v>6.25E-2</v>
      </c>
    </row>
    <row r="211" spans="1:7">
      <c r="A211">
        <v>201</v>
      </c>
      <c r="B211">
        <f t="shared" si="18"/>
        <v>0</v>
      </c>
      <c r="C211" s="28"/>
      <c r="D211" s="28"/>
      <c r="E211">
        <f t="shared" si="17"/>
        <v>0.25</v>
      </c>
      <c r="F211">
        <f t="shared" si="19"/>
        <v>-0.25</v>
      </c>
      <c r="G211">
        <f t="shared" si="20"/>
        <v>6.25E-2</v>
      </c>
    </row>
    <row r="212" spans="1:7">
      <c r="A212">
        <v>202</v>
      </c>
      <c r="B212">
        <f t="shared" si="18"/>
        <v>0</v>
      </c>
      <c r="C212" s="28"/>
      <c r="D212" s="28"/>
      <c r="E212">
        <f t="shared" si="17"/>
        <v>0.25</v>
      </c>
      <c r="F212">
        <f t="shared" si="19"/>
        <v>-0.25</v>
      </c>
      <c r="G212">
        <f t="shared" si="20"/>
        <v>6.25E-2</v>
      </c>
    </row>
    <row r="213" spans="1:7">
      <c r="A213">
        <v>203</v>
      </c>
      <c r="B213">
        <f t="shared" si="18"/>
        <v>0</v>
      </c>
      <c r="C213" s="28"/>
      <c r="D213" s="28"/>
      <c r="E213">
        <f t="shared" si="17"/>
        <v>0.25</v>
      </c>
      <c r="F213">
        <f t="shared" si="19"/>
        <v>-0.25</v>
      </c>
      <c r="G213">
        <f t="shared" si="20"/>
        <v>6.25E-2</v>
      </c>
    </row>
    <row r="214" spans="1:7">
      <c r="A214">
        <v>204</v>
      </c>
      <c r="B214">
        <f t="shared" si="18"/>
        <v>0</v>
      </c>
      <c r="C214" s="28"/>
      <c r="D214" s="28"/>
      <c r="E214">
        <f t="shared" si="17"/>
        <v>0.25</v>
      </c>
      <c r="F214">
        <f t="shared" si="19"/>
        <v>-0.25</v>
      </c>
      <c r="G214">
        <f t="shared" si="20"/>
        <v>6.25E-2</v>
      </c>
    </row>
    <row r="215" spans="1:7">
      <c r="A215">
        <v>205</v>
      </c>
      <c r="B215">
        <f t="shared" si="18"/>
        <v>0</v>
      </c>
      <c r="C215" s="28"/>
      <c r="D215" s="28"/>
      <c r="E215">
        <f t="shared" si="17"/>
        <v>0.25</v>
      </c>
      <c r="F215">
        <f t="shared" si="19"/>
        <v>-0.25</v>
      </c>
      <c r="G215">
        <f t="shared" si="20"/>
        <v>6.25E-2</v>
      </c>
    </row>
    <row r="216" spans="1:7">
      <c r="A216">
        <v>206</v>
      </c>
      <c r="B216">
        <f t="shared" si="18"/>
        <v>0</v>
      </c>
      <c r="C216" s="28"/>
      <c r="D216" s="28"/>
      <c r="E216">
        <f t="shared" si="17"/>
        <v>0.25</v>
      </c>
      <c r="F216">
        <f t="shared" si="19"/>
        <v>-0.25</v>
      </c>
      <c r="G216">
        <f t="shared" si="20"/>
        <v>6.25E-2</v>
      </c>
    </row>
    <row r="217" spans="1:7">
      <c r="A217">
        <v>207</v>
      </c>
      <c r="B217">
        <f t="shared" si="18"/>
        <v>0</v>
      </c>
      <c r="C217" s="28"/>
      <c r="D217" s="28"/>
      <c r="E217">
        <f t="shared" si="17"/>
        <v>0.25</v>
      </c>
      <c r="F217">
        <f t="shared" si="19"/>
        <v>-0.25</v>
      </c>
      <c r="G217">
        <f t="shared" si="20"/>
        <v>6.25E-2</v>
      </c>
    </row>
    <row r="218" spans="1:7">
      <c r="A218">
        <v>208</v>
      </c>
      <c r="B218">
        <f t="shared" si="18"/>
        <v>0</v>
      </c>
      <c r="C218" s="28"/>
      <c r="D218" s="28"/>
      <c r="E218">
        <f t="shared" si="17"/>
        <v>0.25</v>
      </c>
      <c r="F218">
        <f t="shared" si="19"/>
        <v>-0.25</v>
      </c>
      <c r="G218">
        <f t="shared" si="20"/>
        <v>6.25E-2</v>
      </c>
    </row>
    <row r="219" spans="1:7">
      <c r="A219">
        <v>209</v>
      </c>
      <c r="B219">
        <f t="shared" si="18"/>
        <v>0</v>
      </c>
      <c r="C219" s="28"/>
      <c r="D219" s="28"/>
      <c r="E219">
        <f t="shared" si="17"/>
        <v>0.25</v>
      </c>
      <c r="F219">
        <f t="shared" si="19"/>
        <v>-0.25</v>
      </c>
      <c r="G219">
        <f t="shared" si="20"/>
        <v>6.25E-2</v>
      </c>
    </row>
    <row r="220" spans="1:7">
      <c r="A220">
        <v>210</v>
      </c>
      <c r="B220">
        <f t="shared" si="18"/>
        <v>0</v>
      </c>
      <c r="C220" s="28"/>
      <c r="D220" s="28"/>
      <c r="E220">
        <f t="shared" si="17"/>
        <v>0.25</v>
      </c>
      <c r="F220">
        <f t="shared" si="19"/>
        <v>-0.25</v>
      </c>
      <c r="G220">
        <f t="shared" si="20"/>
        <v>6.25E-2</v>
      </c>
    </row>
    <row r="221" spans="1:7">
      <c r="A221">
        <v>211</v>
      </c>
      <c r="B221">
        <f t="shared" si="18"/>
        <v>0</v>
      </c>
      <c r="C221" s="28"/>
      <c r="D221" s="28"/>
      <c r="E221">
        <f t="shared" si="17"/>
        <v>0.25</v>
      </c>
      <c r="F221">
        <f t="shared" si="19"/>
        <v>-0.25</v>
      </c>
      <c r="G221">
        <f t="shared" si="20"/>
        <v>6.25E-2</v>
      </c>
    </row>
    <row r="222" spans="1:7">
      <c r="A222">
        <v>212</v>
      </c>
      <c r="B222">
        <f t="shared" si="18"/>
        <v>0</v>
      </c>
      <c r="C222" s="28"/>
      <c r="D222" s="28"/>
      <c r="E222">
        <f t="shared" si="17"/>
        <v>0.25</v>
      </c>
      <c r="F222">
        <f t="shared" si="19"/>
        <v>-0.25</v>
      </c>
      <c r="G222">
        <f t="shared" si="20"/>
        <v>6.25E-2</v>
      </c>
    </row>
    <row r="223" spans="1:7">
      <c r="A223">
        <v>213</v>
      </c>
      <c r="B223">
        <f t="shared" si="18"/>
        <v>0</v>
      </c>
      <c r="C223" s="28"/>
      <c r="D223" s="28"/>
      <c r="E223">
        <f t="shared" si="17"/>
        <v>0.25</v>
      </c>
      <c r="F223">
        <f t="shared" si="19"/>
        <v>-0.25</v>
      </c>
      <c r="G223">
        <f t="shared" si="20"/>
        <v>6.25E-2</v>
      </c>
    </row>
    <row r="224" spans="1:7">
      <c r="A224">
        <v>214</v>
      </c>
      <c r="B224">
        <f t="shared" si="18"/>
        <v>0</v>
      </c>
      <c r="C224" s="28"/>
      <c r="D224" s="28"/>
      <c r="E224">
        <f t="shared" si="17"/>
        <v>0.25</v>
      </c>
      <c r="F224">
        <f t="shared" si="19"/>
        <v>-0.25</v>
      </c>
      <c r="G224">
        <f t="shared" si="20"/>
        <v>6.25E-2</v>
      </c>
    </row>
    <row r="225" spans="1:7">
      <c r="A225">
        <v>215</v>
      </c>
      <c r="B225">
        <f t="shared" si="18"/>
        <v>0</v>
      </c>
      <c r="C225" s="28"/>
      <c r="D225" s="28"/>
      <c r="E225">
        <f t="shared" si="17"/>
        <v>0.25</v>
      </c>
      <c r="F225">
        <f t="shared" si="19"/>
        <v>-0.25</v>
      </c>
      <c r="G225">
        <f t="shared" si="20"/>
        <v>6.25E-2</v>
      </c>
    </row>
    <row r="226" spans="1:7">
      <c r="A226">
        <v>216</v>
      </c>
      <c r="B226">
        <f t="shared" si="18"/>
        <v>0</v>
      </c>
      <c r="C226" s="28"/>
      <c r="D226" s="28"/>
      <c r="E226">
        <f t="shared" si="17"/>
        <v>0.25</v>
      </c>
      <c r="F226">
        <f t="shared" si="19"/>
        <v>-0.25</v>
      </c>
      <c r="G226">
        <f t="shared" si="20"/>
        <v>6.25E-2</v>
      </c>
    </row>
    <row r="227" spans="1:7">
      <c r="A227">
        <v>217</v>
      </c>
      <c r="B227">
        <f t="shared" si="18"/>
        <v>0</v>
      </c>
      <c r="C227" s="28"/>
      <c r="D227" s="28"/>
      <c r="E227">
        <f t="shared" si="17"/>
        <v>0.25</v>
      </c>
      <c r="F227">
        <f t="shared" si="19"/>
        <v>-0.25</v>
      </c>
      <c r="G227">
        <f t="shared" si="20"/>
        <v>6.25E-2</v>
      </c>
    </row>
    <row r="228" spans="1:7">
      <c r="A228">
        <v>218</v>
      </c>
      <c r="B228">
        <f t="shared" si="18"/>
        <v>0</v>
      </c>
      <c r="C228" s="28"/>
      <c r="D228" s="28"/>
      <c r="E228">
        <f t="shared" si="17"/>
        <v>0.25</v>
      </c>
      <c r="F228">
        <f t="shared" si="19"/>
        <v>-0.25</v>
      </c>
      <c r="G228">
        <f t="shared" si="20"/>
        <v>6.25E-2</v>
      </c>
    </row>
    <row r="229" spans="1:7">
      <c r="A229">
        <v>219</v>
      </c>
      <c r="B229">
        <f t="shared" si="18"/>
        <v>0</v>
      </c>
      <c r="C229" s="28"/>
      <c r="D229" s="28"/>
      <c r="E229">
        <f t="shared" si="17"/>
        <v>0.25</v>
      </c>
      <c r="F229">
        <f t="shared" si="19"/>
        <v>-0.25</v>
      </c>
      <c r="G229">
        <f t="shared" si="20"/>
        <v>6.25E-2</v>
      </c>
    </row>
    <row r="230" spans="1:7">
      <c r="A230">
        <v>220</v>
      </c>
      <c r="B230">
        <f t="shared" si="18"/>
        <v>0</v>
      </c>
      <c r="C230" s="28"/>
      <c r="D230" s="28"/>
      <c r="E230">
        <f t="shared" si="17"/>
        <v>0.25</v>
      </c>
      <c r="F230">
        <f t="shared" si="19"/>
        <v>-0.25</v>
      </c>
      <c r="G230">
        <f t="shared" si="20"/>
        <v>6.25E-2</v>
      </c>
    </row>
    <row r="231" spans="1:7">
      <c r="A231">
        <v>221</v>
      </c>
      <c r="B231">
        <f t="shared" si="18"/>
        <v>0</v>
      </c>
      <c r="C231" s="28"/>
      <c r="D231" s="28"/>
      <c r="E231">
        <f t="shared" si="17"/>
        <v>0.25</v>
      </c>
      <c r="F231">
        <f t="shared" si="19"/>
        <v>-0.25</v>
      </c>
      <c r="G231">
        <f t="shared" si="20"/>
        <v>6.25E-2</v>
      </c>
    </row>
    <row r="232" spans="1:7">
      <c r="A232">
        <v>222</v>
      </c>
      <c r="B232">
        <f t="shared" si="18"/>
        <v>0</v>
      </c>
      <c r="C232" s="28"/>
      <c r="D232" s="28"/>
      <c r="E232">
        <f t="shared" si="17"/>
        <v>0.25</v>
      </c>
      <c r="F232">
        <f t="shared" si="19"/>
        <v>-0.25</v>
      </c>
      <c r="G232">
        <f t="shared" si="20"/>
        <v>6.25E-2</v>
      </c>
    </row>
    <row r="233" spans="1:7">
      <c r="A233">
        <v>223</v>
      </c>
      <c r="B233">
        <f t="shared" si="18"/>
        <v>0</v>
      </c>
      <c r="C233" s="28"/>
      <c r="D233" s="28"/>
      <c r="E233">
        <f t="shared" si="17"/>
        <v>0.25</v>
      </c>
      <c r="F233">
        <f t="shared" si="19"/>
        <v>-0.25</v>
      </c>
      <c r="G233">
        <f t="shared" si="20"/>
        <v>6.25E-2</v>
      </c>
    </row>
    <row r="234" spans="1:7">
      <c r="A234">
        <v>224</v>
      </c>
      <c r="B234">
        <f t="shared" si="18"/>
        <v>0</v>
      </c>
      <c r="C234" s="28"/>
      <c r="D234" s="28"/>
      <c r="E234">
        <f t="shared" si="17"/>
        <v>0.25</v>
      </c>
      <c r="F234">
        <f t="shared" si="19"/>
        <v>-0.25</v>
      </c>
      <c r="G234">
        <f t="shared" si="20"/>
        <v>6.25E-2</v>
      </c>
    </row>
    <row r="235" spans="1:7">
      <c r="A235">
        <v>225</v>
      </c>
      <c r="B235">
        <f t="shared" si="18"/>
        <v>0</v>
      </c>
      <c r="C235" s="28"/>
      <c r="D235" s="28"/>
      <c r="E235">
        <f t="shared" si="17"/>
        <v>0.25</v>
      </c>
      <c r="F235">
        <f t="shared" si="19"/>
        <v>-0.25</v>
      </c>
      <c r="G235">
        <f t="shared" si="20"/>
        <v>6.25E-2</v>
      </c>
    </row>
    <row r="236" spans="1:7">
      <c r="A236">
        <v>226</v>
      </c>
      <c r="B236">
        <f t="shared" si="18"/>
        <v>0</v>
      </c>
      <c r="C236" s="28"/>
      <c r="D236" s="28"/>
      <c r="E236">
        <f t="shared" si="17"/>
        <v>0.25</v>
      </c>
      <c r="F236">
        <f t="shared" si="19"/>
        <v>-0.25</v>
      </c>
      <c r="G236">
        <f t="shared" si="20"/>
        <v>6.25E-2</v>
      </c>
    </row>
    <row r="237" spans="1:7">
      <c r="A237">
        <v>227</v>
      </c>
      <c r="B237">
        <f t="shared" si="18"/>
        <v>0</v>
      </c>
      <c r="C237" s="28"/>
      <c r="D237" s="28"/>
      <c r="E237">
        <f t="shared" si="17"/>
        <v>0.25</v>
      </c>
      <c r="F237">
        <f t="shared" si="19"/>
        <v>-0.25</v>
      </c>
      <c r="G237">
        <f t="shared" si="20"/>
        <v>6.25E-2</v>
      </c>
    </row>
    <row r="238" spans="1:7">
      <c r="A238">
        <v>228</v>
      </c>
      <c r="B238">
        <f t="shared" si="18"/>
        <v>0</v>
      </c>
      <c r="C238" s="28"/>
      <c r="D238" s="28"/>
      <c r="E238">
        <f t="shared" si="17"/>
        <v>0.25</v>
      </c>
      <c r="F238">
        <f t="shared" si="19"/>
        <v>-0.25</v>
      </c>
      <c r="G238">
        <f t="shared" si="20"/>
        <v>6.25E-2</v>
      </c>
    </row>
    <row r="239" spans="1:7">
      <c r="A239">
        <v>229</v>
      </c>
      <c r="B239">
        <f t="shared" si="18"/>
        <v>0</v>
      </c>
      <c r="C239" s="28"/>
      <c r="D239" s="28"/>
      <c r="E239">
        <f t="shared" si="17"/>
        <v>0.25</v>
      </c>
      <c r="F239">
        <f t="shared" si="19"/>
        <v>-0.25</v>
      </c>
      <c r="G239">
        <f t="shared" si="20"/>
        <v>6.25E-2</v>
      </c>
    </row>
    <row r="240" spans="1:7">
      <c r="A240">
        <v>230</v>
      </c>
      <c r="B240">
        <f t="shared" si="18"/>
        <v>0</v>
      </c>
      <c r="C240" s="28"/>
      <c r="D240" s="28"/>
      <c r="E240">
        <f t="shared" si="17"/>
        <v>0.25</v>
      </c>
      <c r="F240">
        <f t="shared" si="19"/>
        <v>-0.25</v>
      </c>
      <c r="G240">
        <f t="shared" si="20"/>
        <v>6.25E-2</v>
      </c>
    </row>
    <row r="241" spans="1:7">
      <c r="A241">
        <v>231</v>
      </c>
      <c r="B241">
        <f t="shared" si="18"/>
        <v>0</v>
      </c>
      <c r="C241" s="28"/>
      <c r="D241" s="28"/>
      <c r="E241">
        <f t="shared" si="17"/>
        <v>0.25</v>
      </c>
      <c r="F241">
        <f t="shared" si="19"/>
        <v>-0.25</v>
      </c>
      <c r="G241">
        <f t="shared" si="20"/>
        <v>6.25E-2</v>
      </c>
    </row>
    <row r="242" spans="1:7">
      <c r="A242">
        <v>232</v>
      </c>
      <c r="B242">
        <f t="shared" si="18"/>
        <v>0</v>
      </c>
      <c r="C242" s="28"/>
      <c r="D242" s="28"/>
      <c r="E242">
        <f t="shared" si="17"/>
        <v>0.25</v>
      </c>
      <c r="F242">
        <f t="shared" si="19"/>
        <v>-0.25</v>
      </c>
      <c r="G242">
        <f t="shared" si="20"/>
        <v>6.25E-2</v>
      </c>
    </row>
    <row r="243" spans="1:7">
      <c r="A243">
        <v>233</v>
      </c>
      <c r="B243">
        <f t="shared" si="18"/>
        <v>0</v>
      </c>
      <c r="C243" s="28"/>
      <c r="D243" s="28"/>
      <c r="E243">
        <f t="shared" si="17"/>
        <v>0.25</v>
      </c>
      <c r="F243">
        <f t="shared" si="19"/>
        <v>-0.25</v>
      </c>
      <c r="G243">
        <f t="shared" si="20"/>
        <v>6.25E-2</v>
      </c>
    </row>
    <row r="244" spans="1:7">
      <c r="A244">
        <v>234</v>
      </c>
      <c r="B244">
        <f t="shared" si="18"/>
        <v>0</v>
      </c>
      <c r="C244" s="28"/>
      <c r="D244" s="28"/>
      <c r="E244">
        <f t="shared" si="17"/>
        <v>0.25</v>
      </c>
      <c r="F244">
        <f t="shared" si="19"/>
        <v>-0.25</v>
      </c>
      <c r="G244">
        <f t="shared" si="20"/>
        <v>6.25E-2</v>
      </c>
    </row>
    <row r="245" spans="1:7">
      <c r="A245">
        <v>235</v>
      </c>
      <c r="B245">
        <f t="shared" si="18"/>
        <v>0</v>
      </c>
      <c r="C245" s="28"/>
      <c r="D245" s="28"/>
      <c r="E245">
        <f t="shared" si="17"/>
        <v>0.25</v>
      </c>
      <c r="F245">
        <f t="shared" si="19"/>
        <v>-0.25</v>
      </c>
      <c r="G245">
        <f t="shared" si="20"/>
        <v>6.25E-2</v>
      </c>
    </row>
    <row r="246" spans="1:7">
      <c r="A246">
        <v>236</v>
      </c>
      <c r="B246">
        <f t="shared" si="18"/>
        <v>0</v>
      </c>
      <c r="C246" s="28"/>
      <c r="D246" s="28"/>
      <c r="E246">
        <f t="shared" si="17"/>
        <v>0.25</v>
      </c>
      <c r="F246">
        <f t="shared" si="19"/>
        <v>-0.25</v>
      </c>
      <c r="G246">
        <f t="shared" si="20"/>
        <v>6.25E-2</v>
      </c>
    </row>
    <row r="247" spans="1:7">
      <c r="A247">
        <v>237</v>
      </c>
      <c r="B247">
        <f t="shared" si="18"/>
        <v>0</v>
      </c>
      <c r="C247" s="28"/>
      <c r="D247" s="28"/>
      <c r="E247">
        <f t="shared" si="17"/>
        <v>0.25</v>
      </c>
      <c r="F247">
        <f t="shared" si="19"/>
        <v>-0.25</v>
      </c>
      <c r="G247">
        <f t="shared" si="20"/>
        <v>6.25E-2</v>
      </c>
    </row>
    <row r="248" spans="1:7">
      <c r="A248">
        <v>238</v>
      </c>
      <c r="B248">
        <f t="shared" si="18"/>
        <v>0</v>
      </c>
      <c r="C248" s="28"/>
      <c r="D248" s="28"/>
      <c r="E248">
        <f t="shared" si="17"/>
        <v>0.25</v>
      </c>
      <c r="F248">
        <f t="shared" si="19"/>
        <v>-0.25</v>
      </c>
      <c r="G248">
        <f t="shared" si="20"/>
        <v>6.25E-2</v>
      </c>
    </row>
    <row r="249" spans="1:7">
      <c r="A249">
        <v>239</v>
      </c>
      <c r="B249">
        <f t="shared" si="18"/>
        <v>0</v>
      </c>
      <c r="C249" s="28"/>
      <c r="D249" s="28"/>
      <c r="E249">
        <f t="shared" si="17"/>
        <v>0.25</v>
      </c>
      <c r="F249">
        <f t="shared" si="19"/>
        <v>-0.25</v>
      </c>
      <c r="G249">
        <f t="shared" si="20"/>
        <v>6.25E-2</v>
      </c>
    </row>
    <row r="250" spans="1:7">
      <c r="A250">
        <v>240</v>
      </c>
      <c r="B250">
        <f t="shared" si="18"/>
        <v>0</v>
      </c>
      <c r="C250" s="28"/>
      <c r="D250" s="28"/>
      <c r="E250">
        <f t="shared" si="17"/>
        <v>0.25</v>
      </c>
      <c r="F250">
        <f t="shared" si="19"/>
        <v>-0.25</v>
      </c>
      <c r="G250">
        <f t="shared" si="20"/>
        <v>6.25E-2</v>
      </c>
    </row>
    <row r="251" spans="1:7">
      <c r="A251">
        <v>241</v>
      </c>
      <c r="B251">
        <f t="shared" si="18"/>
        <v>0</v>
      </c>
      <c r="C251" s="28"/>
      <c r="D251" s="28"/>
      <c r="E251">
        <f t="shared" si="17"/>
        <v>0.25</v>
      </c>
      <c r="F251">
        <f t="shared" si="19"/>
        <v>-0.25</v>
      </c>
      <c r="G251">
        <f t="shared" si="20"/>
        <v>6.25E-2</v>
      </c>
    </row>
    <row r="252" spans="1:7">
      <c r="A252">
        <v>242</v>
      </c>
      <c r="B252">
        <f t="shared" si="18"/>
        <v>0</v>
      </c>
      <c r="C252" s="28"/>
      <c r="D252" s="28"/>
      <c r="E252">
        <f t="shared" si="17"/>
        <v>0.25</v>
      </c>
      <c r="F252">
        <f t="shared" si="19"/>
        <v>-0.25</v>
      </c>
      <c r="G252">
        <f t="shared" si="20"/>
        <v>6.25E-2</v>
      </c>
    </row>
    <row r="253" spans="1:7">
      <c r="A253">
        <v>243</v>
      </c>
      <c r="B253">
        <f t="shared" si="18"/>
        <v>0</v>
      </c>
      <c r="C253" s="28"/>
      <c r="D253" s="28"/>
      <c r="E253">
        <f t="shared" si="17"/>
        <v>0.25</v>
      </c>
      <c r="F253">
        <f t="shared" si="19"/>
        <v>-0.25</v>
      </c>
      <c r="G253">
        <f t="shared" si="20"/>
        <v>6.25E-2</v>
      </c>
    </row>
    <row r="254" spans="1:7">
      <c r="A254">
        <v>244</v>
      </c>
      <c r="B254">
        <f t="shared" si="18"/>
        <v>0</v>
      </c>
      <c r="C254" s="28"/>
      <c r="D254" s="28"/>
      <c r="E254">
        <f t="shared" si="17"/>
        <v>0.25</v>
      </c>
      <c r="F254">
        <f t="shared" si="19"/>
        <v>-0.25</v>
      </c>
      <c r="G254">
        <f t="shared" si="20"/>
        <v>6.25E-2</v>
      </c>
    </row>
    <row r="255" spans="1:7">
      <c r="A255">
        <v>245</v>
      </c>
      <c r="B255">
        <f t="shared" si="18"/>
        <v>0</v>
      </c>
      <c r="C255" s="28"/>
      <c r="D255" s="28"/>
      <c r="E255">
        <f t="shared" si="17"/>
        <v>0.25</v>
      </c>
      <c r="F255">
        <f t="shared" si="19"/>
        <v>-0.25</v>
      </c>
      <c r="G255">
        <f t="shared" si="20"/>
        <v>6.25E-2</v>
      </c>
    </row>
    <row r="256" spans="1:7">
      <c r="A256">
        <v>246</v>
      </c>
      <c r="B256">
        <f t="shared" si="18"/>
        <v>0</v>
      </c>
      <c r="C256" s="28"/>
      <c r="D256" s="28"/>
      <c r="E256">
        <f t="shared" si="17"/>
        <v>0.25</v>
      </c>
      <c r="F256">
        <f t="shared" si="19"/>
        <v>-0.25</v>
      </c>
      <c r="G256">
        <f t="shared" si="20"/>
        <v>6.25E-2</v>
      </c>
    </row>
    <row r="257" spans="1:7">
      <c r="A257">
        <v>247</v>
      </c>
      <c r="B257">
        <f t="shared" si="18"/>
        <v>0</v>
      </c>
      <c r="C257" s="28"/>
      <c r="D257" s="28"/>
      <c r="E257">
        <f t="shared" si="17"/>
        <v>0.25</v>
      </c>
      <c r="F257">
        <f t="shared" si="19"/>
        <v>-0.25</v>
      </c>
      <c r="G257">
        <f t="shared" si="20"/>
        <v>6.25E-2</v>
      </c>
    </row>
    <row r="258" spans="1:7">
      <c r="A258">
        <v>248</v>
      </c>
      <c r="B258">
        <f t="shared" si="18"/>
        <v>0</v>
      </c>
      <c r="C258" s="28"/>
      <c r="D258" s="28"/>
      <c r="E258">
        <f t="shared" si="17"/>
        <v>0.25</v>
      </c>
      <c r="F258">
        <f t="shared" si="19"/>
        <v>-0.25</v>
      </c>
      <c r="G258">
        <f t="shared" si="20"/>
        <v>6.25E-2</v>
      </c>
    </row>
    <row r="259" spans="1:7">
      <c r="A259">
        <v>249</v>
      </c>
      <c r="B259">
        <f t="shared" si="18"/>
        <v>0</v>
      </c>
      <c r="C259" s="28"/>
      <c r="D259" s="28"/>
      <c r="E259">
        <f t="shared" si="17"/>
        <v>0.25</v>
      </c>
      <c r="F259">
        <f t="shared" si="19"/>
        <v>-0.25</v>
      </c>
      <c r="G259">
        <f t="shared" si="20"/>
        <v>6.25E-2</v>
      </c>
    </row>
    <row r="260" spans="1:7">
      <c r="A260">
        <v>250</v>
      </c>
      <c r="B260">
        <f t="shared" si="18"/>
        <v>0</v>
      </c>
      <c r="C260" s="28"/>
      <c r="D260" s="28"/>
      <c r="E260">
        <f t="shared" si="17"/>
        <v>0.25</v>
      </c>
      <c r="F260">
        <f t="shared" si="19"/>
        <v>-0.25</v>
      </c>
      <c r="G260">
        <f t="shared" si="20"/>
        <v>6.25E-2</v>
      </c>
    </row>
    <row r="261" spans="1:7">
      <c r="A261">
        <v>251</v>
      </c>
      <c r="B261">
        <f t="shared" si="18"/>
        <v>0</v>
      </c>
      <c r="C261" s="28"/>
      <c r="D261" s="28"/>
      <c r="E261">
        <f t="shared" si="17"/>
        <v>0.25</v>
      </c>
      <c r="F261">
        <f t="shared" si="19"/>
        <v>-0.25</v>
      </c>
      <c r="G261">
        <f t="shared" si="20"/>
        <v>6.25E-2</v>
      </c>
    </row>
    <row r="262" spans="1:7">
      <c r="A262">
        <v>252</v>
      </c>
      <c r="B262">
        <f t="shared" si="18"/>
        <v>0</v>
      </c>
      <c r="C262" s="28"/>
      <c r="D262" s="28"/>
      <c r="E262">
        <f t="shared" si="17"/>
        <v>0.25</v>
      </c>
      <c r="F262">
        <f t="shared" si="19"/>
        <v>-0.25</v>
      </c>
      <c r="G262">
        <f t="shared" si="20"/>
        <v>6.25E-2</v>
      </c>
    </row>
    <row r="263" spans="1:7">
      <c r="A263">
        <v>253</v>
      </c>
      <c r="B263">
        <f t="shared" si="18"/>
        <v>0</v>
      </c>
      <c r="C263" s="28"/>
      <c r="D263" s="28"/>
      <c r="E263">
        <f t="shared" si="17"/>
        <v>0.25</v>
      </c>
      <c r="F263">
        <f t="shared" si="19"/>
        <v>-0.25</v>
      </c>
      <c r="G263">
        <f t="shared" si="20"/>
        <v>6.25E-2</v>
      </c>
    </row>
    <row r="264" spans="1:7">
      <c r="A264">
        <v>254</v>
      </c>
      <c r="B264">
        <f t="shared" si="18"/>
        <v>0</v>
      </c>
      <c r="C264" s="28"/>
      <c r="D264" s="28"/>
      <c r="E264">
        <f t="shared" si="17"/>
        <v>0.25</v>
      </c>
      <c r="F264">
        <f t="shared" si="19"/>
        <v>-0.25</v>
      </c>
      <c r="G264">
        <f t="shared" si="20"/>
        <v>6.25E-2</v>
      </c>
    </row>
    <row r="265" spans="1:7">
      <c r="A265">
        <v>255</v>
      </c>
      <c r="B265">
        <f t="shared" si="18"/>
        <v>0</v>
      </c>
      <c r="C265" s="28"/>
      <c r="D265" s="28"/>
      <c r="E265">
        <f t="shared" si="17"/>
        <v>0.25</v>
      </c>
      <c r="F265">
        <f t="shared" si="19"/>
        <v>-0.25</v>
      </c>
      <c r="G265">
        <f t="shared" si="20"/>
        <v>6.25E-2</v>
      </c>
    </row>
    <row r="266" spans="1:7">
      <c r="A266">
        <v>256</v>
      </c>
      <c r="B266">
        <f t="shared" si="18"/>
        <v>0</v>
      </c>
      <c r="C266" s="28"/>
      <c r="D266" s="28"/>
      <c r="E266">
        <f t="shared" si="17"/>
        <v>0.25</v>
      </c>
      <c r="F266">
        <f t="shared" si="19"/>
        <v>-0.25</v>
      </c>
      <c r="G266">
        <f t="shared" si="20"/>
        <v>6.25E-2</v>
      </c>
    </row>
    <row r="267" spans="1:7">
      <c r="A267">
        <v>257</v>
      </c>
      <c r="B267">
        <f t="shared" si="18"/>
        <v>0</v>
      </c>
      <c r="C267" s="28"/>
      <c r="D267" s="28"/>
      <c r="E267">
        <f t="shared" ref="E267:E330" si="21">BaseAdjust+(ampl1*EXP(-gamma1*C267)+ampl2*EXP(-gamma2*C267)+ampl3*EXP(-gamma3*C267))^2</f>
        <v>0.25</v>
      </c>
      <c r="F267">
        <f t="shared" si="19"/>
        <v>-0.25</v>
      </c>
      <c r="G267">
        <f t="shared" si="20"/>
        <v>6.25E-2</v>
      </c>
    </row>
    <row r="268" spans="1:7">
      <c r="A268">
        <v>258</v>
      </c>
      <c r="B268">
        <f t="shared" ref="B268:B331" si="22">C268/1000</f>
        <v>0</v>
      </c>
      <c r="C268" s="28"/>
      <c r="D268" s="28"/>
      <c r="E268">
        <f t="shared" si="21"/>
        <v>0.25</v>
      </c>
      <c r="F268">
        <f t="shared" ref="F268:F331" si="23">D268-E268</f>
        <v>-0.25</v>
      </c>
      <c r="G268">
        <f t="shared" ref="G268:G331" si="24">F268^2</f>
        <v>6.25E-2</v>
      </c>
    </row>
    <row r="269" spans="1:7">
      <c r="A269">
        <v>259</v>
      </c>
      <c r="B269">
        <f t="shared" si="22"/>
        <v>0</v>
      </c>
      <c r="C269" s="28"/>
      <c r="D269" s="28"/>
      <c r="E269">
        <f t="shared" si="21"/>
        <v>0.25</v>
      </c>
      <c r="F269">
        <f t="shared" si="23"/>
        <v>-0.25</v>
      </c>
      <c r="G269">
        <f t="shared" si="24"/>
        <v>6.25E-2</v>
      </c>
    </row>
    <row r="270" spans="1:7">
      <c r="A270">
        <v>260</v>
      </c>
      <c r="B270">
        <f t="shared" si="22"/>
        <v>0</v>
      </c>
      <c r="C270" s="28"/>
      <c r="D270" s="28"/>
      <c r="E270">
        <f t="shared" si="21"/>
        <v>0.25</v>
      </c>
      <c r="F270">
        <f t="shared" si="23"/>
        <v>-0.25</v>
      </c>
      <c r="G270">
        <f t="shared" si="24"/>
        <v>6.25E-2</v>
      </c>
    </row>
    <row r="271" spans="1:7">
      <c r="A271">
        <v>261</v>
      </c>
      <c r="B271">
        <f t="shared" si="22"/>
        <v>0</v>
      </c>
      <c r="C271" s="28"/>
      <c r="D271" s="28"/>
      <c r="E271">
        <f t="shared" si="21"/>
        <v>0.25</v>
      </c>
      <c r="F271">
        <f t="shared" si="23"/>
        <v>-0.25</v>
      </c>
      <c r="G271">
        <f t="shared" si="24"/>
        <v>6.25E-2</v>
      </c>
    </row>
    <row r="272" spans="1:7">
      <c r="A272">
        <v>262</v>
      </c>
      <c r="B272">
        <f t="shared" si="22"/>
        <v>0</v>
      </c>
      <c r="C272" s="28"/>
      <c r="D272" s="28"/>
      <c r="E272">
        <f t="shared" si="21"/>
        <v>0.25</v>
      </c>
      <c r="F272">
        <f t="shared" si="23"/>
        <v>-0.25</v>
      </c>
      <c r="G272">
        <f t="shared" si="24"/>
        <v>6.25E-2</v>
      </c>
    </row>
    <row r="273" spans="1:7">
      <c r="A273">
        <v>263</v>
      </c>
      <c r="B273">
        <f t="shared" si="22"/>
        <v>0</v>
      </c>
      <c r="C273" s="28"/>
      <c r="D273" s="28"/>
      <c r="E273">
        <f t="shared" si="21"/>
        <v>0.25</v>
      </c>
      <c r="F273">
        <f t="shared" si="23"/>
        <v>-0.25</v>
      </c>
      <c r="G273">
        <f t="shared" si="24"/>
        <v>6.25E-2</v>
      </c>
    </row>
    <row r="274" spans="1:7">
      <c r="A274">
        <v>264</v>
      </c>
      <c r="B274">
        <f t="shared" si="22"/>
        <v>0</v>
      </c>
      <c r="C274" s="28"/>
      <c r="D274" s="28"/>
      <c r="E274">
        <f t="shared" si="21"/>
        <v>0.25</v>
      </c>
      <c r="F274">
        <f t="shared" si="23"/>
        <v>-0.25</v>
      </c>
      <c r="G274">
        <f t="shared" si="24"/>
        <v>6.25E-2</v>
      </c>
    </row>
    <row r="275" spans="1:7">
      <c r="A275">
        <v>265</v>
      </c>
      <c r="B275">
        <f t="shared" si="22"/>
        <v>0</v>
      </c>
      <c r="C275" s="28"/>
      <c r="D275" s="28"/>
      <c r="E275">
        <f t="shared" si="21"/>
        <v>0.25</v>
      </c>
      <c r="F275">
        <f t="shared" si="23"/>
        <v>-0.25</v>
      </c>
      <c r="G275">
        <f t="shared" si="24"/>
        <v>6.25E-2</v>
      </c>
    </row>
    <row r="276" spans="1:7">
      <c r="A276">
        <v>266</v>
      </c>
      <c r="B276">
        <f t="shared" si="22"/>
        <v>0</v>
      </c>
      <c r="C276" s="28"/>
      <c r="D276" s="28"/>
      <c r="E276">
        <f t="shared" si="21"/>
        <v>0.25</v>
      </c>
      <c r="F276">
        <f t="shared" si="23"/>
        <v>-0.25</v>
      </c>
      <c r="G276">
        <f t="shared" si="24"/>
        <v>6.25E-2</v>
      </c>
    </row>
    <row r="277" spans="1:7">
      <c r="A277">
        <v>267</v>
      </c>
      <c r="B277">
        <f t="shared" si="22"/>
        <v>0</v>
      </c>
      <c r="C277" s="28"/>
      <c r="D277" s="28"/>
      <c r="E277">
        <f t="shared" si="21"/>
        <v>0.25</v>
      </c>
      <c r="F277">
        <f t="shared" si="23"/>
        <v>-0.25</v>
      </c>
      <c r="G277">
        <f t="shared" si="24"/>
        <v>6.25E-2</v>
      </c>
    </row>
    <row r="278" spans="1:7">
      <c r="A278">
        <v>268</v>
      </c>
      <c r="B278">
        <f t="shared" si="22"/>
        <v>0</v>
      </c>
      <c r="C278" s="28"/>
      <c r="D278" s="28"/>
      <c r="E278">
        <f t="shared" si="21"/>
        <v>0.25</v>
      </c>
      <c r="F278">
        <f t="shared" si="23"/>
        <v>-0.25</v>
      </c>
      <c r="G278">
        <f t="shared" si="24"/>
        <v>6.25E-2</v>
      </c>
    </row>
    <row r="279" spans="1:7">
      <c r="A279">
        <v>269</v>
      </c>
      <c r="B279">
        <f t="shared" si="22"/>
        <v>0</v>
      </c>
      <c r="C279" s="28"/>
      <c r="D279" s="28"/>
      <c r="E279">
        <f t="shared" si="21"/>
        <v>0.25</v>
      </c>
      <c r="F279">
        <f t="shared" si="23"/>
        <v>-0.25</v>
      </c>
      <c r="G279">
        <f t="shared" si="24"/>
        <v>6.25E-2</v>
      </c>
    </row>
    <row r="280" spans="1:7">
      <c r="A280">
        <v>270</v>
      </c>
      <c r="B280">
        <f t="shared" si="22"/>
        <v>0</v>
      </c>
      <c r="C280" s="28"/>
      <c r="D280" s="28"/>
      <c r="E280">
        <f t="shared" si="21"/>
        <v>0.25</v>
      </c>
      <c r="F280">
        <f t="shared" si="23"/>
        <v>-0.25</v>
      </c>
      <c r="G280">
        <f t="shared" si="24"/>
        <v>6.25E-2</v>
      </c>
    </row>
    <row r="281" spans="1:7">
      <c r="A281">
        <v>271</v>
      </c>
      <c r="B281">
        <f t="shared" si="22"/>
        <v>0</v>
      </c>
      <c r="C281" s="28"/>
      <c r="D281" s="28"/>
      <c r="E281">
        <f t="shared" si="21"/>
        <v>0.25</v>
      </c>
      <c r="F281">
        <f t="shared" si="23"/>
        <v>-0.25</v>
      </c>
      <c r="G281">
        <f t="shared" si="24"/>
        <v>6.25E-2</v>
      </c>
    </row>
    <row r="282" spans="1:7">
      <c r="A282">
        <v>272</v>
      </c>
      <c r="B282">
        <f t="shared" si="22"/>
        <v>0</v>
      </c>
      <c r="C282" s="28"/>
      <c r="D282" s="28"/>
      <c r="E282">
        <f t="shared" si="21"/>
        <v>0.25</v>
      </c>
      <c r="F282">
        <f t="shared" si="23"/>
        <v>-0.25</v>
      </c>
      <c r="G282">
        <f t="shared" si="24"/>
        <v>6.25E-2</v>
      </c>
    </row>
    <row r="283" spans="1:7">
      <c r="A283">
        <v>273</v>
      </c>
      <c r="B283">
        <f t="shared" si="22"/>
        <v>0</v>
      </c>
      <c r="C283" s="28"/>
      <c r="D283" s="28"/>
      <c r="E283">
        <f t="shared" si="21"/>
        <v>0.25</v>
      </c>
      <c r="F283">
        <f t="shared" si="23"/>
        <v>-0.25</v>
      </c>
      <c r="G283">
        <f t="shared" si="24"/>
        <v>6.25E-2</v>
      </c>
    </row>
    <row r="284" spans="1:7">
      <c r="A284">
        <v>274</v>
      </c>
      <c r="B284">
        <f t="shared" si="22"/>
        <v>0</v>
      </c>
      <c r="C284" s="28"/>
      <c r="D284" s="28"/>
      <c r="E284">
        <f t="shared" si="21"/>
        <v>0.25</v>
      </c>
      <c r="F284">
        <f t="shared" si="23"/>
        <v>-0.25</v>
      </c>
      <c r="G284">
        <f t="shared" si="24"/>
        <v>6.25E-2</v>
      </c>
    </row>
    <row r="285" spans="1:7">
      <c r="A285">
        <v>275</v>
      </c>
      <c r="B285">
        <f t="shared" si="22"/>
        <v>0</v>
      </c>
      <c r="C285" s="28"/>
      <c r="D285" s="28"/>
      <c r="E285">
        <f t="shared" si="21"/>
        <v>0.25</v>
      </c>
      <c r="F285">
        <f t="shared" si="23"/>
        <v>-0.25</v>
      </c>
      <c r="G285">
        <f t="shared" si="24"/>
        <v>6.25E-2</v>
      </c>
    </row>
    <row r="286" spans="1:7">
      <c r="A286">
        <v>276</v>
      </c>
      <c r="B286">
        <f t="shared" si="22"/>
        <v>0</v>
      </c>
      <c r="C286" s="28"/>
      <c r="D286" s="28"/>
      <c r="E286">
        <f t="shared" si="21"/>
        <v>0.25</v>
      </c>
      <c r="F286">
        <f t="shared" si="23"/>
        <v>-0.25</v>
      </c>
      <c r="G286">
        <f t="shared" si="24"/>
        <v>6.25E-2</v>
      </c>
    </row>
    <row r="287" spans="1:7">
      <c r="A287">
        <v>277</v>
      </c>
      <c r="B287">
        <f t="shared" si="22"/>
        <v>0</v>
      </c>
      <c r="C287" s="28"/>
      <c r="D287" s="28"/>
      <c r="E287">
        <f t="shared" si="21"/>
        <v>0.25</v>
      </c>
      <c r="F287">
        <f t="shared" si="23"/>
        <v>-0.25</v>
      </c>
      <c r="G287">
        <f t="shared" si="24"/>
        <v>6.25E-2</v>
      </c>
    </row>
    <row r="288" spans="1:7">
      <c r="A288">
        <v>278</v>
      </c>
      <c r="B288">
        <f t="shared" si="22"/>
        <v>0</v>
      </c>
      <c r="C288" s="28"/>
      <c r="D288" s="28"/>
      <c r="E288">
        <f t="shared" si="21"/>
        <v>0.25</v>
      </c>
      <c r="F288">
        <f t="shared" si="23"/>
        <v>-0.25</v>
      </c>
      <c r="G288">
        <f t="shared" si="24"/>
        <v>6.25E-2</v>
      </c>
    </row>
    <row r="289" spans="1:7">
      <c r="A289">
        <v>279</v>
      </c>
      <c r="B289">
        <f t="shared" si="22"/>
        <v>0</v>
      </c>
      <c r="C289" s="28"/>
      <c r="D289" s="28"/>
      <c r="E289">
        <f t="shared" si="21"/>
        <v>0.25</v>
      </c>
      <c r="F289">
        <f t="shared" si="23"/>
        <v>-0.25</v>
      </c>
      <c r="G289">
        <f t="shared" si="24"/>
        <v>6.25E-2</v>
      </c>
    </row>
    <row r="290" spans="1:7">
      <c r="A290">
        <v>280</v>
      </c>
      <c r="B290">
        <f t="shared" si="22"/>
        <v>0</v>
      </c>
      <c r="C290" s="28"/>
      <c r="D290" s="28"/>
      <c r="E290">
        <f t="shared" si="21"/>
        <v>0.25</v>
      </c>
      <c r="F290">
        <f t="shared" si="23"/>
        <v>-0.25</v>
      </c>
      <c r="G290">
        <f t="shared" si="24"/>
        <v>6.25E-2</v>
      </c>
    </row>
    <row r="291" spans="1:7">
      <c r="A291">
        <v>281</v>
      </c>
      <c r="B291">
        <f t="shared" si="22"/>
        <v>0</v>
      </c>
      <c r="C291" s="28"/>
      <c r="D291" s="28"/>
      <c r="E291">
        <f t="shared" si="21"/>
        <v>0.25</v>
      </c>
      <c r="F291">
        <f t="shared" si="23"/>
        <v>-0.25</v>
      </c>
      <c r="G291">
        <f t="shared" si="24"/>
        <v>6.25E-2</v>
      </c>
    </row>
    <row r="292" spans="1:7">
      <c r="A292">
        <v>282</v>
      </c>
      <c r="B292">
        <f t="shared" si="22"/>
        <v>0</v>
      </c>
      <c r="C292" s="28"/>
      <c r="D292" s="28"/>
      <c r="E292">
        <f t="shared" si="21"/>
        <v>0.25</v>
      </c>
      <c r="F292">
        <f t="shared" si="23"/>
        <v>-0.25</v>
      </c>
      <c r="G292">
        <f t="shared" si="24"/>
        <v>6.25E-2</v>
      </c>
    </row>
    <row r="293" spans="1:7">
      <c r="A293">
        <v>283</v>
      </c>
      <c r="B293">
        <f t="shared" si="22"/>
        <v>0</v>
      </c>
      <c r="C293" s="28"/>
      <c r="D293" s="28"/>
      <c r="E293">
        <f t="shared" si="21"/>
        <v>0.25</v>
      </c>
      <c r="F293">
        <f t="shared" si="23"/>
        <v>-0.25</v>
      </c>
      <c r="G293">
        <f t="shared" si="24"/>
        <v>6.25E-2</v>
      </c>
    </row>
    <row r="294" spans="1:7">
      <c r="A294">
        <v>284</v>
      </c>
      <c r="B294">
        <f t="shared" si="22"/>
        <v>0</v>
      </c>
      <c r="C294" s="28"/>
      <c r="D294" s="28"/>
      <c r="E294">
        <f t="shared" si="21"/>
        <v>0.25</v>
      </c>
      <c r="F294">
        <f t="shared" si="23"/>
        <v>-0.25</v>
      </c>
      <c r="G294">
        <f t="shared" si="24"/>
        <v>6.25E-2</v>
      </c>
    </row>
    <row r="295" spans="1:7">
      <c r="A295">
        <v>285</v>
      </c>
      <c r="B295">
        <f t="shared" si="22"/>
        <v>0</v>
      </c>
      <c r="C295" s="28"/>
      <c r="D295" s="28"/>
      <c r="E295">
        <f t="shared" si="21"/>
        <v>0.25</v>
      </c>
      <c r="F295">
        <f t="shared" si="23"/>
        <v>-0.25</v>
      </c>
      <c r="G295">
        <f t="shared" si="24"/>
        <v>6.25E-2</v>
      </c>
    </row>
    <row r="296" spans="1:7">
      <c r="A296">
        <v>286</v>
      </c>
      <c r="B296">
        <f t="shared" si="22"/>
        <v>0</v>
      </c>
      <c r="C296" s="28"/>
      <c r="D296" s="28"/>
      <c r="E296">
        <f t="shared" si="21"/>
        <v>0.25</v>
      </c>
      <c r="F296">
        <f t="shared" si="23"/>
        <v>-0.25</v>
      </c>
      <c r="G296">
        <f t="shared" si="24"/>
        <v>6.25E-2</v>
      </c>
    </row>
    <row r="297" spans="1:7">
      <c r="A297">
        <v>287</v>
      </c>
      <c r="B297">
        <f t="shared" si="22"/>
        <v>0</v>
      </c>
      <c r="C297" s="28"/>
      <c r="D297" s="28"/>
      <c r="E297">
        <f t="shared" si="21"/>
        <v>0.25</v>
      </c>
      <c r="F297">
        <f t="shared" si="23"/>
        <v>-0.25</v>
      </c>
      <c r="G297">
        <f t="shared" si="24"/>
        <v>6.25E-2</v>
      </c>
    </row>
    <row r="298" spans="1:7">
      <c r="A298">
        <v>288</v>
      </c>
      <c r="B298">
        <f t="shared" si="22"/>
        <v>0</v>
      </c>
      <c r="C298" s="28"/>
      <c r="D298" s="28"/>
      <c r="E298">
        <f t="shared" si="21"/>
        <v>0.25</v>
      </c>
      <c r="F298">
        <f t="shared" si="23"/>
        <v>-0.25</v>
      </c>
      <c r="G298">
        <f t="shared" si="24"/>
        <v>6.25E-2</v>
      </c>
    </row>
    <row r="299" spans="1:7">
      <c r="A299">
        <v>289</v>
      </c>
      <c r="B299">
        <f t="shared" si="22"/>
        <v>0</v>
      </c>
      <c r="C299" s="28"/>
      <c r="D299" s="28"/>
      <c r="E299">
        <f t="shared" si="21"/>
        <v>0.25</v>
      </c>
      <c r="F299">
        <f t="shared" si="23"/>
        <v>-0.25</v>
      </c>
      <c r="G299">
        <f t="shared" si="24"/>
        <v>6.25E-2</v>
      </c>
    </row>
    <row r="300" spans="1:7">
      <c r="A300">
        <v>290</v>
      </c>
      <c r="B300">
        <f t="shared" si="22"/>
        <v>0</v>
      </c>
      <c r="C300" s="28"/>
      <c r="D300" s="28"/>
      <c r="E300">
        <f t="shared" si="21"/>
        <v>0.25</v>
      </c>
      <c r="F300">
        <f t="shared" si="23"/>
        <v>-0.25</v>
      </c>
      <c r="G300">
        <f t="shared" si="24"/>
        <v>6.25E-2</v>
      </c>
    </row>
    <row r="301" spans="1:7">
      <c r="A301">
        <v>291</v>
      </c>
      <c r="B301">
        <f t="shared" si="22"/>
        <v>0</v>
      </c>
      <c r="C301" s="28"/>
      <c r="D301" s="28"/>
      <c r="E301">
        <f t="shared" si="21"/>
        <v>0.25</v>
      </c>
      <c r="F301">
        <f t="shared" si="23"/>
        <v>-0.25</v>
      </c>
      <c r="G301">
        <f t="shared" si="24"/>
        <v>6.25E-2</v>
      </c>
    </row>
    <row r="302" spans="1:7">
      <c r="A302">
        <v>292</v>
      </c>
      <c r="B302">
        <f t="shared" si="22"/>
        <v>0</v>
      </c>
      <c r="C302" s="28"/>
      <c r="D302" s="28"/>
      <c r="E302">
        <f t="shared" si="21"/>
        <v>0.25</v>
      </c>
      <c r="F302">
        <f t="shared" si="23"/>
        <v>-0.25</v>
      </c>
      <c r="G302">
        <f t="shared" si="24"/>
        <v>6.25E-2</v>
      </c>
    </row>
    <row r="303" spans="1:7">
      <c r="A303">
        <v>293</v>
      </c>
      <c r="B303">
        <f t="shared" si="22"/>
        <v>0</v>
      </c>
      <c r="C303" s="28"/>
      <c r="D303" s="28"/>
      <c r="E303">
        <f t="shared" si="21"/>
        <v>0.25</v>
      </c>
      <c r="F303">
        <f t="shared" si="23"/>
        <v>-0.25</v>
      </c>
      <c r="G303">
        <f t="shared" si="24"/>
        <v>6.25E-2</v>
      </c>
    </row>
    <row r="304" spans="1:7">
      <c r="A304">
        <v>294</v>
      </c>
      <c r="B304">
        <f t="shared" si="22"/>
        <v>0</v>
      </c>
      <c r="C304" s="28"/>
      <c r="D304" s="28"/>
      <c r="E304">
        <f t="shared" si="21"/>
        <v>0.25</v>
      </c>
      <c r="F304">
        <f t="shared" si="23"/>
        <v>-0.25</v>
      </c>
      <c r="G304">
        <f t="shared" si="24"/>
        <v>6.25E-2</v>
      </c>
    </row>
    <row r="305" spans="1:7">
      <c r="A305">
        <v>295</v>
      </c>
      <c r="B305">
        <f t="shared" si="22"/>
        <v>0</v>
      </c>
      <c r="C305" s="28"/>
      <c r="D305" s="28"/>
      <c r="E305">
        <f t="shared" si="21"/>
        <v>0.25</v>
      </c>
      <c r="F305">
        <f t="shared" si="23"/>
        <v>-0.25</v>
      </c>
      <c r="G305">
        <f t="shared" si="24"/>
        <v>6.25E-2</v>
      </c>
    </row>
    <row r="306" spans="1:7">
      <c r="A306">
        <v>296</v>
      </c>
      <c r="B306">
        <f t="shared" si="22"/>
        <v>0</v>
      </c>
      <c r="C306" s="28"/>
      <c r="D306" s="28"/>
      <c r="E306">
        <f t="shared" si="21"/>
        <v>0.25</v>
      </c>
      <c r="F306">
        <f t="shared" si="23"/>
        <v>-0.25</v>
      </c>
      <c r="G306">
        <f t="shared" si="24"/>
        <v>6.25E-2</v>
      </c>
    </row>
    <row r="307" spans="1:7">
      <c r="A307">
        <v>297</v>
      </c>
      <c r="B307">
        <f t="shared" si="22"/>
        <v>0</v>
      </c>
      <c r="C307" s="28"/>
      <c r="D307" s="28"/>
      <c r="E307">
        <f t="shared" si="21"/>
        <v>0.25</v>
      </c>
      <c r="F307">
        <f t="shared" si="23"/>
        <v>-0.25</v>
      </c>
      <c r="G307">
        <f t="shared" si="24"/>
        <v>6.25E-2</v>
      </c>
    </row>
    <row r="308" spans="1:7">
      <c r="A308">
        <v>298</v>
      </c>
      <c r="B308">
        <f t="shared" si="22"/>
        <v>0</v>
      </c>
      <c r="C308" s="28"/>
      <c r="D308" s="28"/>
      <c r="E308">
        <f t="shared" si="21"/>
        <v>0.25</v>
      </c>
      <c r="F308">
        <f t="shared" si="23"/>
        <v>-0.25</v>
      </c>
      <c r="G308">
        <f t="shared" si="24"/>
        <v>6.25E-2</v>
      </c>
    </row>
    <row r="309" spans="1:7">
      <c r="A309">
        <v>299</v>
      </c>
      <c r="B309">
        <f t="shared" si="22"/>
        <v>0</v>
      </c>
      <c r="C309" s="28"/>
      <c r="D309" s="28"/>
      <c r="E309">
        <f t="shared" si="21"/>
        <v>0.25</v>
      </c>
      <c r="F309">
        <f t="shared" si="23"/>
        <v>-0.25</v>
      </c>
      <c r="G309">
        <f t="shared" si="24"/>
        <v>6.25E-2</v>
      </c>
    </row>
    <row r="310" spans="1:7">
      <c r="A310">
        <v>300</v>
      </c>
      <c r="B310">
        <f t="shared" si="22"/>
        <v>0</v>
      </c>
      <c r="C310" s="28"/>
      <c r="D310" s="28"/>
      <c r="E310">
        <f t="shared" si="21"/>
        <v>0.25</v>
      </c>
      <c r="F310">
        <f t="shared" si="23"/>
        <v>-0.25</v>
      </c>
      <c r="G310">
        <f t="shared" si="24"/>
        <v>6.25E-2</v>
      </c>
    </row>
    <row r="311" spans="1:7">
      <c r="A311">
        <v>301</v>
      </c>
      <c r="B311">
        <f t="shared" si="22"/>
        <v>0</v>
      </c>
      <c r="C311" s="28"/>
      <c r="D311" s="28"/>
      <c r="E311">
        <f t="shared" si="21"/>
        <v>0.25</v>
      </c>
      <c r="F311">
        <f t="shared" si="23"/>
        <v>-0.25</v>
      </c>
      <c r="G311">
        <f t="shared" si="24"/>
        <v>6.25E-2</v>
      </c>
    </row>
    <row r="312" spans="1:7">
      <c r="A312">
        <v>302</v>
      </c>
      <c r="B312">
        <f t="shared" si="22"/>
        <v>0</v>
      </c>
      <c r="C312" s="28"/>
      <c r="D312" s="28"/>
      <c r="E312">
        <f t="shared" si="21"/>
        <v>0.25</v>
      </c>
      <c r="F312">
        <f t="shared" si="23"/>
        <v>-0.25</v>
      </c>
      <c r="G312">
        <f t="shared" si="24"/>
        <v>6.25E-2</v>
      </c>
    </row>
    <row r="313" spans="1:7">
      <c r="A313">
        <v>303</v>
      </c>
      <c r="B313">
        <f t="shared" si="22"/>
        <v>0</v>
      </c>
      <c r="C313" s="28"/>
      <c r="D313" s="28"/>
      <c r="E313">
        <f t="shared" si="21"/>
        <v>0.25</v>
      </c>
      <c r="F313">
        <f t="shared" si="23"/>
        <v>-0.25</v>
      </c>
      <c r="G313">
        <f t="shared" si="24"/>
        <v>6.25E-2</v>
      </c>
    </row>
    <row r="314" spans="1:7">
      <c r="A314">
        <v>304</v>
      </c>
      <c r="B314">
        <f t="shared" si="22"/>
        <v>0</v>
      </c>
      <c r="C314" s="28"/>
      <c r="D314" s="28"/>
      <c r="E314">
        <f t="shared" si="21"/>
        <v>0.25</v>
      </c>
      <c r="F314">
        <f t="shared" si="23"/>
        <v>-0.25</v>
      </c>
      <c r="G314">
        <f t="shared" si="24"/>
        <v>6.25E-2</v>
      </c>
    </row>
    <row r="315" spans="1:7">
      <c r="A315">
        <v>305</v>
      </c>
      <c r="B315">
        <f t="shared" si="22"/>
        <v>0</v>
      </c>
      <c r="C315" s="28"/>
      <c r="D315" s="28"/>
      <c r="E315">
        <f t="shared" si="21"/>
        <v>0.25</v>
      </c>
      <c r="F315">
        <f t="shared" si="23"/>
        <v>-0.25</v>
      </c>
      <c r="G315">
        <f t="shared" si="24"/>
        <v>6.25E-2</v>
      </c>
    </row>
    <row r="316" spans="1:7">
      <c r="A316">
        <v>306</v>
      </c>
      <c r="B316">
        <f t="shared" si="22"/>
        <v>0</v>
      </c>
      <c r="C316" s="28"/>
      <c r="D316" s="28"/>
      <c r="E316">
        <f t="shared" si="21"/>
        <v>0.25</v>
      </c>
      <c r="F316">
        <f t="shared" si="23"/>
        <v>-0.25</v>
      </c>
      <c r="G316">
        <f t="shared" si="24"/>
        <v>6.25E-2</v>
      </c>
    </row>
    <row r="317" spans="1:7">
      <c r="A317">
        <v>307</v>
      </c>
      <c r="B317">
        <f t="shared" si="22"/>
        <v>0</v>
      </c>
      <c r="C317" s="28"/>
      <c r="D317" s="28"/>
      <c r="E317">
        <f t="shared" si="21"/>
        <v>0.25</v>
      </c>
      <c r="F317">
        <f t="shared" si="23"/>
        <v>-0.25</v>
      </c>
      <c r="G317">
        <f t="shared" si="24"/>
        <v>6.25E-2</v>
      </c>
    </row>
    <row r="318" spans="1:7">
      <c r="A318">
        <v>308</v>
      </c>
      <c r="B318">
        <f t="shared" si="22"/>
        <v>0</v>
      </c>
      <c r="C318" s="28"/>
      <c r="D318" s="28"/>
      <c r="E318">
        <f t="shared" si="21"/>
        <v>0.25</v>
      </c>
      <c r="F318">
        <f t="shared" si="23"/>
        <v>-0.25</v>
      </c>
      <c r="G318">
        <f t="shared" si="24"/>
        <v>6.25E-2</v>
      </c>
    </row>
    <row r="319" spans="1:7">
      <c r="A319">
        <v>309</v>
      </c>
      <c r="B319">
        <f t="shared" si="22"/>
        <v>0</v>
      </c>
      <c r="C319" s="28"/>
      <c r="D319" s="28"/>
      <c r="E319">
        <f t="shared" si="21"/>
        <v>0.25</v>
      </c>
      <c r="F319">
        <f t="shared" si="23"/>
        <v>-0.25</v>
      </c>
      <c r="G319">
        <f t="shared" si="24"/>
        <v>6.25E-2</v>
      </c>
    </row>
    <row r="320" spans="1:7">
      <c r="A320">
        <v>310</v>
      </c>
      <c r="B320">
        <f t="shared" si="22"/>
        <v>0</v>
      </c>
      <c r="C320" s="28"/>
      <c r="D320" s="28"/>
      <c r="E320">
        <f t="shared" si="21"/>
        <v>0.25</v>
      </c>
      <c r="F320">
        <f t="shared" si="23"/>
        <v>-0.25</v>
      </c>
      <c r="G320">
        <f t="shared" si="24"/>
        <v>6.25E-2</v>
      </c>
    </row>
    <row r="321" spans="1:7">
      <c r="A321">
        <v>311</v>
      </c>
      <c r="B321">
        <f t="shared" si="22"/>
        <v>0</v>
      </c>
      <c r="C321" s="28"/>
      <c r="D321" s="28"/>
      <c r="E321">
        <f t="shared" si="21"/>
        <v>0.25</v>
      </c>
      <c r="F321">
        <f t="shared" si="23"/>
        <v>-0.25</v>
      </c>
      <c r="G321">
        <f t="shared" si="24"/>
        <v>6.25E-2</v>
      </c>
    </row>
    <row r="322" spans="1:7">
      <c r="A322">
        <v>312</v>
      </c>
      <c r="B322">
        <f t="shared" si="22"/>
        <v>0</v>
      </c>
      <c r="C322" s="28"/>
      <c r="D322" s="28"/>
      <c r="E322">
        <f t="shared" si="21"/>
        <v>0.25</v>
      </c>
      <c r="F322">
        <f t="shared" si="23"/>
        <v>-0.25</v>
      </c>
      <c r="G322">
        <f t="shared" si="24"/>
        <v>6.25E-2</v>
      </c>
    </row>
    <row r="323" spans="1:7">
      <c r="A323">
        <v>313</v>
      </c>
      <c r="B323">
        <f t="shared" si="22"/>
        <v>0</v>
      </c>
      <c r="C323" s="28"/>
      <c r="D323" s="28"/>
      <c r="E323">
        <f t="shared" si="21"/>
        <v>0.25</v>
      </c>
      <c r="F323">
        <f t="shared" si="23"/>
        <v>-0.25</v>
      </c>
      <c r="G323">
        <f t="shared" si="24"/>
        <v>6.25E-2</v>
      </c>
    </row>
    <row r="324" spans="1:7">
      <c r="A324">
        <v>314</v>
      </c>
      <c r="B324">
        <f t="shared" si="22"/>
        <v>0</v>
      </c>
      <c r="C324" s="28"/>
      <c r="D324" s="28"/>
      <c r="E324">
        <f t="shared" si="21"/>
        <v>0.25</v>
      </c>
      <c r="F324">
        <f t="shared" si="23"/>
        <v>-0.25</v>
      </c>
      <c r="G324">
        <f t="shared" si="24"/>
        <v>6.25E-2</v>
      </c>
    </row>
    <row r="325" spans="1:7">
      <c r="A325">
        <v>315</v>
      </c>
      <c r="B325">
        <f t="shared" si="22"/>
        <v>0</v>
      </c>
      <c r="C325" s="28"/>
      <c r="D325" s="28"/>
      <c r="E325">
        <f t="shared" si="21"/>
        <v>0.25</v>
      </c>
      <c r="F325">
        <f t="shared" si="23"/>
        <v>-0.25</v>
      </c>
      <c r="G325">
        <f t="shared" si="24"/>
        <v>6.25E-2</v>
      </c>
    </row>
    <row r="326" spans="1:7">
      <c r="A326">
        <v>316</v>
      </c>
      <c r="B326">
        <f t="shared" si="22"/>
        <v>0</v>
      </c>
      <c r="C326" s="28"/>
      <c r="D326" s="28"/>
      <c r="E326">
        <f t="shared" si="21"/>
        <v>0.25</v>
      </c>
      <c r="F326">
        <f t="shared" si="23"/>
        <v>-0.25</v>
      </c>
      <c r="G326">
        <f t="shared" si="24"/>
        <v>6.25E-2</v>
      </c>
    </row>
    <row r="327" spans="1:7">
      <c r="A327">
        <v>317</v>
      </c>
      <c r="B327">
        <f t="shared" si="22"/>
        <v>0</v>
      </c>
      <c r="C327" s="28"/>
      <c r="D327" s="28"/>
      <c r="E327">
        <f t="shared" si="21"/>
        <v>0.25</v>
      </c>
      <c r="F327">
        <f t="shared" si="23"/>
        <v>-0.25</v>
      </c>
      <c r="G327">
        <f t="shared" si="24"/>
        <v>6.25E-2</v>
      </c>
    </row>
    <row r="328" spans="1:7">
      <c r="A328">
        <v>318</v>
      </c>
      <c r="B328">
        <f t="shared" si="22"/>
        <v>0</v>
      </c>
      <c r="C328" s="28"/>
      <c r="D328" s="28"/>
      <c r="E328">
        <f t="shared" si="21"/>
        <v>0.25</v>
      </c>
      <c r="F328">
        <f t="shared" si="23"/>
        <v>-0.25</v>
      </c>
      <c r="G328">
        <f t="shared" si="24"/>
        <v>6.25E-2</v>
      </c>
    </row>
    <row r="329" spans="1:7">
      <c r="A329">
        <v>319</v>
      </c>
      <c r="B329">
        <f t="shared" si="22"/>
        <v>0</v>
      </c>
      <c r="C329" s="28"/>
      <c r="D329" s="28"/>
      <c r="E329">
        <f t="shared" si="21"/>
        <v>0.25</v>
      </c>
      <c r="F329">
        <f t="shared" si="23"/>
        <v>-0.25</v>
      </c>
      <c r="G329">
        <f t="shared" si="24"/>
        <v>6.25E-2</v>
      </c>
    </row>
    <row r="330" spans="1:7">
      <c r="A330">
        <v>320</v>
      </c>
      <c r="B330">
        <f t="shared" si="22"/>
        <v>0</v>
      </c>
      <c r="C330" s="28"/>
      <c r="D330" s="28"/>
      <c r="E330">
        <f t="shared" si="21"/>
        <v>0.25</v>
      </c>
      <c r="F330">
        <f t="shared" si="23"/>
        <v>-0.25</v>
      </c>
      <c r="G330">
        <f t="shared" si="24"/>
        <v>6.25E-2</v>
      </c>
    </row>
    <row r="331" spans="1:7">
      <c r="A331">
        <v>321</v>
      </c>
      <c r="B331">
        <f t="shared" si="22"/>
        <v>0</v>
      </c>
      <c r="C331" s="28"/>
      <c r="D331" s="28"/>
      <c r="E331">
        <f t="shared" ref="E331:E394" si="25">BaseAdjust+(ampl1*EXP(-gamma1*C331)+ampl2*EXP(-gamma2*C331)+ampl3*EXP(-gamma3*C331))^2</f>
        <v>0.25</v>
      </c>
      <c r="F331">
        <f t="shared" si="23"/>
        <v>-0.25</v>
      </c>
      <c r="G331">
        <f t="shared" si="24"/>
        <v>6.25E-2</v>
      </c>
    </row>
    <row r="332" spans="1:7">
      <c r="A332">
        <v>322</v>
      </c>
      <c r="B332">
        <f t="shared" ref="B332:B395" si="26">C332/1000</f>
        <v>0</v>
      </c>
      <c r="C332" s="28"/>
      <c r="D332" s="28"/>
      <c r="E332">
        <f t="shared" si="25"/>
        <v>0.25</v>
      </c>
      <c r="F332">
        <f t="shared" ref="F332:F395" si="27">D332-E332</f>
        <v>-0.25</v>
      </c>
      <c r="G332">
        <f t="shared" ref="G332:G395" si="28">F332^2</f>
        <v>6.25E-2</v>
      </c>
    </row>
    <row r="333" spans="1:7">
      <c r="A333">
        <v>323</v>
      </c>
      <c r="B333">
        <f t="shared" si="26"/>
        <v>0</v>
      </c>
      <c r="C333" s="28"/>
      <c r="D333" s="28"/>
      <c r="E333">
        <f t="shared" si="25"/>
        <v>0.25</v>
      </c>
      <c r="F333">
        <f t="shared" si="27"/>
        <v>-0.25</v>
      </c>
      <c r="G333">
        <f t="shared" si="28"/>
        <v>6.25E-2</v>
      </c>
    </row>
    <row r="334" spans="1:7">
      <c r="A334">
        <v>324</v>
      </c>
      <c r="B334">
        <f t="shared" si="26"/>
        <v>0</v>
      </c>
      <c r="C334" s="28"/>
      <c r="D334" s="28"/>
      <c r="E334">
        <f t="shared" si="25"/>
        <v>0.25</v>
      </c>
      <c r="F334">
        <f t="shared" si="27"/>
        <v>-0.25</v>
      </c>
      <c r="G334">
        <f t="shared" si="28"/>
        <v>6.25E-2</v>
      </c>
    </row>
    <row r="335" spans="1:7">
      <c r="A335">
        <v>325</v>
      </c>
      <c r="B335">
        <f t="shared" si="26"/>
        <v>0</v>
      </c>
      <c r="C335" s="28"/>
      <c r="D335" s="28"/>
      <c r="E335">
        <f t="shared" si="25"/>
        <v>0.25</v>
      </c>
      <c r="F335">
        <f t="shared" si="27"/>
        <v>-0.25</v>
      </c>
      <c r="G335">
        <f t="shared" si="28"/>
        <v>6.25E-2</v>
      </c>
    </row>
    <row r="336" spans="1:7">
      <c r="A336">
        <v>326</v>
      </c>
      <c r="B336">
        <f t="shared" si="26"/>
        <v>0</v>
      </c>
      <c r="C336" s="28"/>
      <c r="D336" s="28"/>
      <c r="E336">
        <f t="shared" si="25"/>
        <v>0.25</v>
      </c>
      <c r="F336">
        <f t="shared" si="27"/>
        <v>-0.25</v>
      </c>
      <c r="G336">
        <f t="shared" si="28"/>
        <v>6.25E-2</v>
      </c>
    </row>
    <row r="337" spans="1:7">
      <c r="A337">
        <v>327</v>
      </c>
      <c r="B337">
        <f t="shared" si="26"/>
        <v>0</v>
      </c>
      <c r="C337" s="28"/>
      <c r="D337" s="28"/>
      <c r="E337">
        <f t="shared" si="25"/>
        <v>0.25</v>
      </c>
      <c r="F337">
        <f t="shared" si="27"/>
        <v>-0.25</v>
      </c>
      <c r="G337">
        <f t="shared" si="28"/>
        <v>6.25E-2</v>
      </c>
    </row>
    <row r="338" spans="1:7">
      <c r="A338">
        <v>328</v>
      </c>
      <c r="B338">
        <f t="shared" si="26"/>
        <v>0</v>
      </c>
      <c r="C338" s="28"/>
      <c r="D338" s="28"/>
      <c r="E338">
        <f t="shared" si="25"/>
        <v>0.25</v>
      </c>
      <c r="F338">
        <f t="shared" si="27"/>
        <v>-0.25</v>
      </c>
      <c r="G338">
        <f t="shared" si="28"/>
        <v>6.25E-2</v>
      </c>
    </row>
    <row r="339" spans="1:7">
      <c r="A339">
        <v>329</v>
      </c>
      <c r="B339">
        <f t="shared" si="26"/>
        <v>0</v>
      </c>
      <c r="C339" s="28"/>
      <c r="D339" s="28"/>
      <c r="E339">
        <f t="shared" si="25"/>
        <v>0.25</v>
      </c>
      <c r="F339">
        <f t="shared" si="27"/>
        <v>-0.25</v>
      </c>
      <c r="G339">
        <f t="shared" si="28"/>
        <v>6.25E-2</v>
      </c>
    </row>
    <row r="340" spans="1:7">
      <c r="A340">
        <v>330</v>
      </c>
      <c r="B340">
        <f t="shared" si="26"/>
        <v>0</v>
      </c>
      <c r="C340" s="28"/>
      <c r="D340" s="28"/>
      <c r="E340">
        <f t="shared" si="25"/>
        <v>0.25</v>
      </c>
      <c r="F340">
        <f t="shared" si="27"/>
        <v>-0.25</v>
      </c>
      <c r="G340">
        <f t="shared" si="28"/>
        <v>6.25E-2</v>
      </c>
    </row>
    <row r="341" spans="1:7">
      <c r="A341">
        <v>331</v>
      </c>
      <c r="B341">
        <f t="shared" si="26"/>
        <v>0</v>
      </c>
      <c r="C341" s="28"/>
      <c r="D341" s="28"/>
      <c r="E341">
        <f t="shared" si="25"/>
        <v>0.25</v>
      </c>
      <c r="F341">
        <f t="shared" si="27"/>
        <v>-0.25</v>
      </c>
      <c r="G341">
        <f t="shared" si="28"/>
        <v>6.25E-2</v>
      </c>
    </row>
    <row r="342" spans="1:7">
      <c r="A342">
        <v>332</v>
      </c>
      <c r="B342">
        <f t="shared" si="26"/>
        <v>0</v>
      </c>
      <c r="C342" s="28"/>
      <c r="D342" s="28"/>
      <c r="E342">
        <f t="shared" si="25"/>
        <v>0.25</v>
      </c>
      <c r="F342">
        <f t="shared" si="27"/>
        <v>-0.25</v>
      </c>
      <c r="G342">
        <f t="shared" si="28"/>
        <v>6.25E-2</v>
      </c>
    </row>
    <row r="343" spans="1:7">
      <c r="A343">
        <v>333</v>
      </c>
      <c r="B343">
        <f t="shared" si="26"/>
        <v>0</v>
      </c>
      <c r="C343" s="28"/>
      <c r="D343" s="28"/>
      <c r="E343">
        <f t="shared" si="25"/>
        <v>0.25</v>
      </c>
      <c r="F343">
        <f t="shared" si="27"/>
        <v>-0.25</v>
      </c>
      <c r="G343">
        <f t="shared" si="28"/>
        <v>6.25E-2</v>
      </c>
    </row>
    <row r="344" spans="1:7">
      <c r="A344">
        <v>334</v>
      </c>
      <c r="B344">
        <f t="shared" si="26"/>
        <v>0</v>
      </c>
      <c r="C344" s="28"/>
      <c r="D344" s="28"/>
      <c r="E344">
        <f t="shared" si="25"/>
        <v>0.25</v>
      </c>
      <c r="F344">
        <f t="shared" si="27"/>
        <v>-0.25</v>
      </c>
      <c r="G344">
        <f t="shared" si="28"/>
        <v>6.25E-2</v>
      </c>
    </row>
    <row r="345" spans="1:7">
      <c r="A345">
        <v>335</v>
      </c>
      <c r="B345">
        <f t="shared" si="26"/>
        <v>0</v>
      </c>
      <c r="C345" s="28"/>
      <c r="D345" s="28"/>
      <c r="E345">
        <f t="shared" si="25"/>
        <v>0.25</v>
      </c>
      <c r="F345">
        <f t="shared" si="27"/>
        <v>-0.25</v>
      </c>
      <c r="G345">
        <f t="shared" si="28"/>
        <v>6.25E-2</v>
      </c>
    </row>
    <row r="346" spans="1:7">
      <c r="A346">
        <v>336</v>
      </c>
      <c r="B346">
        <f t="shared" si="26"/>
        <v>0</v>
      </c>
      <c r="C346" s="28"/>
      <c r="D346" s="28"/>
      <c r="E346">
        <f t="shared" si="25"/>
        <v>0.25</v>
      </c>
      <c r="F346">
        <f t="shared" si="27"/>
        <v>-0.25</v>
      </c>
      <c r="G346">
        <f t="shared" si="28"/>
        <v>6.25E-2</v>
      </c>
    </row>
    <row r="347" spans="1:7">
      <c r="A347">
        <v>337</v>
      </c>
      <c r="B347">
        <f t="shared" si="26"/>
        <v>0</v>
      </c>
      <c r="C347" s="28"/>
      <c r="D347" s="28"/>
      <c r="E347">
        <f t="shared" si="25"/>
        <v>0.25</v>
      </c>
      <c r="F347">
        <f t="shared" si="27"/>
        <v>-0.25</v>
      </c>
      <c r="G347">
        <f t="shared" si="28"/>
        <v>6.25E-2</v>
      </c>
    </row>
    <row r="348" spans="1:7">
      <c r="A348">
        <v>338</v>
      </c>
      <c r="B348">
        <f t="shared" si="26"/>
        <v>0</v>
      </c>
      <c r="C348" s="28"/>
      <c r="D348" s="28"/>
      <c r="E348">
        <f t="shared" si="25"/>
        <v>0.25</v>
      </c>
      <c r="F348">
        <f t="shared" si="27"/>
        <v>-0.25</v>
      </c>
      <c r="G348">
        <f t="shared" si="28"/>
        <v>6.25E-2</v>
      </c>
    </row>
    <row r="349" spans="1:7">
      <c r="A349">
        <v>339</v>
      </c>
      <c r="B349">
        <f t="shared" si="26"/>
        <v>0</v>
      </c>
      <c r="C349" s="28"/>
      <c r="D349" s="28"/>
      <c r="E349">
        <f t="shared" si="25"/>
        <v>0.25</v>
      </c>
      <c r="F349">
        <f t="shared" si="27"/>
        <v>-0.25</v>
      </c>
      <c r="G349">
        <f t="shared" si="28"/>
        <v>6.25E-2</v>
      </c>
    </row>
    <row r="350" spans="1:7">
      <c r="A350">
        <v>340</v>
      </c>
      <c r="B350">
        <f t="shared" si="26"/>
        <v>0</v>
      </c>
      <c r="C350" s="28"/>
      <c r="D350" s="28"/>
      <c r="E350">
        <f t="shared" si="25"/>
        <v>0.25</v>
      </c>
      <c r="F350">
        <f t="shared" si="27"/>
        <v>-0.25</v>
      </c>
      <c r="G350">
        <f t="shared" si="28"/>
        <v>6.25E-2</v>
      </c>
    </row>
    <row r="351" spans="1:7">
      <c r="A351">
        <v>341</v>
      </c>
      <c r="B351">
        <f t="shared" si="26"/>
        <v>0</v>
      </c>
      <c r="C351" s="28"/>
      <c r="D351" s="28"/>
      <c r="E351">
        <f t="shared" si="25"/>
        <v>0.25</v>
      </c>
      <c r="F351">
        <f t="shared" si="27"/>
        <v>-0.25</v>
      </c>
      <c r="G351">
        <f t="shared" si="28"/>
        <v>6.25E-2</v>
      </c>
    </row>
    <row r="352" spans="1:7">
      <c r="A352">
        <v>342</v>
      </c>
      <c r="B352">
        <f t="shared" si="26"/>
        <v>0</v>
      </c>
      <c r="C352" s="28"/>
      <c r="D352" s="28"/>
      <c r="E352">
        <f t="shared" si="25"/>
        <v>0.25</v>
      </c>
      <c r="F352">
        <f t="shared" si="27"/>
        <v>-0.25</v>
      </c>
      <c r="G352">
        <f t="shared" si="28"/>
        <v>6.25E-2</v>
      </c>
    </row>
    <row r="353" spans="1:7">
      <c r="A353">
        <v>343</v>
      </c>
      <c r="B353">
        <f t="shared" si="26"/>
        <v>0</v>
      </c>
      <c r="C353" s="28"/>
      <c r="D353" s="28"/>
      <c r="E353">
        <f t="shared" si="25"/>
        <v>0.25</v>
      </c>
      <c r="F353">
        <f t="shared" si="27"/>
        <v>-0.25</v>
      </c>
      <c r="G353">
        <f t="shared" si="28"/>
        <v>6.25E-2</v>
      </c>
    </row>
    <row r="354" spans="1:7">
      <c r="A354">
        <v>344</v>
      </c>
      <c r="B354">
        <f t="shared" si="26"/>
        <v>0</v>
      </c>
      <c r="C354" s="28"/>
      <c r="D354" s="28"/>
      <c r="E354">
        <f t="shared" si="25"/>
        <v>0.25</v>
      </c>
      <c r="F354">
        <f t="shared" si="27"/>
        <v>-0.25</v>
      </c>
      <c r="G354">
        <f t="shared" si="28"/>
        <v>6.25E-2</v>
      </c>
    </row>
    <row r="355" spans="1:7">
      <c r="A355">
        <v>345</v>
      </c>
      <c r="B355">
        <f t="shared" si="26"/>
        <v>0</v>
      </c>
      <c r="C355" s="28"/>
      <c r="D355" s="28"/>
      <c r="E355">
        <f t="shared" si="25"/>
        <v>0.25</v>
      </c>
      <c r="F355">
        <f t="shared" si="27"/>
        <v>-0.25</v>
      </c>
      <c r="G355">
        <f t="shared" si="28"/>
        <v>6.25E-2</v>
      </c>
    </row>
    <row r="356" spans="1:7">
      <c r="A356">
        <v>346</v>
      </c>
      <c r="B356">
        <f t="shared" si="26"/>
        <v>0</v>
      </c>
      <c r="C356" s="28"/>
      <c r="D356" s="28"/>
      <c r="E356">
        <f t="shared" si="25"/>
        <v>0.25</v>
      </c>
      <c r="F356">
        <f t="shared" si="27"/>
        <v>-0.25</v>
      </c>
      <c r="G356">
        <f t="shared" si="28"/>
        <v>6.25E-2</v>
      </c>
    </row>
    <row r="357" spans="1:7">
      <c r="A357">
        <v>347</v>
      </c>
      <c r="B357">
        <f t="shared" si="26"/>
        <v>0</v>
      </c>
      <c r="C357" s="28"/>
      <c r="D357" s="28"/>
      <c r="E357">
        <f t="shared" si="25"/>
        <v>0.25</v>
      </c>
      <c r="F357">
        <f t="shared" si="27"/>
        <v>-0.25</v>
      </c>
      <c r="G357">
        <f t="shared" si="28"/>
        <v>6.25E-2</v>
      </c>
    </row>
    <row r="358" spans="1:7">
      <c r="A358">
        <v>348</v>
      </c>
      <c r="B358">
        <f t="shared" si="26"/>
        <v>0</v>
      </c>
      <c r="C358" s="28"/>
      <c r="D358" s="28"/>
      <c r="E358">
        <f t="shared" si="25"/>
        <v>0.25</v>
      </c>
      <c r="F358">
        <f t="shared" si="27"/>
        <v>-0.25</v>
      </c>
      <c r="G358">
        <f t="shared" si="28"/>
        <v>6.25E-2</v>
      </c>
    </row>
    <row r="359" spans="1:7">
      <c r="A359">
        <v>349</v>
      </c>
      <c r="B359">
        <f t="shared" si="26"/>
        <v>0</v>
      </c>
      <c r="C359" s="28"/>
      <c r="D359" s="28"/>
      <c r="E359">
        <f t="shared" si="25"/>
        <v>0.25</v>
      </c>
      <c r="F359">
        <f t="shared" si="27"/>
        <v>-0.25</v>
      </c>
      <c r="G359">
        <f t="shared" si="28"/>
        <v>6.25E-2</v>
      </c>
    </row>
    <row r="360" spans="1:7">
      <c r="A360">
        <v>350</v>
      </c>
      <c r="B360">
        <f t="shared" si="26"/>
        <v>0</v>
      </c>
      <c r="C360" s="28"/>
      <c r="D360" s="28"/>
      <c r="E360">
        <f t="shared" si="25"/>
        <v>0.25</v>
      </c>
      <c r="F360">
        <f t="shared" si="27"/>
        <v>-0.25</v>
      </c>
      <c r="G360">
        <f t="shared" si="28"/>
        <v>6.25E-2</v>
      </c>
    </row>
    <row r="361" spans="1:7">
      <c r="A361">
        <v>351</v>
      </c>
      <c r="B361">
        <f t="shared" si="26"/>
        <v>0</v>
      </c>
      <c r="C361" s="28"/>
      <c r="D361" s="28"/>
      <c r="E361">
        <f t="shared" si="25"/>
        <v>0.25</v>
      </c>
      <c r="F361">
        <f t="shared" si="27"/>
        <v>-0.25</v>
      </c>
      <c r="G361">
        <f t="shared" si="28"/>
        <v>6.25E-2</v>
      </c>
    </row>
    <row r="362" spans="1:7">
      <c r="A362">
        <v>352</v>
      </c>
      <c r="B362">
        <f t="shared" si="26"/>
        <v>0</v>
      </c>
      <c r="C362" s="28"/>
      <c r="D362" s="28"/>
      <c r="E362">
        <f t="shared" si="25"/>
        <v>0.25</v>
      </c>
      <c r="F362">
        <f t="shared" si="27"/>
        <v>-0.25</v>
      </c>
      <c r="G362">
        <f t="shared" si="28"/>
        <v>6.25E-2</v>
      </c>
    </row>
    <row r="363" spans="1:7">
      <c r="A363">
        <v>353</v>
      </c>
      <c r="B363">
        <f t="shared" si="26"/>
        <v>0</v>
      </c>
      <c r="C363" s="28"/>
      <c r="D363" s="28"/>
      <c r="E363">
        <f t="shared" si="25"/>
        <v>0.25</v>
      </c>
      <c r="F363">
        <f t="shared" si="27"/>
        <v>-0.25</v>
      </c>
      <c r="G363">
        <f t="shared" si="28"/>
        <v>6.25E-2</v>
      </c>
    </row>
    <row r="364" spans="1:7">
      <c r="A364">
        <v>354</v>
      </c>
      <c r="B364">
        <f t="shared" si="26"/>
        <v>0</v>
      </c>
      <c r="C364" s="28"/>
      <c r="D364" s="28"/>
      <c r="E364">
        <f t="shared" si="25"/>
        <v>0.25</v>
      </c>
      <c r="F364">
        <f t="shared" si="27"/>
        <v>-0.25</v>
      </c>
      <c r="G364">
        <f t="shared" si="28"/>
        <v>6.25E-2</v>
      </c>
    </row>
    <row r="365" spans="1:7">
      <c r="A365">
        <v>355</v>
      </c>
      <c r="B365">
        <f t="shared" si="26"/>
        <v>0</v>
      </c>
      <c r="C365" s="28"/>
      <c r="D365" s="28"/>
      <c r="E365">
        <f t="shared" si="25"/>
        <v>0.25</v>
      </c>
      <c r="F365">
        <f t="shared" si="27"/>
        <v>-0.25</v>
      </c>
      <c r="G365">
        <f t="shared" si="28"/>
        <v>6.25E-2</v>
      </c>
    </row>
    <row r="366" spans="1:7">
      <c r="A366">
        <v>356</v>
      </c>
      <c r="B366">
        <f t="shared" si="26"/>
        <v>0</v>
      </c>
      <c r="C366" s="28"/>
      <c r="D366" s="28"/>
      <c r="E366">
        <f t="shared" si="25"/>
        <v>0.25</v>
      </c>
      <c r="F366">
        <f t="shared" si="27"/>
        <v>-0.25</v>
      </c>
      <c r="G366">
        <f t="shared" si="28"/>
        <v>6.25E-2</v>
      </c>
    </row>
    <row r="367" spans="1:7">
      <c r="A367">
        <v>357</v>
      </c>
      <c r="B367">
        <f t="shared" si="26"/>
        <v>0</v>
      </c>
      <c r="C367" s="28"/>
      <c r="D367" s="28"/>
      <c r="E367">
        <f t="shared" si="25"/>
        <v>0.25</v>
      </c>
      <c r="F367">
        <f t="shared" si="27"/>
        <v>-0.25</v>
      </c>
      <c r="G367">
        <f t="shared" si="28"/>
        <v>6.25E-2</v>
      </c>
    </row>
    <row r="368" spans="1:7">
      <c r="A368">
        <v>358</v>
      </c>
      <c r="B368">
        <f t="shared" si="26"/>
        <v>0</v>
      </c>
      <c r="C368" s="28"/>
      <c r="D368" s="28"/>
      <c r="E368">
        <f t="shared" si="25"/>
        <v>0.25</v>
      </c>
      <c r="F368">
        <f t="shared" si="27"/>
        <v>-0.25</v>
      </c>
      <c r="G368">
        <f t="shared" si="28"/>
        <v>6.25E-2</v>
      </c>
    </row>
    <row r="369" spans="1:7">
      <c r="A369">
        <v>359</v>
      </c>
      <c r="B369">
        <f t="shared" si="26"/>
        <v>0</v>
      </c>
      <c r="C369" s="28"/>
      <c r="D369" s="28"/>
      <c r="E369">
        <f t="shared" si="25"/>
        <v>0.25</v>
      </c>
      <c r="F369">
        <f t="shared" si="27"/>
        <v>-0.25</v>
      </c>
      <c r="G369">
        <f t="shared" si="28"/>
        <v>6.25E-2</v>
      </c>
    </row>
    <row r="370" spans="1:7">
      <c r="A370">
        <v>360</v>
      </c>
      <c r="B370">
        <f t="shared" si="26"/>
        <v>0</v>
      </c>
      <c r="C370" s="28"/>
      <c r="D370" s="28"/>
      <c r="E370">
        <f t="shared" si="25"/>
        <v>0.25</v>
      </c>
      <c r="F370">
        <f t="shared" si="27"/>
        <v>-0.25</v>
      </c>
      <c r="G370">
        <f t="shared" si="28"/>
        <v>6.25E-2</v>
      </c>
    </row>
    <row r="371" spans="1:7">
      <c r="A371">
        <v>361</v>
      </c>
      <c r="B371">
        <f t="shared" si="26"/>
        <v>0</v>
      </c>
      <c r="C371" s="28"/>
      <c r="D371" s="28"/>
      <c r="E371">
        <f t="shared" si="25"/>
        <v>0.25</v>
      </c>
      <c r="F371">
        <f t="shared" si="27"/>
        <v>-0.25</v>
      </c>
      <c r="G371">
        <f t="shared" si="28"/>
        <v>6.25E-2</v>
      </c>
    </row>
    <row r="372" spans="1:7">
      <c r="A372">
        <v>362</v>
      </c>
      <c r="B372">
        <f t="shared" si="26"/>
        <v>0</v>
      </c>
      <c r="C372" s="28"/>
      <c r="D372" s="28"/>
      <c r="E372">
        <f t="shared" si="25"/>
        <v>0.25</v>
      </c>
      <c r="F372">
        <f t="shared" si="27"/>
        <v>-0.25</v>
      </c>
      <c r="G372">
        <f t="shared" si="28"/>
        <v>6.25E-2</v>
      </c>
    </row>
    <row r="373" spans="1:7">
      <c r="A373">
        <v>363</v>
      </c>
      <c r="B373">
        <f t="shared" si="26"/>
        <v>0</v>
      </c>
      <c r="C373" s="28"/>
      <c r="D373" s="28"/>
      <c r="E373">
        <f t="shared" si="25"/>
        <v>0.25</v>
      </c>
      <c r="F373">
        <f t="shared" si="27"/>
        <v>-0.25</v>
      </c>
      <c r="G373">
        <f t="shared" si="28"/>
        <v>6.25E-2</v>
      </c>
    </row>
    <row r="374" spans="1:7">
      <c r="A374">
        <v>364</v>
      </c>
      <c r="B374">
        <f t="shared" si="26"/>
        <v>0</v>
      </c>
      <c r="C374" s="28"/>
      <c r="D374" s="28"/>
      <c r="E374">
        <f t="shared" si="25"/>
        <v>0.25</v>
      </c>
      <c r="F374">
        <f t="shared" si="27"/>
        <v>-0.25</v>
      </c>
      <c r="G374">
        <f t="shared" si="28"/>
        <v>6.25E-2</v>
      </c>
    </row>
    <row r="375" spans="1:7">
      <c r="A375">
        <v>365</v>
      </c>
      <c r="B375">
        <f t="shared" si="26"/>
        <v>0</v>
      </c>
      <c r="C375" s="28"/>
      <c r="D375" s="28"/>
      <c r="E375">
        <f t="shared" si="25"/>
        <v>0.25</v>
      </c>
      <c r="F375">
        <f t="shared" si="27"/>
        <v>-0.25</v>
      </c>
      <c r="G375">
        <f t="shared" si="28"/>
        <v>6.25E-2</v>
      </c>
    </row>
    <row r="376" spans="1:7">
      <c r="A376">
        <v>366</v>
      </c>
      <c r="B376">
        <f t="shared" si="26"/>
        <v>0</v>
      </c>
      <c r="C376" s="28"/>
      <c r="D376" s="28"/>
      <c r="E376">
        <f t="shared" si="25"/>
        <v>0.25</v>
      </c>
      <c r="F376">
        <f t="shared" si="27"/>
        <v>-0.25</v>
      </c>
      <c r="G376">
        <f t="shared" si="28"/>
        <v>6.25E-2</v>
      </c>
    </row>
    <row r="377" spans="1:7">
      <c r="A377">
        <v>367</v>
      </c>
      <c r="B377">
        <f t="shared" si="26"/>
        <v>0</v>
      </c>
      <c r="C377" s="28"/>
      <c r="D377" s="28"/>
      <c r="E377">
        <f t="shared" si="25"/>
        <v>0.25</v>
      </c>
      <c r="F377">
        <f t="shared" si="27"/>
        <v>-0.25</v>
      </c>
      <c r="G377">
        <f t="shared" si="28"/>
        <v>6.25E-2</v>
      </c>
    </row>
    <row r="378" spans="1:7">
      <c r="A378">
        <v>368</v>
      </c>
      <c r="B378">
        <f t="shared" si="26"/>
        <v>0</v>
      </c>
      <c r="C378" s="28"/>
      <c r="D378" s="28"/>
      <c r="E378">
        <f t="shared" si="25"/>
        <v>0.25</v>
      </c>
      <c r="F378">
        <f t="shared" si="27"/>
        <v>-0.25</v>
      </c>
      <c r="G378">
        <f t="shared" si="28"/>
        <v>6.25E-2</v>
      </c>
    </row>
    <row r="379" spans="1:7">
      <c r="A379">
        <v>369</v>
      </c>
      <c r="B379">
        <f t="shared" si="26"/>
        <v>0</v>
      </c>
      <c r="C379" s="28"/>
      <c r="D379" s="28"/>
      <c r="E379">
        <f t="shared" si="25"/>
        <v>0.25</v>
      </c>
      <c r="F379">
        <f t="shared" si="27"/>
        <v>-0.25</v>
      </c>
      <c r="G379">
        <f t="shared" si="28"/>
        <v>6.25E-2</v>
      </c>
    </row>
    <row r="380" spans="1:7">
      <c r="A380">
        <v>370</v>
      </c>
      <c r="B380">
        <f t="shared" si="26"/>
        <v>0</v>
      </c>
      <c r="C380" s="28"/>
      <c r="D380" s="28"/>
      <c r="E380">
        <f t="shared" si="25"/>
        <v>0.25</v>
      </c>
      <c r="F380">
        <f t="shared" si="27"/>
        <v>-0.25</v>
      </c>
      <c r="G380">
        <f t="shared" si="28"/>
        <v>6.25E-2</v>
      </c>
    </row>
    <row r="381" spans="1:7">
      <c r="A381">
        <v>371</v>
      </c>
      <c r="B381">
        <f t="shared" si="26"/>
        <v>0</v>
      </c>
      <c r="C381" s="28"/>
      <c r="D381" s="28"/>
      <c r="E381">
        <f t="shared" si="25"/>
        <v>0.25</v>
      </c>
      <c r="F381">
        <f t="shared" si="27"/>
        <v>-0.25</v>
      </c>
      <c r="G381">
        <f t="shared" si="28"/>
        <v>6.25E-2</v>
      </c>
    </row>
    <row r="382" spans="1:7">
      <c r="A382">
        <v>372</v>
      </c>
      <c r="B382">
        <f t="shared" si="26"/>
        <v>0</v>
      </c>
      <c r="C382" s="28"/>
      <c r="D382" s="28"/>
      <c r="E382">
        <f t="shared" si="25"/>
        <v>0.25</v>
      </c>
      <c r="F382">
        <f t="shared" si="27"/>
        <v>-0.25</v>
      </c>
      <c r="G382">
        <f t="shared" si="28"/>
        <v>6.25E-2</v>
      </c>
    </row>
    <row r="383" spans="1:7">
      <c r="A383">
        <v>373</v>
      </c>
      <c r="B383">
        <f t="shared" si="26"/>
        <v>0</v>
      </c>
      <c r="C383" s="28"/>
      <c r="D383" s="28"/>
      <c r="E383">
        <f t="shared" si="25"/>
        <v>0.25</v>
      </c>
      <c r="F383">
        <f t="shared" si="27"/>
        <v>-0.25</v>
      </c>
      <c r="G383">
        <f t="shared" si="28"/>
        <v>6.25E-2</v>
      </c>
    </row>
    <row r="384" spans="1:7">
      <c r="A384">
        <v>374</v>
      </c>
      <c r="B384">
        <f t="shared" si="26"/>
        <v>0</v>
      </c>
      <c r="C384" s="28"/>
      <c r="D384" s="28"/>
      <c r="E384">
        <f t="shared" si="25"/>
        <v>0.25</v>
      </c>
      <c r="F384">
        <f t="shared" si="27"/>
        <v>-0.25</v>
      </c>
      <c r="G384">
        <f t="shared" si="28"/>
        <v>6.25E-2</v>
      </c>
    </row>
    <row r="385" spans="1:7">
      <c r="A385">
        <v>375</v>
      </c>
      <c r="B385">
        <f t="shared" si="26"/>
        <v>0</v>
      </c>
      <c r="C385" s="28"/>
      <c r="D385" s="28"/>
      <c r="E385">
        <f t="shared" si="25"/>
        <v>0.25</v>
      </c>
      <c r="F385">
        <f t="shared" si="27"/>
        <v>-0.25</v>
      </c>
      <c r="G385">
        <f t="shared" si="28"/>
        <v>6.25E-2</v>
      </c>
    </row>
    <row r="386" spans="1:7">
      <c r="A386">
        <v>376</v>
      </c>
      <c r="B386">
        <f t="shared" si="26"/>
        <v>0</v>
      </c>
      <c r="C386" s="28"/>
      <c r="D386" s="28"/>
      <c r="E386">
        <f t="shared" si="25"/>
        <v>0.25</v>
      </c>
      <c r="F386">
        <f t="shared" si="27"/>
        <v>-0.25</v>
      </c>
      <c r="G386">
        <f t="shared" si="28"/>
        <v>6.25E-2</v>
      </c>
    </row>
    <row r="387" spans="1:7">
      <c r="A387">
        <v>377</v>
      </c>
      <c r="B387">
        <f t="shared" si="26"/>
        <v>0</v>
      </c>
      <c r="C387" s="28"/>
      <c r="D387" s="28"/>
      <c r="E387">
        <f t="shared" si="25"/>
        <v>0.25</v>
      </c>
      <c r="F387">
        <f t="shared" si="27"/>
        <v>-0.25</v>
      </c>
      <c r="G387">
        <f t="shared" si="28"/>
        <v>6.25E-2</v>
      </c>
    </row>
    <row r="388" spans="1:7">
      <c r="A388">
        <v>378</v>
      </c>
      <c r="B388">
        <f t="shared" si="26"/>
        <v>0</v>
      </c>
      <c r="C388" s="28"/>
      <c r="D388" s="28"/>
      <c r="E388">
        <f t="shared" si="25"/>
        <v>0.25</v>
      </c>
      <c r="F388">
        <f t="shared" si="27"/>
        <v>-0.25</v>
      </c>
      <c r="G388">
        <f t="shared" si="28"/>
        <v>6.25E-2</v>
      </c>
    </row>
    <row r="389" spans="1:7">
      <c r="A389">
        <v>379</v>
      </c>
      <c r="B389">
        <f t="shared" si="26"/>
        <v>0</v>
      </c>
      <c r="C389" s="28"/>
      <c r="D389" s="28"/>
      <c r="E389">
        <f t="shared" si="25"/>
        <v>0.25</v>
      </c>
      <c r="F389">
        <f t="shared" si="27"/>
        <v>-0.25</v>
      </c>
      <c r="G389">
        <f t="shared" si="28"/>
        <v>6.25E-2</v>
      </c>
    </row>
    <row r="390" spans="1:7">
      <c r="A390">
        <v>380</v>
      </c>
      <c r="B390">
        <f t="shared" si="26"/>
        <v>0</v>
      </c>
      <c r="C390" s="28"/>
      <c r="D390" s="28"/>
      <c r="E390">
        <f t="shared" si="25"/>
        <v>0.25</v>
      </c>
      <c r="F390">
        <f t="shared" si="27"/>
        <v>-0.25</v>
      </c>
      <c r="G390">
        <f t="shared" si="28"/>
        <v>6.25E-2</v>
      </c>
    </row>
    <row r="391" spans="1:7">
      <c r="A391">
        <v>381</v>
      </c>
      <c r="B391">
        <f t="shared" si="26"/>
        <v>0</v>
      </c>
      <c r="C391" s="28"/>
      <c r="D391" s="28"/>
      <c r="E391">
        <f t="shared" si="25"/>
        <v>0.25</v>
      </c>
      <c r="F391">
        <f t="shared" si="27"/>
        <v>-0.25</v>
      </c>
      <c r="G391">
        <f t="shared" si="28"/>
        <v>6.25E-2</v>
      </c>
    </row>
    <row r="392" spans="1:7">
      <c r="A392">
        <v>382</v>
      </c>
      <c r="B392">
        <f t="shared" si="26"/>
        <v>0</v>
      </c>
      <c r="C392" s="28"/>
      <c r="D392" s="28"/>
      <c r="E392">
        <f t="shared" si="25"/>
        <v>0.25</v>
      </c>
      <c r="F392">
        <f t="shared" si="27"/>
        <v>-0.25</v>
      </c>
      <c r="G392">
        <f t="shared" si="28"/>
        <v>6.25E-2</v>
      </c>
    </row>
    <row r="393" spans="1:7">
      <c r="A393">
        <v>383</v>
      </c>
      <c r="B393">
        <f t="shared" si="26"/>
        <v>0</v>
      </c>
      <c r="C393" s="28"/>
      <c r="D393" s="28"/>
      <c r="E393">
        <f t="shared" si="25"/>
        <v>0.25</v>
      </c>
      <c r="F393">
        <f t="shared" si="27"/>
        <v>-0.25</v>
      </c>
      <c r="G393">
        <f t="shared" si="28"/>
        <v>6.25E-2</v>
      </c>
    </row>
    <row r="394" spans="1:7">
      <c r="A394">
        <v>384</v>
      </c>
      <c r="B394">
        <f t="shared" si="26"/>
        <v>0</v>
      </c>
      <c r="C394" s="28"/>
      <c r="D394" s="28"/>
      <c r="E394">
        <f t="shared" si="25"/>
        <v>0.25</v>
      </c>
      <c r="F394">
        <f t="shared" si="27"/>
        <v>-0.25</v>
      </c>
      <c r="G394">
        <f t="shared" si="28"/>
        <v>6.25E-2</v>
      </c>
    </row>
    <row r="395" spans="1:7">
      <c r="A395">
        <v>385</v>
      </c>
      <c r="B395">
        <f t="shared" si="26"/>
        <v>0</v>
      </c>
      <c r="C395" s="28"/>
      <c r="D395" s="28"/>
      <c r="E395">
        <f t="shared" ref="E395:E458" si="29">BaseAdjust+(ampl1*EXP(-gamma1*C395)+ampl2*EXP(-gamma2*C395)+ampl3*EXP(-gamma3*C395))^2</f>
        <v>0.25</v>
      </c>
      <c r="F395">
        <f t="shared" si="27"/>
        <v>-0.25</v>
      </c>
      <c r="G395">
        <f t="shared" si="28"/>
        <v>6.25E-2</v>
      </c>
    </row>
    <row r="396" spans="1:7">
      <c r="A396">
        <v>386</v>
      </c>
      <c r="B396">
        <f t="shared" ref="B396:B459" si="30">C396/1000</f>
        <v>0</v>
      </c>
      <c r="C396" s="28"/>
      <c r="D396" s="28"/>
      <c r="E396">
        <f t="shared" si="29"/>
        <v>0.25</v>
      </c>
      <c r="F396">
        <f t="shared" ref="F396:F459" si="31">D396-E396</f>
        <v>-0.25</v>
      </c>
      <c r="G396">
        <f t="shared" ref="G396:G459" si="32">F396^2</f>
        <v>6.25E-2</v>
      </c>
    </row>
    <row r="397" spans="1:7">
      <c r="A397">
        <v>387</v>
      </c>
      <c r="B397">
        <f t="shared" si="30"/>
        <v>0</v>
      </c>
      <c r="C397" s="28"/>
      <c r="D397" s="28"/>
      <c r="E397">
        <f t="shared" si="29"/>
        <v>0.25</v>
      </c>
      <c r="F397">
        <f t="shared" si="31"/>
        <v>-0.25</v>
      </c>
      <c r="G397">
        <f t="shared" si="32"/>
        <v>6.25E-2</v>
      </c>
    </row>
    <row r="398" spans="1:7">
      <c r="A398">
        <v>388</v>
      </c>
      <c r="B398">
        <f t="shared" si="30"/>
        <v>0</v>
      </c>
      <c r="C398" s="28"/>
      <c r="D398" s="28"/>
      <c r="E398">
        <f t="shared" si="29"/>
        <v>0.25</v>
      </c>
      <c r="F398">
        <f t="shared" si="31"/>
        <v>-0.25</v>
      </c>
      <c r="G398">
        <f t="shared" si="32"/>
        <v>6.25E-2</v>
      </c>
    </row>
    <row r="399" spans="1:7">
      <c r="A399">
        <v>389</v>
      </c>
      <c r="B399">
        <f t="shared" si="30"/>
        <v>0</v>
      </c>
      <c r="C399" s="28"/>
      <c r="D399" s="28"/>
      <c r="E399">
        <f t="shared" si="29"/>
        <v>0.25</v>
      </c>
      <c r="F399">
        <f t="shared" si="31"/>
        <v>-0.25</v>
      </c>
      <c r="G399">
        <f t="shared" si="32"/>
        <v>6.25E-2</v>
      </c>
    </row>
    <row r="400" spans="1:7">
      <c r="A400">
        <v>390</v>
      </c>
      <c r="B400">
        <f t="shared" si="30"/>
        <v>0</v>
      </c>
      <c r="C400" s="28"/>
      <c r="D400" s="28"/>
      <c r="E400">
        <f t="shared" si="29"/>
        <v>0.25</v>
      </c>
      <c r="F400">
        <f t="shared" si="31"/>
        <v>-0.25</v>
      </c>
      <c r="G400">
        <f t="shared" si="32"/>
        <v>6.25E-2</v>
      </c>
    </row>
    <row r="401" spans="1:7">
      <c r="A401">
        <v>391</v>
      </c>
      <c r="B401">
        <f t="shared" si="30"/>
        <v>0</v>
      </c>
      <c r="C401" s="28"/>
      <c r="D401" s="28"/>
      <c r="E401">
        <f t="shared" si="29"/>
        <v>0.25</v>
      </c>
      <c r="F401">
        <f t="shared" si="31"/>
        <v>-0.25</v>
      </c>
      <c r="G401">
        <f t="shared" si="32"/>
        <v>6.25E-2</v>
      </c>
    </row>
    <row r="402" spans="1:7">
      <c r="A402">
        <v>392</v>
      </c>
      <c r="B402">
        <f t="shared" si="30"/>
        <v>0</v>
      </c>
      <c r="C402" s="28"/>
      <c r="D402" s="28"/>
      <c r="E402">
        <f t="shared" si="29"/>
        <v>0.25</v>
      </c>
      <c r="F402">
        <f t="shared" si="31"/>
        <v>-0.25</v>
      </c>
      <c r="G402">
        <f t="shared" si="32"/>
        <v>6.25E-2</v>
      </c>
    </row>
    <row r="403" spans="1:7">
      <c r="A403">
        <v>393</v>
      </c>
      <c r="B403">
        <f t="shared" si="30"/>
        <v>0</v>
      </c>
      <c r="C403" s="28"/>
      <c r="D403" s="28"/>
      <c r="E403">
        <f t="shared" si="29"/>
        <v>0.25</v>
      </c>
      <c r="F403">
        <f t="shared" si="31"/>
        <v>-0.25</v>
      </c>
      <c r="G403">
        <f t="shared" si="32"/>
        <v>6.25E-2</v>
      </c>
    </row>
    <row r="404" spans="1:7">
      <c r="A404">
        <v>394</v>
      </c>
      <c r="B404">
        <f t="shared" si="30"/>
        <v>0</v>
      </c>
      <c r="C404" s="28"/>
      <c r="D404" s="28"/>
      <c r="E404">
        <f t="shared" si="29"/>
        <v>0.25</v>
      </c>
      <c r="F404">
        <f t="shared" si="31"/>
        <v>-0.25</v>
      </c>
      <c r="G404">
        <f t="shared" si="32"/>
        <v>6.25E-2</v>
      </c>
    </row>
    <row r="405" spans="1:7">
      <c r="A405">
        <v>395</v>
      </c>
      <c r="B405">
        <f t="shared" si="30"/>
        <v>0</v>
      </c>
      <c r="C405" s="28"/>
      <c r="D405" s="28"/>
      <c r="E405">
        <f t="shared" si="29"/>
        <v>0.25</v>
      </c>
      <c r="F405">
        <f t="shared" si="31"/>
        <v>-0.25</v>
      </c>
      <c r="G405">
        <f t="shared" si="32"/>
        <v>6.25E-2</v>
      </c>
    </row>
    <row r="406" spans="1:7">
      <c r="A406">
        <v>396</v>
      </c>
      <c r="B406">
        <f t="shared" si="30"/>
        <v>0</v>
      </c>
      <c r="C406" s="28"/>
      <c r="D406" s="28"/>
      <c r="E406">
        <f t="shared" si="29"/>
        <v>0.25</v>
      </c>
      <c r="F406">
        <f t="shared" si="31"/>
        <v>-0.25</v>
      </c>
      <c r="G406">
        <f t="shared" si="32"/>
        <v>6.25E-2</v>
      </c>
    </row>
    <row r="407" spans="1:7">
      <c r="A407">
        <v>397</v>
      </c>
      <c r="B407">
        <f t="shared" si="30"/>
        <v>0</v>
      </c>
      <c r="C407" s="28"/>
      <c r="D407" s="28"/>
      <c r="E407">
        <f t="shared" si="29"/>
        <v>0.25</v>
      </c>
      <c r="F407">
        <f t="shared" si="31"/>
        <v>-0.25</v>
      </c>
      <c r="G407">
        <f t="shared" si="32"/>
        <v>6.25E-2</v>
      </c>
    </row>
    <row r="408" spans="1:7">
      <c r="A408">
        <v>398</v>
      </c>
      <c r="B408">
        <f t="shared" si="30"/>
        <v>0</v>
      </c>
      <c r="C408" s="28"/>
      <c r="D408" s="28"/>
      <c r="E408">
        <f t="shared" si="29"/>
        <v>0.25</v>
      </c>
      <c r="F408">
        <f t="shared" si="31"/>
        <v>-0.25</v>
      </c>
      <c r="G408">
        <f t="shared" si="32"/>
        <v>6.25E-2</v>
      </c>
    </row>
    <row r="409" spans="1:7">
      <c r="A409">
        <v>399</v>
      </c>
      <c r="B409">
        <f t="shared" si="30"/>
        <v>0</v>
      </c>
      <c r="C409" s="28"/>
      <c r="D409" s="28"/>
      <c r="E409">
        <f t="shared" si="29"/>
        <v>0.25</v>
      </c>
      <c r="F409">
        <f t="shared" si="31"/>
        <v>-0.25</v>
      </c>
      <c r="G409">
        <f t="shared" si="32"/>
        <v>6.25E-2</v>
      </c>
    </row>
    <row r="410" spans="1:7">
      <c r="A410">
        <v>400</v>
      </c>
      <c r="B410">
        <f t="shared" si="30"/>
        <v>0</v>
      </c>
      <c r="C410" s="28"/>
      <c r="D410" s="28"/>
      <c r="E410">
        <f t="shared" si="29"/>
        <v>0.25</v>
      </c>
      <c r="F410">
        <f t="shared" si="31"/>
        <v>-0.25</v>
      </c>
      <c r="G410">
        <f t="shared" si="32"/>
        <v>6.25E-2</v>
      </c>
    </row>
    <row r="411" spans="1:7">
      <c r="A411">
        <v>401</v>
      </c>
      <c r="B411">
        <f t="shared" si="30"/>
        <v>0</v>
      </c>
      <c r="C411" s="28"/>
      <c r="D411" s="28"/>
      <c r="E411">
        <f t="shared" si="29"/>
        <v>0.25</v>
      </c>
      <c r="F411">
        <f t="shared" si="31"/>
        <v>-0.25</v>
      </c>
      <c r="G411">
        <f t="shared" si="32"/>
        <v>6.25E-2</v>
      </c>
    </row>
    <row r="412" spans="1:7">
      <c r="A412">
        <v>402</v>
      </c>
      <c r="B412">
        <f t="shared" si="30"/>
        <v>0</v>
      </c>
      <c r="C412" s="28"/>
      <c r="D412" s="28"/>
      <c r="E412">
        <f t="shared" si="29"/>
        <v>0.25</v>
      </c>
      <c r="F412">
        <f t="shared" si="31"/>
        <v>-0.25</v>
      </c>
      <c r="G412">
        <f t="shared" si="32"/>
        <v>6.25E-2</v>
      </c>
    </row>
    <row r="413" spans="1:7">
      <c r="A413">
        <v>403</v>
      </c>
      <c r="B413">
        <f t="shared" si="30"/>
        <v>0</v>
      </c>
      <c r="C413" s="28"/>
      <c r="D413" s="28"/>
      <c r="E413">
        <f t="shared" si="29"/>
        <v>0.25</v>
      </c>
      <c r="F413">
        <f t="shared" si="31"/>
        <v>-0.25</v>
      </c>
      <c r="G413">
        <f t="shared" si="32"/>
        <v>6.25E-2</v>
      </c>
    </row>
    <row r="414" spans="1:7">
      <c r="A414">
        <v>404</v>
      </c>
      <c r="B414">
        <f t="shared" si="30"/>
        <v>0</v>
      </c>
      <c r="C414" s="28"/>
      <c r="D414" s="28"/>
      <c r="E414">
        <f t="shared" si="29"/>
        <v>0.25</v>
      </c>
      <c r="F414">
        <f t="shared" si="31"/>
        <v>-0.25</v>
      </c>
      <c r="G414">
        <f t="shared" si="32"/>
        <v>6.25E-2</v>
      </c>
    </row>
    <row r="415" spans="1:7">
      <c r="A415">
        <v>405</v>
      </c>
      <c r="B415">
        <f t="shared" si="30"/>
        <v>0</v>
      </c>
      <c r="C415" s="28"/>
      <c r="D415" s="28"/>
      <c r="E415">
        <f t="shared" si="29"/>
        <v>0.25</v>
      </c>
      <c r="F415">
        <f t="shared" si="31"/>
        <v>-0.25</v>
      </c>
      <c r="G415">
        <f t="shared" si="32"/>
        <v>6.25E-2</v>
      </c>
    </row>
    <row r="416" spans="1:7">
      <c r="A416">
        <v>406</v>
      </c>
      <c r="B416">
        <f t="shared" si="30"/>
        <v>0</v>
      </c>
      <c r="C416" s="28"/>
      <c r="D416" s="28"/>
      <c r="E416">
        <f t="shared" si="29"/>
        <v>0.25</v>
      </c>
      <c r="F416">
        <f t="shared" si="31"/>
        <v>-0.25</v>
      </c>
      <c r="G416">
        <f t="shared" si="32"/>
        <v>6.25E-2</v>
      </c>
    </row>
    <row r="417" spans="1:7">
      <c r="A417">
        <v>407</v>
      </c>
      <c r="B417">
        <f t="shared" si="30"/>
        <v>0</v>
      </c>
      <c r="C417" s="28"/>
      <c r="D417" s="28"/>
      <c r="E417">
        <f t="shared" si="29"/>
        <v>0.25</v>
      </c>
      <c r="F417">
        <f t="shared" si="31"/>
        <v>-0.25</v>
      </c>
      <c r="G417">
        <f t="shared" si="32"/>
        <v>6.25E-2</v>
      </c>
    </row>
    <row r="418" spans="1:7">
      <c r="A418">
        <v>408</v>
      </c>
      <c r="B418">
        <f t="shared" si="30"/>
        <v>0</v>
      </c>
      <c r="C418" s="28"/>
      <c r="D418" s="28"/>
      <c r="E418">
        <f t="shared" si="29"/>
        <v>0.25</v>
      </c>
      <c r="F418">
        <f t="shared" si="31"/>
        <v>-0.25</v>
      </c>
      <c r="G418">
        <f t="shared" si="32"/>
        <v>6.25E-2</v>
      </c>
    </row>
    <row r="419" spans="1:7">
      <c r="A419">
        <v>409</v>
      </c>
      <c r="B419">
        <f t="shared" si="30"/>
        <v>0</v>
      </c>
      <c r="C419" s="28"/>
      <c r="D419" s="28"/>
      <c r="E419">
        <f t="shared" si="29"/>
        <v>0.25</v>
      </c>
      <c r="F419">
        <f t="shared" si="31"/>
        <v>-0.25</v>
      </c>
      <c r="G419">
        <f t="shared" si="32"/>
        <v>6.25E-2</v>
      </c>
    </row>
    <row r="420" spans="1:7">
      <c r="A420">
        <v>410</v>
      </c>
      <c r="B420">
        <f t="shared" si="30"/>
        <v>0</v>
      </c>
      <c r="C420" s="28"/>
      <c r="D420" s="28"/>
      <c r="E420">
        <f t="shared" si="29"/>
        <v>0.25</v>
      </c>
      <c r="F420">
        <f t="shared" si="31"/>
        <v>-0.25</v>
      </c>
      <c r="G420">
        <f t="shared" si="32"/>
        <v>6.25E-2</v>
      </c>
    </row>
    <row r="421" spans="1:7">
      <c r="A421">
        <v>411</v>
      </c>
      <c r="B421">
        <f t="shared" si="30"/>
        <v>0</v>
      </c>
      <c r="C421" s="28"/>
      <c r="D421" s="28"/>
      <c r="E421">
        <f t="shared" si="29"/>
        <v>0.25</v>
      </c>
      <c r="F421">
        <f t="shared" si="31"/>
        <v>-0.25</v>
      </c>
      <c r="G421">
        <f t="shared" si="32"/>
        <v>6.25E-2</v>
      </c>
    </row>
    <row r="422" spans="1:7">
      <c r="A422">
        <v>412</v>
      </c>
      <c r="B422">
        <f t="shared" si="30"/>
        <v>0</v>
      </c>
      <c r="C422" s="28"/>
      <c r="D422" s="28"/>
      <c r="E422">
        <f t="shared" si="29"/>
        <v>0.25</v>
      </c>
      <c r="F422">
        <f t="shared" si="31"/>
        <v>-0.25</v>
      </c>
      <c r="G422">
        <f t="shared" si="32"/>
        <v>6.25E-2</v>
      </c>
    </row>
    <row r="423" spans="1:7">
      <c r="A423">
        <v>413</v>
      </c>
      <c r="B423">
        <f t="shared" si="30"/>
        <v>0</v>
      </c>
      <c r="C423" s="28"/>
      <c r="D423" s="28"/>
      <c r="E423">
        <f t="shared" si="29"/>
        <v>0.25</v>
      </c>
      <c r="F423">
        <f t="shared" si="31"/>
        <v>-0.25</v>
      </c>
      <c r="G423">
        <f t="shared" si="32"/>
        <v>6.25E-2</v>
      </c>
    </row>
    <row r="424" spans="1:7">
      <c r="A424">
        <v>414</v>
      </c>
      <c r="B424">
        <f t="shared" si="30"/>
        <v>0</v>
      </c>
      <c r="C424" s="28"/>
      <c r="D424" s="28"/>
      <c r="E424">
        <f t="shared" si="29"/>
        <v>0.25</v>
      </c>
      <c r="F424">
        <f t="shared" si="31"/>
        <v>-0.25</v>
      </c>
      <c r="G424">
        <f t="shared" si="32"/>
        <v>6.25E-2</v>
      </c>
    </row>
    <row r="425" spans="1:7">
      <c r="A425">
        <v>415</v>
      </c>
      <c r="B425">
        <f t="shared" si="30"/>
        <v>0</v>
      </c>
      <c r="C425" s="28"/>
      <c r="D425" s="28"/>
      <c r="E425">
        <f t="shared" si="29"/>
        <v>0.25</v>
      </c>
      <c r="F425">
        <f t="shared" si="31"/>
        <v>-0.25</v>
      </c>
      <c r="G425">
        <f t="shared" si="32"/>
        <v>6.25E-2</v>
      </c>
    </row>
    <row r="426" spans="1:7">
      <c r="A426">
        <v>416</v>
      </c>
      <c r="B426">
        <f t="shared" si="30"/>
        <v>0</v>
      </c>
      <c r="C426" s="28"/>
      <c r="D426" s="28"/>
      <c r="E426">
        <f t="shared" si="29"/>
        <v>0.25</v>
      </c>
      <c r="F426">
        <f t="shared" si="31"/>
        <v>-0.25</v>
      </c>
      <c r="G426">
        <f t="shared" si="32"/>
        <v>6.25E-2</v>
      </c>
    </row>
    <row r="427" spans="1:7">
      <c r="A427">
        <v>417</v>
      </c>
      <c r="B427">
        <f t="shared" si="30"/>
        <v>0</v>
      </c>
      <c r="C427" s="28"/>
      <c r="D427" s="28"/>
      <c r="E427">
        <f t="shared" si="29"/>
        <v>0.25</v>
      </c>
      <c r="F427">
        <f t="shared" si="31"/>
        <v>-0.25</v>
      </c>
      <c r="G427">
        <f t="shared" si="32"/>
        <v>6.25E-2</v>
      </c>
    </row>
    <row r="428" spans="1:7">
      <c r="A428">
        <v>418</v>
      </c>
      <c r="B428">
        <f t="shared" si="30"/>
        <v>0</v>
      </c>
      <c r="C428" s="28"/>
      <c r="D428" s="28"/>
      <c r="E428">
        <f t="shared" si="29"/>
        <v>0.25</v>
      </c>
      <c r="F428">
        <f t="shared" si="31"/>
        <v>-0.25</v>
      </c>
      <c r="G428">
        <f t="shared" si="32"/>
        <v>6.25E-2</v>
      </c>
    </row>
    <row r="429" spans="1:7">
      <c r="A429">
        <v>419</v>
      </c>
      <c r="B429">
        <f t="shared" si="30"/>
        <v>0</v>
      </c>
      <c r="C429" s="28"/>
      <c r="D429" s="28"/>
      <c r="E429">
        <f t="shared" si="29"/>
        <v>0.25</v>
      </c>
      <c r="F429">
        <f t="shared" si="31"/>
        <v>-0.25</v>
      </c>
      <c r="G429">
        <f t="shared" si="32"/>
        <v>6.25E-2</v>
      </c>
    </row>
    <row r="430" spans="1:7">
      <c r="A430">
        <v>420</v>
      </c>
      <c r="B430">
        <f t="shared" si="30"/>
        <v>0</v>
      </c>
      <c r="C430" s="28"/>
      <c r="D430" s="28"/>
      <c r="E430">
        <f t="shared" si="29"/>
        <v>0.25</v>
      </c>
      <c r="F430">
        <f t="shared" si="31"/>
        <v>-0.25</v>
      </c>
      <c r="G430">
        <f t="shared" si="32"/>
        <v>6.25E-2</v>
      </c>
    </row>
    <row r="431" spans="1:7">
      <c r="A431">
        <v>421</v>
      </c>
      <c r="B431">
        <f t="shared" si="30"/>
        <v>0</v>
      </c>
      <c r="C431" s="28"/>
      <c r="D431" s="28"/>
      <c r="E431">
        <f t="shared" si="29"/>
        <v>0.25</v>
      </c>
      <c r="F431">
        <f t="shared" si="31"/>
        <v>-0.25</v>
      </c>
      <c r="G431">
        <f t="shared" si="32"/>
        <v>6.25E-2</v>
      </c>
    </row>
    <row r="432" spans="1:7">
      <c r="A432">
        <v>422</v>
      </c>
      <c r="B432">
        <f t="shared" si="30"/>
        <v>0</v>
      </c>
      <c r="C432" s="28"/>
      <c r="D432" s="28"/>
      <c r="E432">
        <f t="shared" si="29"/>
        <v>0.25</v>
      </c>
      <c r="F432">
        <f t="shared" si="31"/>
        <v>-0.25</v>
      </c>
      <c r="G432">
        <f t="shared" si="32"/>
        <v>6.25E-2</v>
      </c>
    </row>
    <row r="433" spans="1:7">
      <c r="A433">
        <v>423</v>
      </c>
      <c r="B433">
        <f t="shared" si="30"/>
        <v>0</v>
      </c>
      <c r="C433" s="28"/>
      <c r="D433" s="28"/>
      <c r="E433">
        <f t="shared" si="29"/>
        <v>0.25</v>
      </c>
      <c r="F433">
        <f t="shared" si="31"/>
        <v>-0.25</v>
      </c>
      <c r="G433">
        <f t="shared" si="32"/>
        <v>6.25E-2</v>
      </c>
    </row>
    <row r="434" spans="1:7">
      <c r="A434">
        <v>424</v>
      </c>
      <c r="B434">
        <f t="shared" si="30"/>
        <v>0</v>
      </c>
      <c r="C434" s="28"/>
      <c r="D434" s="28"/>
      <c r="E434">
        <f t="shared" si="29"/>
        <v>0.25</v>
      </c>
      <c r="F434">
        <f t="shared" si="31"/>
        <v>-0.25</v>
      </c>
      <c r="G434">
        <f t="shared" si="32"/>
        <v>6.25E-2</v>
      </c>
    </row>
    <row r="435" spans="1:7">
      <c r="A435">
        <v>425</v>
      </c>
      <c r="B435">
        <f t="shared" si="30"/>
        <v>0</v>
      </c>
      <c r="C435" s="28"/>
      <c r="D435" s="28"/>
      <c r="E435">
        <f t="shared" si="29"/>
        <v>0.25</v>
      </c>
      <c r="F435">
        <f t="shared" si="31"/>
        <v>-0.25</v>
      </c>
      <c r="G435">
        <f t="shared" si="32"/>
        <v>6.25E-2</v>
      </c>
    </row>
    <row r="436" spans="1:7">
      <c r="A436">
        <v>426</v>
      </c>
      <c r="B436">
        <f t="shared" si="30"/>
        <v>0</v>
      </c>
      <c r="C436" s="28"/>
      <c r="D436" s="28"/>
      <c r="E436">
        <f t="shared" si="29"/>
        <v>0.25</v>
      </c>
      <c r="F436">
        <f t="shared" si="31"/>
        <v>-0.25</v>
      </c>
      <c r="G436">
        <f t="shared" si="32"/>
        <v>6.25E-2</v>
      </c>
    </row>
    <row r="437" spans="1:7">
      <c r="A437">
        <v>427</v>
      </c>
      <c r="B437">
        <f t="shared" si="30"/>
        <v>0</v>
      </c>
      <c r="C437" s="28"/>
      <c r="D437" s="28"/>
      <c r="E437">
        <f t="shared" si="29"/>
        <v>0.25</v>
      </c>
      <c r="F437">
        <f t="shared" si="31"/>
        <v>-0.25</v>
      </c>
      <c r="G437">
        <f t="shared" si="32"/>
        <v>6.25E-2</v>
      </c>
    </row>
    <row r="438" spans="1:7">
      <c r="A438">
        <v>428</v>
      </c>
      <c r="B438">
        <f t="shared" si="30"/>
        <v>0</v>
      </c>
      <c r="C438" s="28"/>
      <c r="D438" s="28"/>
      <c r="E438">
        <f t="shared" si="29"/>
        <v>0.25</v>
      </c>
      <c r="F438">
        <f t="shared" si="31"/>
        <v>-0.25</v>
      </c>
      <c r="G438">
        <f t="shared" si="32"/>
        <v>6.25E-2</v>
      </c>
    </row>
    <row r="439" spans="1:7">
      <c r="A439">
        <v>429</v>
      </c>
      <c r="B439">
        <f t="shared" si="30"/>
        <v>0</v>
      </c>
      <c r="C439" s="28"/>
      <c r="D439" s="28"/>
      <c r="E439">
        <f t="shared" si="29"/>
        <v>0.25</v>
      </c>
      <c r="F439">
        <f t="shared" si="31"/>
        <v>-0.25</v>
      </c>
      <c r="G439">
        <f t="shared" si="32"/>
        <v>6.25E-2</v>
      </c>
    </row>
    <row r="440" spans="1:7">
      <c r="A440">
        <v>430</v>
      </c>
      <c r="B440">
        <f t="shared" si="30"/>
        <v>0</v>
      </c>
      <c r="C440" s="28"/>
      <c r="D440" s="28"/>
      <c r="E440">
        <f t="shared" si="29"/>
        <v>0.25</v>
      </c>
      <c r="F440">
        <f t="shared" si="31"/>
        <v>-0.25</v>
      </c>
      <c r="G440">
        <f t="shared" si="32"/>
        <v>6.25E-2</v>
      </c>
    </row>
    <row r="441" spans="1:7">
      <c r="A441">
        <v>431</v>
      </c>
      <c r="B441">
        <f t="shared" si="30"/>
        <v>0</v>
      </c>
      <c r="C441" s="28"/>
      <c r="D441" s="28"/>
      <c r="E441">
        <f t="shared" si="29"/>
        <v>0.25</v>
      </c>
      <c r="F441">
        <f t="shared" si="31"/>
        <v>-0.25</v>
      </c>
      <c r="G441">
        <f t="shared" si="32"/>
        <v>6.25E-2</v>
      </c>
    </row>
    <row r="442" spans="1:7">
      <c r="A442">
        <v>432</v>
      </c>
      <c r="B442">
        <f t="shared" si="30"/>
        <v>0</v>
      </c>
      <c r="C442" s="28"/>
      <c r="D442" s="28"/>
      <c r="E442">
        <f t="shared" si="29"/>
        <v>0.25</v>
      </c>
      <c r="F442">
        <f t="shared" si="31"/>
        <v>-0.25</v>
      </c>
      <c r="G442">
        <f t="shared" si="32"/>
        <v>6.25E-2</v>
      </c>
    </row>
    <row r="443" spans="1:7">
      <c r="A443">
        <v>433</v>
      </c>
      <c r="B443">
        <f t="shared" si="30"/>
        <v>0</v>
      </c>
      <c r="C443" s="28"/>
      <c r="D443" s="28"/>
      <c r="E443">
        <f t="shared" si="29"/>
        <v>0.25</v>
      </c>
      <c r="F443">
        <f t="shared" si="31"/>
        <v>-0.25</v>
      </c>
      <c r="G443">
        <f t="shared" si="32"/>
        <v>6.25E-2</v>
      </c>
    </row>
    <row r="444" spans="1:7">
      <c r="A444">
        <v>434</v>
      </c>
      <c r="B444">
        <f t="shared" si="30"/>
        <v>0</v>
      </c>
      <c r="C444" s="28"/>
      <c r="D444" s="28"/>
      <c r="E444">
        <f t="shared" si="29"/>
        <v>0.25</v>
      </c>
      <c r="F444">
        <f t="shared" si="31"/>
        <v>-0.25</v>
      </c>
      <c r="G444">
        <f t="shared" si="32"/>
        <v>6.25E-2</v>
      </c>
    </row>
    <row r="445" spans="1:7">
      <c r="A445">
        <v>435</v>
      </c>
      <c r="B445">
        <f t="shared" si="30"/>
        <v>0</v>
      </c>
      <c r="C445" s="28"/>
      <c r="D445" s="28"/>
      <c r="E445">
        <f t="shared" si="29"/>
        <v>0.25</v>
      </c>
      <c r="F445">
        <f t="shared" si="31"/>
        <v>-0.25</v>
      </c>
      <c r="G445">
        <f t="shared" si="32"/>
        <v>6.25E-2</v>
      </c>
    </row>
    <row r="446" spans="1:7">
      <c r="A446">
        <v>436</v>
      </c>
      <c r="B446">
        <f t="shared" si="30"/>
        <v>0</v>
      </c>
      <c r="C446" s="28"/>
      <c r="D446" s="28"/>
      <c r="E446">
        <f t="shared" si="29"/>
        <v>0.25</v>
      </c>
      <c r="F446">
        <f t="shared" si="31"/>
        <v>-0.25</v>
      </c>
      <c r="G446">
        <f t="shared" si="32"/>
        <v>6.25E-2</v>
      </c>
    </row>
    <row r="447" spans="1:7">
      <c r="A447">
        <v>437</v>
      </c>
      <c r="B447">
        <f t="shared" si="30"/>
        <v>0</v>
      </c>
      <c r="C447" s="28"/>
      <c r="D447" s="28"/>
      <c r="E447">
        <f t="shared" si="29"/>
        <v>0.25</v>
      </c>
      <c r="F447">
        <f t="shared" si="31"/>
        <v>-0.25</v>
      </c>
      <c r="G447">
        <f t="shared" si="32"/>
        <v>6.25E-2</v>
      </c>
    </row>
    <row r="448" spans="1:7">
      <c r="A448">
        <v>438</v>
      </c>
      <c r="B448">
        <f t="shared" si="30"/>
        <v>0</v>
      </c>
      <c r="C448" s="28"/>
      <c r="D448" s="28"/>
      <c r="E448">
        <f t="shared" si="29"/>
        <v>0.25</v>
      </c>
      <c r="F448">
        <f t="shared" si="31"/>
        <v>-0.25</v>
      </c>
      <c r="G448">
        <f t="shared" si="32"/>
        <v>6.25E-2</v>
      </c>
    </row>
    <row r="449" spans="1:7">
      <c r="A449">
        <v>439</v>
      </c>
      <c r="B449">
        <f t="shared" si="30"/>
        <v>0</v>
      </c>
      <c r="C449" s="28"/>
      <c r="D449" s="28"/>
      <c r="E449">
        <f t="shared" si="29"/>
        <v>0.25</v>
      </c>
      <c r="F449">
        <f t="shared" si="31"/>
        <v>-0.25</v>
      </c>
      <c r="G449">
        <f t="shared" si="32"/>
        <v>6.25E-2</v>
      </c>
    </row>
    <row r="450" spans="1:7">
      <c r="A450">
        <v>440</v>
      </c>
      <c r="B450">
        <f t="shared" si="30"/>
        <v>0</v>
      </c>
      <c r="C450" s="28"/>
      <c r="D450" s="28"/>
      <c r="E450">
        <f t="shared" si="29"/>
        <v>0.25</v>
      </c>
      <c r="F450">
        <f t="shared" si="31"/>
        <v>-0.25</v>
      </c>
      <c r="G450">
        <f t="shared" si="32"/>
        <v>6.25E-2</v>
      </c>
    </row>
    <row r="451" spans="1:7">
      <c r="A451">
        <v>441</v>
      </c>
      <c r="B451">
        <f t="shared" si="30"/>
        <v>0</v>
      </c>
      <c r="C451" s="28"/>
      <c r="D451" s="28"/>
      <c r="E451">
        <f t="shared" si="29"/>
        <v>0.25</v>
      </c>
      <c r="F451">
        <f t="shared" si="31"/>
        <v>-0.25</v>
      </c>
      <c r="G451">
        <f t="shared" si="32"/>
        <v>6.25E-2</v>
      </c>
    </row>
    <row r="452" spans="1:7">
      <c r="A452">
        <v>442</v>
      </c>
      <c r="B452">
        <f t="shared" si="30"/>
        <v>0</v>
      </c>
      <c r="C452" s="28"/>
      <c r="D452" s="28"/>
      <c r="E452">
        <f t="shared" si="29"/>
        <v>0.25</v>
      </c>
      <c r="F452">
        <f t="shared" si="31"/>
        <v>-0.25</v>
      </c>
      <c r="G452">
        <f t="shared" si="32"/>
        <v>6.25E-2</v>
      </c>
    </row>
    <row r="453" spans="1:7">
      <c r="A453">
        <v>443</v>
      </c>
      <c r="B453">
        <f t="shared" si="30"/>
        <v>0</v>
      </c>
      <c r="C453" s="28"/>
      <c r="D453" s="28"/>
      <c r="E453">
        <f t="shared" si="29"/>
        <v>0.25</v>
      </c>
      <c r="F453">
        <f t="shared" si="31"/>
        <v>-0.25</v>
      </c>
      <c r="G453">
        <f t="shared" si="32"/>
        <v>6.25E-2</v>
      </c>
    </row>
    <row r="454" spans="1:7">
      <c r="A454">
        <v>444</v>
      </c>
      <c r="B454">
        <f t="shared" si="30"/>
        <v>0</v>
      </c>
      <c r="C454" s="28"/>
      <c r="D454" s="28"/>
      <c r="E454">
        <f t="shared" si="29"/>
        <v>0.25</v>
      </c>
      <c r="F454">
        <f t="shared" si="31"/>
        <v>-0.25</v>
      </c>
      <c r="G454">
        <f t="shared" si="32"/>
        <v>6.25E-2</v>
      </c>
    </row>
    <row r="455" spans="1:7">
      <c r="A455">
        <v>445</v>
      </c>
      <c r="B455">
        <f t="shared" si="30"/>
        <v>0</v>
      </c>
      <c r="C455" s="28"/>
      <c r="D455" s="28"/>
      <c r="E455">
        <f t="shared" si="29"/>
        <v>0.25</v>
      </c>
      <c r="F455">
        <f t="shared" si="31"/>
        <v>-0.25</v>
      </c>
      <c r="G455">
        <f t="shared" si="32"/>
        <v>6.25E-2</v>
      </c>
    </row>
    <row r="456" spans="1:7">
      <c r="A456">
        <v>446</v>
      </c>
      <c r="B456">
        <f t="shared" si="30"/>
        <v>0</v>
      </c>
      <c r="C456" s="28"/>
      <c r="D456" s="28"/>
      <c r="E456">
        <f t="shared" si="29"/>
        <v>0.25</v>
      </c>
      <c r="F456">
        <f t="shared" si="31"/>
        <v>-0.25</v>
      </c>
      <c r="G456">
        <f t="shared" si="32"/>
        <v>6.25E-2</v>
      </c>
    </row>
    <row r="457" spans="1:7">
      <c r="A457">
        <v>447</v>
      </c>
      <c r="B457">
        <f t="shared" si="30"/>
        <v>0</v>
      </c>
      <c r="C457" s="28"/>
      <c r="D457" s="28"/>
      <c r="E457">
        <f t="shared" si="29"/>
        <v>0.25</v>
      </c>
      <c r="F457">
        <f t="shared" si="31"/>
        <v>-0.25</v>
      </c>
      <c r="G457">
        <f t="shared" si="32"/>
        <v>6.25E-2</v>
      </c>
    </row>
    <row r="458" spans="1:7">
      <c r="A458">
        <v>448</v>
      </c>
      <c r="B458">
        <f t="shared" si="30"/>
        <v>0</v>
      </c>
      <c r="C458" s="28"/>
      <c r="D458" s="28"/>
      <c r="E458">
        <f t="shared" si="29"/>
        <v>0.25</v>
      </c>
      <c r="F458">
        <f t="shared" si="31"/>
        <v>-0.25</v>
      </c>
      <c r="G458">
        <f t="shared" si="32"/>
        <v>6.25E-2</v>
      </c>
    </row>
    <row r="459" spans="1:7">
      <c r="A459">
        <v>449</v>
      </c>
      <c r="B459">
        <f t="shared" si="30"/>
        <v>0</v>
      </c>
      <c r="C459" s="28"/>
      <c r="D459" s="28"/>
      <c r="E459">
        <f t="shared" ref="E459:E522" si="33">BaseAdjust+(ampl1*EXP(-gamma1*C459)+ampl2*EXP(-gamma2*C459)+ampl3*EXP(-gamma3*C459))^2</f>
        <v>0.25</v>
      </c>
      <c r="F459">
        <f t="shared" si="31"/>
        <v>-0.25</v>
      </c>
      <c r="G459">
        <f t="shared" si="32"/>
        <v>6.25E-2</v>
      </c>
    </row>
    <row r="460" spans="1:7">
      <c r="A460">
        <v>450</v>
      </c>
      <c r="B460">
        <f t="shared" ref="B460:B523" si="34">C460/1000</f>
        <v>0</v>
      </c>
      <c r="C460" s="28"/>
      <c r="D460" s="28"/>
      <c r="E460">
        <f t="shared" si="33"/>
        <v>0.25</v>
      </c>
      <c r="F460">
        <f t="shared" ref="F460:F523" si="35">D460-E460</f>
        <v>-0.25</v>
      </c>
      <c r="G460">
        <f t="shared" ref="G460:G523" si="36">F460^2</f>
        <v>6.25E-2</v>
      </c>
    </row>
    <row r="461" spans="1:7">
      <c r="A461">
        <v>451</v>
      </c>
      <c r="B461">
        <f t="shared" si="34"/>
        <v>0</v>
      </c>
      <c r="C461" s="28"/>
      <c r="D461" s="28"/>
      <c r="E461">
        <f t="shared" si="33"/>
        <v>0.25</v>
      </c>
      <c r="F461">
        <f t="shared" si="35"/>
        <v>-0.25</v>
      </c>
      <c r="G461">
        <f t="shared" si="36"/>
        <v>6.25E-2</v>
      </c>
    </row>
    <row r="462" spans="1:7">
      <c r="A462">
        <v>452</v>
      </c>
      <c r="B462">
        <f t="shared" si="34"/>
        <v>0</v>
      </c>
      <c r="C462" s="28"/>
      <c r="D462" s="28"/>
      <c r="E462">
        <f t="shared" si="33"/>
        <v>0.25</v>
      </c>
      <c r="F462">
        <f t="shared" si="35"/>
        <v>-0.25</v>
      </c>
      <c r="G462">
        <f t="shared" si="36"/>
        <v>6.25E-2</v>
      </c>
    </row>
    <row r="463" spans="1:7">
      <c r="A463">
        <v>453</v>
      </c>
      <c r="B463">
        <f t="shared" si="34"/>
        <v>0</v>
      </c>
      <c r="C463" s="28"/>
      <c r="D463" s="28"/>
      <c r="E463">
        <f t="shared" si="33"/>
        <v>0.25</v>
      </c>
      <c r="F463">
        <f t="shared" si="35"/>
        <v>-0.25</v>
      </c>
      <c r="G463">
        <f t="shared" si="36"/>
        <v>6.25E-2</v>
      </c>
    </row>
    <row r="464" spans="1:7">
      <c r="A464">
        <v>454</v>
      </c>
      <c r="B464">
        <f t="shared" si="34"/>
        <v>0</v>
      </c>
      <c r="C464" s="28"/>
      <c r="D464" s="28"/>
      <c r="E464">
        <f t="shared" si="33"/>
        <v>0.25</v>
      </c>
      <c r="F464">
        <f t="shared" si="35"/>
        <v>-0.25</v>
      </c>
      <c r="G464">
        <f t="shared" si="36"/>
        <v>6.25E-2</v>
      </c>
    </row>
    <row r="465" spans="1:7">
      <c r="A465">
        <v>455</v>
      </c>
      <c r="B465">
        <f t="shared" si="34"/>
        <v>0</v>
      </c>
      <c r="C465" s="28"/>
      <c r="D465" s="28"/>
      <c r="E465">
        <f t="shared" si="33"/>
        <v>0.25</v>
      </c>
      <c r="F465">
        <f t="shared" si="35"/>
        <v>-0.25</v>
      </c>
      <c r="G465">
        <f t="shared" si="36"/>
        <v>6.25E-2</v>
      </c>
    </row>
    <row r="466" spans="1:7">
      <c r="A466">
        <v>456</v>
      </c>
      <c r="B466">
        <f t="shared" si="34"/>
        <v>0</v>
      </c>
      <c r="C466" s="28"/>
      <c r="D466" s="28"/>
      <c r="E466">
        <f t="shared" si="33"/>
        <v>0.25</v>
      </c>
      <c r="F466">
        <f t="shared" si="35"/>
        <v>-0.25</v>
      </c>
      <c r="G466">
        <f t="shared" si="36"/>
        <v>6.25E-2</v>
      </c>
    </row>
    <row r="467" spans="1:7">
      <c r="A467">
        <v>457</v>
      </c>
      <c r="B467">
        <f t="shared" si="34"/>
        <v>0</v>
      </c>
      <c r="C467" s="28"/>
      <c r="D467" s="28"/>
      <c r="E467">
        <f t="shared" si="33"/>
        <v>0.25</v>
      </c>
      <c r="F467">
        <f t="shared" si="35"/>
        <v>-0.25</v>
      </c>
      <c r="G467">
        <f t="shared" si="36"/>
        <v>6.25E-2</v>
      </c>
    </row>
    <row r="468" spans="1:7">
      <c r="A468">
        <v>458</v>
      </c>
      <c r="B468">
        <f t="shared" si="34"/>
        <v>0</v>
      </c>
      <c r="C468" s="28"/>
      <c r="D468" s="28"/>
      <c r="E468">
        <f t="shared" si="33"/>
        <v>0.25</v>
      </c>
      <c r="F468">
        <f t="shared" si="35"/>
        <v>-0.25</v>
      </c>
      <c r="G468">
        <f t="shared" si="36"/>
        <v>6.25E-2</v>
      </c>
    </row>
    <row r="469" spans="1:7">
      <c r="A469">
        <v>459</v>
      </c>
      <c r="B469">
        <f t="shared" si="34"/>
        <v>0</v>
      </c>
      <c r="C469" s="28"/>
      <c r="D469" s="28"/>
      <c r="E469">
        <f t="shared" si="33"/>
        <v>0.25</v>
      </c>
      <c r="F469">
        <f t="shared" si="35"/>
        <v>-0.25</v>
      </c>
      <c r="G469">
        <f t="shared" si="36"/>
        <v>6.25E-2</v>
      </c>
    </row>
    <row r="470" spans="1:7">
      <c r="A470">
        <v>460</v>
      </c>
      <c r="B470">
        <f t="shared" si="34"/>
        <v>0</v>
      </c>
      <c r="C470" s="28"/>
      <c r="D470" s="28"/>
      <c r="E470">
        <f t="shared" si="33"/>
        <v>0.25</v>
      </c>
      <c r="F470">
        <f t="shared" si="35"/>
        <v>-0.25</v>
      </c>
      <c r="G470">
        <f t="shared" si="36"/>
        <v>6.25E-2</v>
      </c>
    </row>
    <row r="471" spans="1:7">
      <c r="A471">
        <v>461</v>
      </c>
      <c r="B471">
        <f t="shared" si="34"/>
        <v>0</v>
      </c>
      <c r="C471" s="28"/>
      <c r="D471" s="28"/>
      <c r="E471">
        <f t="shared" si="33"/>
        <v>0.25</v>
      </c>
      <c r="F471">
        <f t="shared" si="35"/>
        <v>-0.25</v>
      </c>
      <c r="G471">
        <f t="shared" si="36"/>
        <v>6.25E-2</v>
      </c>
    </row>
    <row r="472" spans="1:7">
      <c r="A472">
        <v>462</v>
      </c>
      <c r="B472">
        <f t="shared" si="34"/>
        <v>0</v>
      </c>
      <c r="C472" s="28"/>
      <c r="D472" s="28"/>
      <c r="E472">
        <f t="shared" si="33"/>
        <v>0.25</v>
      </c>
      <c r="F472">
        <f t="shared" si="35"/>
        <v>-0.25</v>
      </c>
      <c r="G472">
        <f t="shared" si="36"/>
        <v>6.25E-2</v>
      </c>
    </row>
    <row r="473" spans="1:7">
      <c r="A473">
        <v>463</v>
      </c>
      <c r="B473">
        <f t="shared" si="34"/>
        <v>0</v>
      </c>
      <c r="C473" s="28"/>
      <c r="D473" s="28"/>
      <c r="E473">
        <f t="shared" si="33"/>
        <v>0.25</v>
      </c>
      <c r="F473">
        <f t="shared" si="35"/>
        <v>-0.25</v>
      </c>
      <c r="G473">
        <f t="shared" si="36"/>
        <v>6.25E-2</v>
      </c>
    </row>
    <row r="474" spans="1:7">
      <c r="A474">
        <v>464</v>
      </c>
      <c r="B474">
        <f t="shared" si="34"/>
        <v>0</v>
      </c>
      <c r="C474" s="28"/>
      <c r="D474" s="28"/>
      <c r="E474">
        <f t="shared" si="33"/>
        <v>0.25</v>
      </c>
      <c r="F474">
        <f t="shared" si="35"/>
        <v>-0.25</v>
      </c>
      <c r="G474">
        <f t="shared" si="36"/>
        <v>6.25E-2</v>
      </c>
    </row>
    <row r="475" spans="1:7">
      <c r="A475">
        <v>465</v>
      </c>
      <c r="B475">
        <f t="shared" si="34"/>
        <v>0</v>
      </c>
      <c r="C475" s="28"/>
      <c r="D475" s="28"/>
      <c r="E475">
        <f t="shared" si="33"/>
        <v>0.25</v>
      </c>
      <c r="F475">
        <f t="shared" si="35"/>
        <v>-0.25</v>
      </c>
      <c r="G475">
        <f t="shared" si="36"/>
        <v>6.25E-2</v>
      </c>
    </row>
    <row r="476" spans="1:7">
      <c r="A476">
        <v>466</v>
      </c>
      <c r="B476">
        <f t="shared" si="34"/>
        <v>0</v>
      </c>
      <c r="C476" s="28"/>
      <c r="D476" s="28"/>
      <c r="E476">
        <f t="shared" si="33"/>
        <v>0.25</v>
      </c>
      <c r="F476">
        <f t="shared" si="35"/>
        <v>-0.25</v>
      </c>
      <c r="G476">
        <f t="shared" si="36"/>
        <v>6.25E-2</v>
      </c>
    </row>
    <row r="477" spans="1:7">
      <c r="A477">
        <v>467</v>
      </c>
      <c r="B477">
        <f t="shared" si="34"/>
        <v>0</v>
      </c>
      <c r="C477" s="28"/>
      <c r="D477" s="28"/>
      <c r="E477">
        <f t="shared" si="33"/>
        <v>0.25</v>
      </c>
      <c r="F477">
        <f t="shared" si="35"/>
        <v>-0.25</v>
      </c>
      <c r="G477">
        <f t="shared" si="36"/>
        <v>6.25E-2</v>
      </c>
    </row>
    <row r="478" spans="1:7">
      <c r="A478">
        <v>468</v>
      </c>
      <c r="B478">
        <f t="shared" si="34"/>
        <v>0</v>
      </c>
      <c r="C478" s="28"/>
      <c r="D478" s="28"/>
      <c r="E478">
        <f t="shared" si="33"/>
        <v>0.25</v>
      </c>
      <c r="F478">
        <f t="shared" si="35"/>
        <v>-0.25</v>
      </c>
      <c r="G478">
        <f t="shared" si="36"/>
        <v>6.25E-2</v>
      </c>
    </row>
    <row r="479" spans="1:7">
      <c r="A479">
        <v>469</v>
      </c>
      <c r="B479">
        <f t="shared" si="34"/>
        <v>0</v>
      </c>
      <c r="C479" s="28"/>
      <c r="D479" s="28"/>
      <c r="E479">
        <f t="shared" si="33"/>
        <v>0.25</v>
      </c>
      <c r="F479">
        <f t="shared" si="35"/>
        <v>-0.25</v>
      </c>
      <c r="G479">
        <f t="shared" si="36"/>
        <v>6.25E-2</v>
      </c>
    </row>
    <row r="480" spans="1:7">
      <c r="A480">
        <v>470</v>
      </c>
      <c r="B480">
        <f t="shared" si="34"/>
        <v>0</v>
      </c>
      <c r="C480" s="28"/>
      <c r="D480" s="28"/>
      <c r="E480">
        <f t="shared" si="33"/>
        <v>0.25</v>
      </c>
      <c r="F480">
        <f t="shared" si="35"/>
        <v>-0.25</v>
      </c>
      <c r="G480">
        <f t="shared" si="36"/>
        <v>6.25E-2</v>
      </c>
    </row>
    <row r="481" spans="1:7">
      <c r="A481">
        <v>471</v>
      </c>
      <c r="B481">
        <f t="shared" si="34"/>
        <v>0</v>
      </c>
      <c r="C481" s="28"/>
      <c r="D481" s="28"/>
      <c r="E481">
        <f t="shared" si="33"/>
        <v>0.25</v>
      </c>
      <c r="F481">
        <f t="shared" si="35"/>
        <v>-0.25</v>
      </c>
      <c r="G481">
        <f t="shared" si="36"/>
        <v>6.25E-2</v>
      </c>
    </row>
    <row r="482" spans="1:7">
      <c r="A482">
        <v>472</v>
      </c>
      <c r="B482">
        <f t="shared" si="34"/>
        <v>0</v>
      </c>
      <c r="C482" s="28"/>
      <c r="D482" s="28"/>
      <c r="E482">
        <f t="shared" si="33"/>
        <v>0.25</v>
      </c>
      <c r="F482">
        <f t="shared" si="35"/>
        <v>-0.25</v>
      </c>
      <c r="G482">
        <f t="shared" si="36"/>
        <v>6.25E-2</v>
      </c>
    </row>
    <row r="483" spans="1:7">
      <c r="A483">
        <v>473</v>
      </c>
      <c r="B483">
        <f t="shared" si="34"/>
        <v>0</v>
      </c>
      <c r="C483" s="28"/>
      <c r="D483" s="28"/>
      <c r="E483">
        <f t="shared" si="33"/>
        <v>0.25</v>
      </c>
      <c r="F483">
        <f t="shared" si="35"/>
        <v>-0.25</v>
      </c>
      <c r="G483">
        <f t="shared" si="36"/>
        <v>6.25E-2</v>
      </c>
    </row>
    <row r="484" spans="1:7">
      <c r="A484">
        <v>474</v>
      </c>
      <c r="B484">
        <f t="shared" si="34"/>
        <v>0</v>
      </c>
      <c r="C484" s="28"/>
      <c r="D484" s="28"/>
      <c r="E484">
        <f t="shared" si="33"/>
        <v>0.25</v>
      </c>
      <c r="F484">
        <f t="shared" si="35"/>
        <v>-0.25</v>
      </c>
      <c r="G484">
        <f t="shared" si="36"/>
        <v>6.25E-2</v>
      </c>
    </row>
    <row r="485" spans="1:7">
      <c r="A485">
        <v>475</v>
      </c>
      <c r="B485">
        <f t="shared" si="34"/>
        <v>0</v>
      </c>
      <c r="C485" s="28"/>
      <c r="D485" s="28"/>
      <c r="E485">
        <f t="shared" si="33"/>
        <v>0.25</v>
      </c>
      <c r="F485">
        <f t="shared" si="35"/>
        <v>-0.25</v>
      </c>
      <c r="G485">
        <f t="shared" si="36"/>
        <v>6.25E-2</v>
      </c>
    </row>
    <row r="486" spans="1:7">
      <c r="A486">
        <v>476</v>
      </c>
      <c r="B486">
        <f t="shared" si="34"/>
        <v>0</v>
      </c>
      <c r="C486" s="28"/>
      <c r="D486" s="28"/>
      <c r="E486">
        <f t="shared" si="33"/>
        <v>0.25</v>
      </c>
      <c r="F486">
        <f t="shared" si="35"/>
        <v>-0.25</v>
      </c>
      <c r="G486">
        <f t="shared" si="36"/>
        <v>6.25E-2</v>
      </c>
    </row>
    <row r="487" spans="1:7">
      <c r="A487">
        <v>477</v>
      </c>
      <c r="B487">
        <f t="shared" si="34"/>
        <v>0</v>
      </c>
      <c r="C487" s="28"/>
      <c r="D487" s="28"/>
      <c r="E487">
        <f t="shared" si="33"/>
        <v>0.25</v>
      </c>
      <c r="F487">
        <f t="shared" si="35"/>
        <v>-0.25</v>
      </c>
      <c r="G487">
        <f t="shared" si="36"/>
        <v>6.25E-2</v>
      </c>
    </row>
    <row r="488" spans="1:7">
      <c r="A488">
        <v>478</v>
      </c>
      <c r="B488">
        <f t="shared" si="34"/>
        <v>0</v>
      </c>
      <c r="C488" s="28"/>
      <c r="D488" s="28"/>
      <c r="E488">
        <f t="shared" si="33"/>
        <v>0.25</v>
      </c>
      <c r="F488">
        <f t="shared" si="35"/>
        <v>-0.25</v>
      </c>
      <c r="G488">
        <f t="shared" si="36"/>
        <v>6.25E-2</v>
      </c>
    </row>
    <row r="489" spans="1:7">
      <c r="A489">
        <v>479</v>
      </c>
      <c r="B489">
        <f t="shared" si="34"/>
        <v>0</v>
      </c>
      <c r="C489" s="28"/>
      <c r="D489" s="28"/>
      <c r="E489">
        <f t="shared" si="33"/>
        <v>0.25</v>
      </c>
      <c r="F489">
        <f t="shared" si="35"/>
        <v>-0.25</v>
      </c>
      <c r="G489">
        <f t="shared" si="36"/>
        <v>6.25E-2</v>
      </c>
    </row>
    <row r="490" spans="1:7">
      <c r="A490">
        <v>480</v>
      </c>
      <c r="B490">
        <f t="shared" si="34"/>
        <v>0</v>
      </c>
      <c r="C490" s="28"/>
      <c r="D490" s="28"/>
      <c r="E490">
        <f t="shared" si="33"/>
        <v>0.25</v>
      </c>
      <c r="F490">
        <f t="shared" si="35"/>
        <v>-0.25</v>
      </c>
      <c r="G490">
        <f t="shared" si="36"/>
        <v>6.25E-2</v>
      </c>
    </row>
    <row r="491" spans="1:7">
      <c r="A491">
        <v>481</v>
      </c>
      <c r="B491">
        <f t="shared" si="34"/>
        <v>0</v>
      </c>
      <c r="C491" s="28"/>
      <c r="D491" s="28"/>
      <c r="E491">
        <f t="shared" si="33"/>
        <v>0.25</v>
      </c>
      <c r="F491">
        <f t="shared" si="35"/>
        <v>-0.25</v>
      </c>
      <c r="G491">
        <f t="shared" si="36"/>
        <v>6.25E-2</v>
      </c>
    </row>
    <row r="492" spans="1:7">
      <c r="A492">
        <v>482</v>
      </c>
      <c r="B492">
        <f t="shared" si="34"/>
        <v>0</v>
      </c>
      <c r="C492" s="28"/>
      <c r="D492" s="28"/>
      <c r="E492">
        <f t="shared" si="33"/>
        <v>0.25</v>
      </c>
      <c r="F492">
        <f t="shared" si="35"/>
        <v>-0.25</v>
      </c>
      <c r="G492">
        <f t="shared" si="36"/>
        <v>6.25E-2</v>
      </c>
    </row>
    <row r="493" spans="1:7">
      <c r="A493">
        <v>483</v>
      </c>
      <c r="B493">
        <f t="shared" si="34"/>
        <v>0</v>
      </c>
      <c r="C493" s="28"/>
      <c r="D493" s="28"/>
      <c r="E493">
        <f t="shared" si="33"/>
        <v>0.25</v>
      </c>
      <c r="F493">
        <f t="shared" si="35"/>
        <v>-0.25</v>
      </c>
      <c r="G493">
        <f t="shared" si="36"/>
        <v>6.25E-2</v>
      </c>
    </row>
    <row r="494" spans="1:7">
      <c r="A494">
        <v>484</v>
      </c>
      <c r="B494">
        <f t="shared" si="34"/>
        <v>0</v>
      </c>
      <c r="C494" s="28"/>
      <c r="D494" s="28"/>
      <c r="E494">
        <f t="shared" si="33"/>
        <v>0.25</v>
      </c>
      <c r="F494">
        <f t="shared" si="35"/>
        <v>-0.25</v>
      </c>
      <c r="G494">
        <f t="shared" si="36"/>
        <v>6.25E-2</v>
      </c>
    </row>
    <row r="495" spans="1:7">
      <c r="A495">
        <v>485</v>
      </c>
      <c r="B495">
        <f t="shared" si="34"/>
        <v>0</v>
      </c>
      <c r="C495" s="28"/>
      <c r="D495" s="28"/>
      <c r="E495">
        <f t="shared" si="33"/>
        <v>0.25</v>
      </c>
      <c r="F495">
        <f t="shared" si="35"/>
        <v>-0.25</v>
      </c>
      <c r="G495">
        <f t="shared" si="36"/>
        <v>6.25E-2</v>
      </c>
    </row>
    <row r="496" spans="1:7">
      <c r="A496">
        <v>486</v>
      </c>
      <c r="B496">
        <f t="shared" si="34"/>
        <v>0</v>
      </c>
      <c r="C496" s="28"/>
      <c r="D496" s="28"/>
      <c r="E496">
        <f t="shared" si="33"/>
        <v>0.25</v>
      </c>
      <c r="F496">
        <f t="shared" si="35"/>
        <v>-0.25</v>
      </c>
      <c r="G496">
        <f t="shared" si="36"/>
        <v>6.25E-2</v>
      </c>
    </row>
    <row r="497" spans="1:7">
      <c r="A497">
        <v>487</v>
      </c>
      <c r="B497">
        <f t="shared" si="34"/>
        <v>0</v>
      </c>
      <c r="C497" s="28"/>
      <c r="D497" s="28"/>
      <c r="E497">
        <f t="shared" si="33"/>
        <v>0.25</v>
      </c>
      <c r="F497">
        <f t="shared" si="35"/>
        <v>-0.25</v>
      </c>
      <c r="G497">
        <f t="shared" si="36"/>
        <v>6.25E-2</v>
      </c>
    </row>
    <row r="498" spans="1:7">
      <c r="A498">
        <v>488</v>
      </c>
      <c r="B498">
        <f t="shared" si="34"/>
        <v>0</v>
      </c>
      <c r="C498" s="28"/>
      <c r="D498" s="28"/>
      <c r="E498">
        <f t="shared" si="33"/>
        <v>0.25</v>
      </c>
      <c r="F498">
        <f t="shared" si="35"/>
        <v>-0.25</v>
      </c>
      <c r="G498">
        <f t="shared" si="36"/>
        <v>6.25E-2</v>
      </c>
    </row>
    <row r="499" spans="1:7">
      <c r="A499">
        <v>489</v>
      </c>
      <c r="B499">
        <f t="shared" si="34"/>
        <v>0</v>
      </c>
      <c r="C499" s="28"/>
      <c r="D499" s="28"/>
      <c r="E499">
        <f t="shared" si="33"/>
        <v>0.25</v>
      </c>
      <c r="F499">
        <f t="shared" si="35"/>
        <v>-0.25</v>
      </c>
      <c r="G499">
        <f t="shared" si="36"/>
        <v>6.25E-2</v>
      </c>
    </row>
    <row r="500" spans="1:7">
      <c r="A500">
        <v>490</v>
      </c>
      <c r="B500">
        <f t="shared" si="34"/>
        <v>0</v>
      </c>
      <c r="C500" s="28"/>
      <c r="D500" s="28"/>
      <c r="E500">
        <f t="shared" si="33"/>
        <v>0.25</v>
      </c>
      <c r="F500">
        <f t="shared" si="35"/>
        <v>-0.25</v>
      </c>
      <c r="G500">
        <f t="shared" si="36"/>
        <v>6.25E-2</v>
      </c>
    </row>
    <row r="501" spans="1:7">
      <c r="A501">
        <v>491</v>
      </c>
      <c r="B501">
        <f t="shared" si="34"/>
        <v>0</v>
      </c>
      <c r="C501" s="28"/>
      <c r="D501" s="28"/>
      <c r="E501">
        <f t="shared" si="33"/>
        <v>0.25</v>
      </c>
      <c r="F501">
        <f t="shared" si="35"/>
        <v>-0.25</v>
      </c>
      <c r="G501">
        <f t="shared" si="36"/>
        <v>6.25E-2</v>
      </c>
    </row>
    <row r="502" spans="1:7">
      <c r="A502">
        <v>492</v>
      </c>
      <c r="B502">
        <f t="shared" si="34"/>
        <v>0</v>
      </c>
      <c r="C502" s="28"/>
      <c r="D502" s="28"/>
      <c r="E502">
        <f t="shared" si="33"/>
        <v>0.25</v>
      </c>
      <c r="F502">
        <f t="shared" si="35"/>
        <v>-0.25</v>
      </c>
      <c r="G502">
        <f t="shared" si="36"/>
        <v>6.25E-2</v>
      </c>
    </row>
    <row r="503" spans="1:7">
      <c r="A503">
        <v>493</v>
      </c>
      <c r="B503">
        <f t="shared" si="34"/>
        <v>0</v>
      </c>
      <c r="C503" s="28"/>
      <c r="D503" s="28"/>
      <c r="E503">
        <f t="shared" si="33"/>
        <v>0.25</v>
      </c>
      <c r="F503">
        <f t="shared" si="35"/>
        <v>-0.25</v>
      </c>
      <c r="G503">
        <f t="shared" si="36"/>
        <v>6.25E-2</v>
      </c>
    </row>
    <row r="504" spans="1:7">
      <c r="A504">
        <v>494</v>
      </c>
      <c r="B504">
        <f t="shared" si="34"/>
        <v>0</v>
      </c>
      <c r="C504" s="28"/>
      <c r="D504" s="28"/>
      <c r="E504">
        <f t="shared" si="33"/>
        <v>0.25</v>
      </c>
      <c r="F504">
        <f t="shared" si="35"/>
        <v>-0.25</v>
      </c>
      <c r="G504">
        <f t="shared" si="36"/>
        <v>6.25E-2</v>
      </c>
    </row>
    <row r="505" spans="1:7">
      <c r="A505">
        <v>495</v>
      </c>
      <c r="B505">
        <f t="shared" si="34"/>
        <v>0</v>
      </c>
      <c r="C505" s="28"/>
      <c r="D505" s="28"/>
      <c r="E505">
        <f t="shared" si="33"/>
        <v>0.25</v>
      </c>
      <c r="F505">
        <f t="shared" si="35"/>
        <v>-0.25</v>
      </c>
      <c r="G505">
        <f t="shared" si="36"/>
        <v>6.25E-2</v>
      </c>
    </row>
    <row r="506" spans="1:7">
      <c r="A506">
        <v>496</v>
      </c>
      <c r="B506">
        <f t="shared" si="34"/>
        <v>0</v>
      </c>
      <c r="C506" s="28"/>
      <c r="D506" s="28"/>
      <c r="E506">
        <f t="shared" si="33"/>
        <v>0.25</v>
      </c>
      <c r="F506">
        <f t="shared" si="35"/>
        <v>-0.25</v>
      </c>
      <c r="G506">
        <f t="shared" si="36"/>
        <v>6.25E-2</v>
      </c>
    </row>
    <row r="507" spans="1:7">
      <c r="A507">
        <v>497</v>
      </c>
      <c r="B507">
        <f t="shared" si="34"/>
        <v>0</v>
      </c>
      <c r="C507" s="28"/>
      <c r="D507" s="28"/>
      <c r="E507">
        <f t="shared" si="33"/>
        <v>0.25</v>
      </c>
      <c r="F507">
        <f t="shared" si="35"/>
        <v>-0.25</v>
      </c>
      <c r="G507">
        <f t="shared" si="36"/>
        <v>6.25E-2</v>
      </c>
    </row>
    <row r="508" spans="1:7">
      <c r="A508">
        <v>498</v>
      </c>
      <c r="B508">
        <f t="shared" si="34"/>
        <v>0</v>
      </c>
      <c r="C508" s="28"/>
      <c r="D508" s="28"/>
      <c r="E508">
        <f t="shared" si="33"/>
        <v>0.25</v>
      </c>
      <c r="F508">
        <f t="shared" si="35"/>
        <v>-0.25</v>
      </c>
      <c r="G508">
        <f t="shared" si="36"/>
        <v>6.25E-2</v>
      </c>
    </row>
    <row r="509" spans="1:7">
      <c r="A509">
        <v>499</v>
      </c>
      <c r="B509">
        <f t="shared" si="34"/>
        <v>0</v>
      </c>
      <c r="C509" s="28"/>
      <c r="D509" s="28"/>
      <c r="E509">
        <f t="shared" si="33"/>
        <v>0.25</v>
      </c>
      <c r="F509">
        <f t="shared" si="35"/>
        <v>-0.25</v>
      </c>
      <c r="G509">
        <f t="shared" si="36"/>
        <v>6.25E-2</v>
      </c>
    </row>
    <row r="510" spans="1:7">
      <c r="A510">
        <v>500</v>
      </c>
      <c r="B510">
        <f t="shared" si="34"/>
        <v>0</v>
      </c>
      <c r="C510" s="28"/>
      <c r="D510" s="28"/>
      <c r="E510">
        <f t="shared" si="33"/>
        <v>0.25</v>
      </c>
      <c r="F510">
        <f t="shared" si="35"/>
        <v>-0.25</v>
      </c>
      <c r="G510">
        <f t="shared" si="36"/>
        <v>6.25E-2</v>
      </c>
    </row>
    <row r="511" spans="1:7">
      <c r="A511">
        <v>501</v>
      </c>
      <c r="B511">
        <f t="shared" si="34"/>
        <v>0</v>
      </c>
      <c r="C511" s="28"/>
      <c r="D511" s="28"/>
      <c r="E511">
        <f t="shared" si="33"/>
        <v>0.25</v>
      </c>
      <c r="F511">
        <f t="shared" si="35"/>
        <v>-0.25</v>
      </c>
      <c r="G511">
        <f t="shared" si="36"/>
        <v>6.25E-2</v>
      </c>
    </row>
    <row r="512" spans="1:7">
      <c r="A512">
        <v>502</v>
      </c>
      <c r="B512">
        <f t="shared" si="34"/>
        <v>0</v>
      </c>
      <c r="C512" s="28"/>
      <c r="D512" s="28"/>
      <c r="E512">
        <f t="shared" si="33"/>
        <v>0.25</v>
      </c>
      <c r="F512">
        <f t="shared" si="35"/>
        <v>-0.25</v>
      </c>
      <c r="G512">
        <f t="shared" si="36"/>
        <v>6.25E-2</v>
      </c>
    </row>
    <row r="513" spans="1:7">
      <c r="A513">
        <v>503</v>
      </c>
      <c r="B513">
        <f t="shared" si="34"/>
        <v>0</v>
      </c>
      <c r="C513" s="28"/>
      <c r="D513" s="28"/>
      <c r="E513">
        <f t="shared" si="33"/>
        <v>0.25</v>
      </c>
      <c r="F513">
        <f t="shared" si="35"/>
        <v>-0.25</v>
      </c>
      <c r="G513">
        <f t="shared" si="36"/>
        <v>6.25E-2</v>
      </c>
    </row>
    <row r="514" spans="1:7">
      <c r="A514">
        <v>504</v>
      </c>
      <c r="B514">
        <f t="shared" si="34"/>
        <v>0</v>
      </c>
      <c r="C514" s="28"/>
      <c r="D514" s="28"/>
      <c r="E514">
        <f t="shared" si="33"/>
        <v>0.25</v>
      </c>
      <c r="F514">
        <f t="shared" si="35"/>
        <v>-0.25</v>
      </c>
      <c r="G514">
        <f t="shared" si="36"/>
        <v>6.25E-2</v>
      </c>
    </row>
    <row r="515" spans="1:7">
      <c r="A515">
        <v>505</v>
      </c>
      <c r="B515">
        <f t="shared" si="34"/>
        <v>0</v>
      </c>
      <c r="C515" s="28"/>
      <c r="D515" s="28"/>
      <c r="E515">
        <f t="shared" si="33"/>
        <v>0.25</v>
      </c>
      <c r="F515">
        <f t="shared" si="35"/>
        <v>-0.25</v>
      </c>
      <c r="G515">
        <f t="shared" si="36"/>
        <v>6.25E-2</v>
      </c>
    </row>
    <row r="516" spans="1:7">
      <c r="A516">
        <v>506</v>
      </c>
      <c r="B516">
        <f t="shared" si="34"/>
        <v>0</v>
      </c>
      <c r="C516" s="28"/>
      <c r="D516" s="28"/>
      <c r="E516">
        <f t="shared" si="33"/>
        <v>0.25</v>
      </c>
      <c r="F516">
        <f t="shared" si="35"/>
        <v>-0.25</v>
      </c>
      <c r="G516">
        <f t="shared" si="36"/>
        <v>6.25E-2</v>
      </c>
    </row>
    <row r="517" spans="1:7">
      <c r="A517">
        <v>507</v>
      </c>
      <c r="B517">
        <f t="shared" si="34"/>
        <v>0</v>
      </c>
      <c r="C517" s="28"/>
      <c r="D517" s="28"/>
      <c r="E517">
        <f t="shared" si="33"/>
        <v>0.25</v>
      </c>
      <c r="F517">
        <f t="shared" si="35"/>
        <v>-0.25</v>
      </c>
      <c r="G517">
        <f t="shared" si="36"/>
        <v>6.25E-2</v>
      </c>
    </row>
    <row r="518" spans="1:7">
      <c r="A518">
        <v>508</v>
      </c>
      <c r="B518">
        <f t="shared" si="34"/>
        <v>0</v>
      </c>
      <c r="C518" s="28"/>
      <c r="D518" s="28"/>
      <c r="E518">
        <f t="shared" si="33"/>
        <v>0.25</v>
      </c>
      <c r="F518">
        <f t="shared" si="35"/>
        <v>-0.25</v>
      </c>
      <c r="G518">
        <f t="shared" si="36"/>
        <v>6.25E-2</v>
      </c>
    </row>
    <row r="519" spans="1:7">
      <c r="A519">
        <v>509</v>
      </c>
      <c r="B519">
        <f t="shared" si="34"/>
        <v>0</v>
      </c>
      <c r="C519" s="28"/>
      <c r="D519" s="28"/>
      <c r="E519">
        <f t="shared" si="33"/>
        <v>0.25</v>
      </c>
      <c r="F519">
        <f t="shared" si="35"/>
        <v>-0.25</v>
      </c>
      <c r="G519">
        <f t="shared" si="36"/>
        <v>6.25E-2</v>
      </c>
    </row>
    <row r="520" spans="1:7">
      <c r="A520">
        <v>510</v>
      </c>
      <c r="B520">
        <f t="shared" si="34"/>
        <v>0</v>
      </c>
      <c r="C520" s="28"/>
      <c r="D520" s="28"/>
      <c r="E520">
        <f t="shared" si="33"/>
        <v>0.25</v>
      </c>
      <c r="F520">
        <f t="shared" si="35"/>
        <v>-0.25</v>
      </c>
      <c r="G520">
        <f t="shared" si="36"/>
        <v>6.25E-2</v>
      </c>
    </row>
    <row r="521" spans="1:7">
      <c r="A521">
        <v>511</v>
      </c>
      <c r="B521">
        <f t="shared" si="34"/>
        <v>0</v>
      </c>
      <c r="C521" s="28"/>
      <c r="D521" s="28"/>
      <c r="E521">
        <f t="shared" si="33"/>
        <v>0.25</v>
      </c>
      <c r="F521">
        <f t="shared" si="35"/>
        <v>-0.25</v>
      </c>
      <c r="G521">
        <f t="shared" si="36"/>
        <v>6.25E-2</v>
      </c>
    </row>
    <row r="522" spans="1:7">
      <c r="A522">
        <v>512</v>
      </c>
      <c r="B522">
        <f t="shared" si="34"/>
        <v>0</v>
      </c>
      <c r="C522" s="28"/>
      <c r="D522" s="28"/>
      <c r="E522">
        <f t="shared" si="33"/>
        <v>0.25</v>
      </c>
      <c r="F522">
        <f t="shared" si="35"/>
        <v>-0.25</v>
      </c>
      <c r="G522">
        <f t="shared" si="36"/>
        <v>6.25E-2</v>
      </c>
    </row>
    <row r="523" spans="1:7">
      <c r="A523">
        <v>513</v>
      </c>
      <c r="B523">
        <f t="shared" si="34"/>
        <v>0</v>
      </c>
      <c r="C523" s="28"/>
      <c r="D523" s="28"/>
      <c r="E523">
        <f t="shared" ref="E523:E586" si="37">BaseAdjust+(ampl1*EXP(-gamma1*C523)+ampl2*EXP(-gamma2*C523)+ampl3*EXP(-gamma3*C523))^2</f>
        <v>0.25</v>
      </c>
      <c r="F523">
        <f t="shared" si="35"/>
        <v>-0.25</v>
      </c>
      <c r="G523">
        <f t="shared" si="36"/>
        <v>6.25E-2</v>
      </c>
    </row>
    <row r="524" spans="1:7">
      <c r="A524">
        <v>514</v>
      </c>
      <c r="B524">
        <f t="shared" ref="B524:B587" si="38">C524/1000</f>
        <v>0</v>
      </c>
      <c r="C524" s="28"/>
      <c r="D524" s="28"/>
      <c r="E524">
        <f t="shared" si="37"/>
        <v>0.25</v>
      </c>
      <c r="F524">
        <f t="shared" ref="F524:F587" si="39">D524-E524</f>
        <v>-0.25</v>
      </c>
      <c r="G524">
        <f t="shared" ref="G524:G587" si="40">F524^2</f>
        <v>6.25E-2</v>
      </c>
    </row>
    <row r="525" spans="1:7">
      <c r="A525">
        <v>515</v>
      </c>
      <c r="B525">
        <f t="shared" si="38"/>
        <v>0</v>
      </c>
      <c r="C525" s="28"/>
      <c r="D525" s="28"/>
      <c r="E525">
        <f t="shared" si="37"/>
        <v>0.25</v>
      </c>
      <c r="F525">
        <f t="shared" si="39"/>
        <v>-0.25</v>
      </c>
      <c r="G525">
        <f t="shared" si="40"/>
        <v>6.25E-2</v>
      </c>
    </row>
    <row r="526" spans="1:7">
      <c r="A526">
        <v>516</v>
      </c>
      <c r="B526">
        <f t="shared" si="38"/>
        <v>0</v>
      </c>
      <c r="C526" s="28"/>
      <c r="D526" s="28"/>
      <c r="E526">
        <f t="shared" si="37"/>
        <v>0.25</v>
      </c>
      <c r="F526">
        <f t="shared" si="39"/>
        <v>-0.25</v>
      </c>
      <c r="G526">
        <f t="shared" si="40"/>
        <v>6.25E-2</v>
      </c>
    </row>
    <row r="527" spans="1:7">
      <c r="A527">
        <v>517</v>
      </c>
      <c r="B527">
        <f t="shared" si="38"/>
        <v>0</v>
      </c>
      <c r="C527" s="28"/>
      <c r="D527" s="28"/>
      <c r="E527">
        <f t="shared" si="37"/>
        <v>0.25</v>
      </c>
      <c r="F527">
        <f t="shared" si="39"/>
        <v>-0.25</v>
      </c>
      <c r="G527">
        <f t="shared" si="40"/>
        <v>6.25E-2</v>
      </c>
    </row>
    <row r="528" spans="1:7">
      <c r="A528">
        <v>518</v>
      </c>
      <c r="B528">
        <f t="shared" si="38"/>
        <v>0</v>
      </c>
      <c r="C528" s="28"/>
      <c r="D528" s="28"/>
      <c r="E528">
        <f t="shared" si="37"/>
        <v>0.25</v>
      </c>
      <c r="F528">
        <f t="shared" si="39"/>
        <v>-0.25</v>
      </c>
      <c r="G528">
        <f t="shared" si="40"/>
        <v>6.25E-2</v>
      </c>
    </row>
    <row r="529" spans="1:7">
      <c r="A529">
        <v>519</v>
      </c>
      <c r="B529">
        <f t="shared" si="38"/>
        <v>0</v>
      </c>
      <c r="C529" s="28"/>
      <c r="D529" s="28"/>
      <c r="E529">
        <f t="shared" si="37"/>
        <v>0.25</v>
      </c>
      <c r="F529">
        <f t="shared" si="39"/>
        <v>-0.25</v>
      </c>
      <c r="G529">
        <f t="shared" si="40"/>
        <v>6.25E-2</v>
      </c>
    </row>
    <row r="530" spans="1:7">
      <c r="A530">
        <v>520</v>
      </c>
      <c r="B530">
        <f t="shared" si="38"/>
        <v>0</v>
      </c>
      <c r="C530" s="28"/>
      <c r="D530" s="28"/>
      <c r="E530">
        <f t="shared" si="37"/>
        <v>0.25</v>
      </c>
      <c r="F530">
        <f t="shared" si="39"/>
        <v>-0.25</v>
      </c>
      <c r="G530">
        <f t="shared" si="40"/>
        <v>6.25E-2</v>
      </c>
    </row>
    <row r="531" spans="1:7">
      <c r="A531">
        <v>521</v>
      </c>
      <c r="B531">
        <f t="shared" si="38"/>
        <v>0</v>
      </c>
      <c r="C531" s="28"/>
      <c r="D531" s="28"/>
      <c r="E531">
        <f t="shared" si="37"/>
        <v>0.25</v>
      </c>
      <c r="F531">
        <f t="shared" si="39"/>
        <v>-0.25</v>
      </c>
      <c r="G531">
        <f t="shared" si="40"/>
        <v>6.25E-2</v>
      </c>
    </row>
    <row r="532" spans="1:7">
      <c r="A532">
        <v>522</v>
      </c>
      <c r="B532">
        <f t="shared" si="38"/>
        <v>0</v>
      </c>
      <c r="C532" s="28"/>
      <c r="D532" s="28"/>
      <c r="E532">
        <f t="shared" si="37"/>
        <v>0.25</v>
      </c>
      <c r="F532">
        <f t="shared" si="39"/>
        <v>-0.25</v>
      </c>
      <c r="G532">
        <f t="shared" si="40"/>
        <v>6.25E-2</v>
      </c>
    </row>
    <row r="533" spans="1:7">
      <c r="A533">
        <v>523</v>
      </c>
      <c r="B533">
        <f t="shared" si="38"/>
        <v>0</v>
      </c>
      <c r="C533" s="28"/>
      <c r="D533" s="28"/>
      <c r="E533">
        <f t="shared" si="37"/>
        <v>0.25</v>
      </c>
      <c r="F533">
        <f t="shared" si="39"/>
        <v>-0.25</v>
      </c>
      <c r="G533">
        <f t="shared" si="40"/>
        <v>6.25E-2</v>
      </c>
    </row>
    <row r="534" spans="1:7">
      <c r="A534">
        <v>524</v>
      </c>
      <c r="B534">
        <f t="shared" si="38"/>
        <v>0</v>
      </c>
      <c r="C534" s="28"/>
      <c r="D534" s="28"/>
      <c r="E534">
        <f t="shared" si="37"/>
        <v>0.25</v>
      </c>
      <c r="F534">
        <f t="shared" si="39"/>
        <v>-0.25</v>
      </c>
      <c r="G534">
        <f t="shared" si="40"/>
        <v>6.25E-2</v>
      </c>
    </row>
    <row r="535" spans="1:7">
      <c r="A535">
        <v>525</v>
      </c>
      <c r="B535">
        <f t="shared" si="38"/>
        <v>0</v>
      </c>
      <c r="C535" s="28"/>
      <c r="D535" s="28"/>
      <c r="E535">
        <f t="shared" si="37"/>
        <v>0.25</v>
      </c>
      <c r="F535">
        <f t="shared" si="39"/>
        <v>-0.25</v>
      </c>
      <c r="G535">
        <f t="shared" si="40"/>
        <v>6.25E-2</v>
      </c>
    </row>
    <row r="536" spans="1:7">
      <c r="A536">
        <v>526</v>
      </c>
      <c r="B536">
        <f t="shared" si="38"/>
        <v>0</v>
      </c>
      <c r="C536" s="28"/>
      <c r="D536" s="28"/>
      <c r="E536">
        <f t="shared" si="37"/>
        <v>0.25</v>
      </c>
      <c r="F536">
        <f t="shared" si="39"/>
        <v>-0.25</v>
      </c>
      <c r="G536">
        <f t="shared" si="40"/>
        <v>6.25E-2</v>
      </c>
    </row>
    <row r="537" spans="1:7">
      <c r="A537">
        <v>527</v>
      </c>
      <c r="B537">
        <f t="shared" si="38"/>
        <v>0</v>
      </c>
      <c r="C537" s="28"/>
      <c r="D537" s="28"/>
      <c r="E537">
        <f t="shared" si="37"/>
        <v>0.25</v>
      </c>
      <c r="F537">
        <f t="shared" si="39"/>
        <v>-0.25</v>
      </c>
      <c r="G537">
        <f t="shared" si="40"/>
        <v>6.25E-2</v>
      </c>
    </row>
    <row r="538" spans="1:7">
      <c r="A538">
        <v>528</v>
      </c>
      <c r="B538">
        <f t="shared" si="38"/>
        <v>0</v>
      </c>
      <c r="C538" s="28"/>
      <c r="D538" s="28"/>
      <c r="E538">
        <f t="shared" si="37"/>
        <v>0.25</v>
      </c>
      <c r="F538">
        <f t="shared" si="39"/>
        <v>-0.25</v>
      </c>
      <c r="G538">
        <f t="shared" si="40"/>
        <v>6.25E-2</v>
      </c>
    </row>
    <row r="539" spans="1:7">
      <c r="A539">
        <v>529</v>
      </c>
      <c r="B539">
        <f t="shared" si="38"/>
        <v>0</v>
      </c>
      <c r="C539" s="28"/>
      <c r="D539" s="28"/>
      <c r="E539">
        <f t="shared" si="37"/>
        <v>0.25</v>
      </c>
      <c r="F539">
        <f t="shared" si="39"/>
        <v>-0.25</v>
      </c>
      <c r="G539">
        <f t="shared" si="40"/>
        <v>6.25E-2</v>
      </c>
    </row>
    <row r="540" spans="1:7">
      <c r="A540">
        <v>530</v>
      </c>
      <c r="B540">
        <f t="shared" si="38"/>
        <v>0</v>
      </c>
      <c r="C540" s="28"/>
      <c r="D540" s="28"/>
      <c r="E540">
        <f t="shared" si="37"/>
        <v>0.25</v>
      </c>
      <c r="F540">
        <f t="shared" si="39"/>
        <v>-0.25</v>
      </c>
      <c r="G540">
        <f t="shared" si="40"/>
        <v>6.25E-2</v>
      </c>
    </row>
    <row r="541" spans="1:7">
      <c r="A541">
        <v>531</v>
      </c>
      <c r="B541">
        <f t="shared" si="38"/>
        <v>0</v>
      </c>
      <c r="C541" s="28"/>
      <c r="D541" s="28"/>
      <c r="E541">
        <f t="shared" si="37"/>
        <v>0.25</v>
      </c>
      <c r="F541">
        <f t="shared" si="39"/>
        <v>-0.25</v>
      </c>
      <c r="G541">
        <f t="shared" si="40"/>
        <v>6.25E-2</v>
      </c>
    </row>
    <row r="542" spans="1:7">
      <c r="A542">
        <v>532</v>
      </c>
      <c r="B542">
        <f t="shared" si="38"/>
        <v>0</v>
      </c>
      <c r="C542" s="28"/>
      <c r="D542" s="28"/>
      <c r="E542">
        <f t="shared" si="37"/>
        <v>0.25</v>
      </c>
      <c r="F542">
        <f t="shared" si="39"/>
        <v>-0.25</v>
      </c>
      <c r="G542">
        <f t="shared" si="40"/>
        <v>6.25E-2</v>
      </c>
    </row>
    <row r="543" spans="1:7">
      <c r="A543">
        <v>533</v>
      </c>
      <c r="B543">
        <f t="shared" si="38"/>
        <v>0</v>
      </c>
      <c r="C543" s="28"/>
      <c r="D543" s="28"/>
      <c r="E543">
        <f t="shared" si="37"/>
        <v>0.25</v>
      </c>
      <c r="F543">
        <f t="shared" si="39"/>
        <v>-0.25</v>
      </c>
      <c r="G543">
        <f t="shared" si="40"/>
        <v>6.25E-2</v>
      </c>
    </row>
    <row r="544" spans="1:7">
      <c r="A544">
        <v>534</v>
      </c>
      <c r="B544">
        <f t="shared" si="38"/>
        <v>0</v>
      </c>
      <c r="C544" s="28"/>
      <c r="D544" s="28"/>
      <c r="E544">
        <f t="shared" si="37"/>
        <v>0.25</v>
      </c>
      <c r="F544">
        <f t="shared" si="39"/>
        <v>-0.25</v>
      </c>
      <c r="G544">
        <f t="shared" si="40"/>
        <v>6.25E-2</v>
      </c>
    </row>
    <row r="545" spans="1:7">
      <c r="A545">
        <v>535</v>
      </c>
      <c r="B545">
        <f t="shared" si="38"/>
        <v>0</v>
      </c>
      <c r="C545" s="28"/>
      <c r="D545" s="28"/>
      <c r="E545">
        <f t="shared" si="37"/>
        <v>0.25</v>
      </c>
      <c r="F545">
        <f t="shared" si="39"/>
        <v>-0.25</v>
      </c>
      <c r="G545">
        <f t="shared" si="40"/>
        <v>6.25E-2</v>
      </c>
    </row>
    <row r="546" spans="1:7">
      <c r="A546">
        <v>536</v>
      </c>
      <c r="B546">
        <f t="shared" si="38"/>
        <v>0</v>
      </c>
      <c r="C546" s="28"/>
      <c r="D546" s="28"/>
      <c r="E546">
        <f t="shared" si="37"/>
        <v>0.25</v>
      </c>
      <c r="F546">
        <f t="shared" si="39"/>
        <v>-0.25</v>
      </c>
      <c r="G546">
        <f t="shared" si="40"/>
        <v>6.25E-2</v>
      </c>
    </row>
    <row r="547" spans="1:7">
      <c r="A547">
        <v>537</v>
      </c>
      <c r="B547">
        <f t="shared" si="38"/>
        <v>0</v>
      </c>
      <c r="C547" s="28"/>
      <c r="D547" s="28"/>
      <c r="E547">
        <f t="shared" si="37"/>
        <v>0.25</v>
      </c>
      <c r="F547">
        <f t="shared" si="39"/>
        <v>-0.25</v>
      </c>
      <c r="G547">
        <f t="shared" si="40"/>
        <v>6.25E-2</v>
      </c>
    </row>
    <row r="548" spans="1:7">
      <c r="A548">
        <v>538</v>
      </c>
      <c r="B548">
        <f t="shared" si="38"/>
        <v>0</v>
      </c>
      <c r="C548" s="28"/>
      <c r="D548" s="28"/>
      <c r="E548">
        <f t="shared" si="37"/>
        <v>0.25</v>
      </c>
      <c r="F548">
        <f t="shared" si="39"/>
        <v>-0.25</v>
      </c>
      <c r="G548">
        <f t="shared" si="40"/>
        <v>6.25E-2</v>
      </c>
    </row>
    <row r="549" spans="1:7">
      <c r="A549">
        <v>539</v>
      </c>
      <c r="B549">
        <f t="shared" si="38"/>
        <v>0</v>
      </c>
      <c r="C549" s="28"/>
      <c r="D549" s="28"/>
      <c r="E549">
        <f t="shared" si="37"/>
        <v>0.25</v>
      </c>
      <c r="F549">
        <f t="shared" si="39"/>
        <v>-0.25</v>
      </c>
      <c r="G549">
        <f t="shared" si="40"/>
        <v>6.25E-2</v>
      </c>
    </row>
    <row r="550" spans="1:7">
      <c r="A550">
        <v>540</v>
      </c>
      <c r="B550">
        <f t="shared" si="38"/>
        <v>0</v>
      </c>
      <c r="C550" s="28"/>
      <c r="D550" s="28"/>
      <c r="E550">
        <f t="shared" si="37"/>
        <v>0.25</v>
      </c>
      <c r="F550">
        <f t="shared" si="39"/>
        <v>-0.25</v>
      </c>
      <c r="G550">
        <f t="shared" si="40"/>
        <v>6.25E-2</v>
      </c>
    </row>
    <row r="551" spans="1:7">
      <c r="A551">
        <v>541</v>
      </c>
      <c r="B551">
        <f t="shared" si="38"/>
        <v>0</v>
      </c>
      <c r="C551" s="28"/>
      <c r="D551" s="28"/>
      <c r="E551">
        <f t="shared" si="37"/>
        <v>0.25</v>
      </c>
      <c r="F551">
        <f t="shared" si="39"/>
        <v>-0.25</v>
      </c>
      <c r="G551">
        <f t="shared" si="40"/>
        <v>6.25E-2</v>
      </c>
    </row>
    <row r="552" spans="1:7">
      <c r="A552">
        <v>542</v>
      </c>
      <c r="B552">
        <f t="shared" si="38"/>
        <v>0</v>
      </c>
      <c r="C552" s="28"/>
      <c r="D552" s="28"/>
      <c r="E552">
        <f t="shared" si="37"/>
        <v>0.25</v>
      </c>
      <c r="F552">
        <f t="shared" si="39"/>
        <v>-0.25</v>
      </c>
      <c r="G552">
        <f t="shared" si="40"/>
        <v>6.25E-2</v>
      </c>
    </row>
    <row r="553" spans="1:7">
      <c r="A553">
        <v>543</v>
      </c>
      <c r="B553">
        <f t="shared" si="38"/>
        <v>0</v>
      </c>
      <c r="C553" s="28"/>
      <c r="D553" s="28"/>
      <c r="E553">
        <f t="shared" si="37"/>
        <v>0.25</v>
      </c>
      <c r="F553">
        <f t="shared" si="39"/>
        <v>-0.25</v>
      </c>
      <c r="G553">
        <f t="shared" si="40"/>
        <v>6.25E-2</v>
      </c>
    </row>
    <row r="554" spans="1:7">
      <c r="A554">
        <v>544</v>
      </c>
      <c r="B554">
        <f t="shared" si="38"/>
        <v>0</v>
      </c>
      <c r="C554" s="28"/>
      <c r="D554" s="28"/>
      <c r="E554">
        <f t="shared" si="37"/>
        <v>0.25</v>
      </c>
      <c r="F554">
        <f t="shared" si="39"/>
        <v>-0.25</v>
      </c>
      <c r="G554">
        <f t="shared" si="40"/>
        <v>6.25E-2</v>
      </c>
    </row>
    <row r="555" spans="1:7">
      <c r="A555">
        <v>545</v>
      </c>
      <c r="B555">
        <f t="shared" si="38"/>
        <v>0</v>
      </c>
      <c r="C555" s="28"/>
      <c r="D555" s="28"/>
      <c r="E555">
        <f t="shared" si="37"/>
        <v>0.25</v>
      </c>
      <c r="F555">
        <f t="shared" si="39"/>
        <v>-0.25</v>
      </c>
      <c r="G555">
        <f t="shared" si="40"/>
        <v>6.25E-2</v>
      </c>
    </row>
    <row r="556" spans="1:7">
      <c r="A556">
        <v>546</v>
      </c>
      <c r="B556">
        <f t="shared" si="38"/>
        <v>0</v>
      </c>
      <c r="C556" s="28"/>
      <c r="D556" s="28"/>
      <c r="E556">
        <f t="shared" si="37"/>
        <v>0.25</v>
      </c>
      <c r="F556">
        <f t="shared" si="39"/>
        <v>-0.25</v>
      </c>
      <c r="G556">
        <f t="shared" si="40"/>
        <v>6.25E-2</v>
      </c>
    </row>
    <row r="557" spans="1:7">
      <c r="A557">
        <v>547</v>
      </c>
      <c r="B557">
        <f t="shared" si="38"/>
        <v>0</v>
      </c>
      <c r="C557" s="28"/>
      <c r="D557" s="28"/>
      <c r="E557">
        <f t="shared" si="37"/>
        <v>0.25</v>
      </c>
      <c r="F557">
        <f t="shared" si="39"/>
        <v>-0.25</v>
      </c>
      <c r="G557">
        <f t="shared" si="40"/>
        <v>6.25E-2</v>
      </c>
    </row>
    <row r="558" spans="1:7">
      <c r="A558">
        <v>548</v>
      </c>
      <c r="B558">
        <f t="shared" si="38"/>
        <v>0</v>
      </c>
      <c r="C558" s="28"/>
      <c r="D558" s="28"/>
      <c r="E558">
        <f t="shared" si="37"/>
        <v>0.25</v>
      </c>
      <c r="F558">
        <f t="shared" si="39"/>
        <v>-0.25</v>
      </c>
      <c r="G558">
        <f t="shared" si="40"/>
        <v>6.25E-2</v>
      </c>
    </row>
    <row r="559" spans="1:7">
      <c r="A559">
        <v>549</v>
      </c>
      <c r="B559">
        <f t="shared" si="38"/>
        <v>0</v>
      </c>
      <c r="C559" s="28"/>
      <c r="D559" s="28"/>
      <c r="E559">
        <f t="shared" si="37"/>
        <v>0.25</v>
      </c>
      <c r="F559">
        <f t="shared" si="39"/>
        <v>-0.25</v>
      </c>
      <c r="G559">
        <f t="shared" si="40"/>
        <v>6.25E-2</v>
      </c>
    </row>
    <row r="560" spans="1:7">
      <c r="A560">
        <v>550</v>
      </c>
      <c r="B560">
        <f t="shared" si="38"/>
        <v>0</v>
      </c>
      <c r="C560" s="28"/>
      <c r="D560" s="28"/>
      <c r="E560">
        <f t="shared" si="37"/>
        <v>0.25</v>
      </c>
      <c r="F560">
        <f t="shared" si="39"/>
        <v>-0.25</v>
      </c>
      <c r="G560">
        <f t="shared" si="40"/>
        <v>6.25E-2</v>
      </c>
    </row>
    <row r="561" spans="1:7">
      <c r="A561">
        <v>551</v>
      </c>
      <c r="B561">
        <f t="shared" si="38"/>
        <v>0</v>
      </c>
      <c r="C561" s="28"/>
      <c r="D561" s="28"/>
      <c r="E561">
        <f t="shared" si="37"/>
        <v>0.25</v>
      </c>
      <c r="F561">
        <f t="shared" si="39"/>
        <v>-0.25</v>
      </c>
      <c r="G561">
        <f t="shared" si="40"/>
        <v>6.25E-2</v>
      </c>
    </row>
    <row r="562" spans="1:7">
      <c r="A562">
        <v>552</v>
      </c>
      <c r="B562">
        <f t="shared" si="38"/>
        <v>0</v>
      </c>
      <c r="C562" s="28"/>
      <c r="D562" s="28"/>
      <c r="E562">
        <f t="shared" si="37"/>
        <v>0.25</v>
      </c>
      <c r="F562">
        <f t="shared" si="39"/>
        <v>-0.25</v>
      </c>
      <c r="G562">
        <f t="shared" si="40"/>
        <v>6.25E-2</v>
      </c>
    </row>
    <row r="563" spans="1:7">
      <c r="A563">
        <v>553</v>
      </c>
      <c r="B563">
        <f t="shared" si="38"/>
        <v>0</v>
      </c>
      <c r="C563" s="28"/>
      <c r="D563" s="28"/>
      <c r="E563">
        <f t="shared" si="37"/>
        <v>0.25</v>
      </c>
      <c r="F563">
        <f t="shared" si="39"/>
        <v>-0.25</v>
      </c>
      <c r="G563">
        <f t="shared" si="40"/>
        <v>6.25E-2</v>
      </c>
    </row>
    <row r="564" spans="1:7">
      <c r="A564">
        <v>554</v>
      </c>
      <c r="B564">
        <f t="shared" si="38"/>
        <v>0</v>
      </c>
      <c r="C564" s="28"/>
      <c r="D564" s="28"/>
      <c r="E564">
        <f t="shared" si="37"/>
        <v>0.25</v>
      </c>
      <c r="F564">
        <f t="shared" si="39"/>
        <v>-0.25</v>
      </c>
      <c r="G564">
        <f t="shared" si="40"/>
        <v>6.25E-2</v>
      </c>
    </row>
    <row r="565" spans="1:7">
      <c r="A565">
        <v>555</v>
      </c>
      <c r="B565">
        <f t="shared" si="38"/>
        <v>0</v>
      </c>
      <c r="C565" s="28"/>
      <c r="D565" s="28"/>
      <c r="E565">
        <f t="shared" si="37"/>
        <v>0.25</v>
      </c>
      <c r="F565">
        <f t="shared" si="39"/>
        <v>-0.25</v>
      </c>
      <c r="G565">
        <f t="shared" si="40"/>
        <v>6.25E-2</v>
      </c>
    </row>
    <row r="566" spans="1:7">
      <c r="A566">
        <v>556</v>
      </c>
      <c r="B566">
        <f t="shared" si="38"/>
        <v>0</v>
      </c>
      <c r="C566" s="28"/>
      <c r="D566" s="28"/>
      <c r="E566">
        <f t="shared" si="37"/>
        <v>0.25</v>
      </c>
      <c r="F566">
        <f t="shared" si="39"/>
        <v>-0.25</v>
      </c>
      <c r="G566">
        <f t="shared" si="40"/>
        <v>6.25E-2</v>
      </c>
    </row>
    <row r="567" spans="1:7">
      <c r="A567">
        <v>557</v>
      </c>
      <c r="B567">
        <f t="shared" si="38"/>
        <v>0</v>
      </c>
      <c r="C567" s="28"/>
      <c r="D567" s="28"/>
      <c r="E567">
        <f t="shared" si="37"/>
        <v>0.25</v>
      </c>
      <c r="F567">
        <f t="shared" si="39"/>
        <v>-0.25</v>
      </c>
      <c r="G567">
        <f t="shared" si="40"/>
        <v>6.25E-2</v>
      </c>
    </row>
    <row r="568" spans="1:7">
      <c r="A568">
        <v>558</v>
      </c>
      <c r="B568">
        <f t="shared" si="38"/>
        <v>0</v>
      </c>
      <c r="C568" s="28"/>
      <c r="D568" s="28"/>
      <c r="E568">
        <f t="shared" si="37"/>
        <v>0.25</v>
      </c>
      <c r="F568">
        <f t="shared" si="39"/>
        <v>-0.25</v>
      </c>
      <c r="G568">
        <f t="shared" si="40"/>
        <v>6.25E-2</v>
      </c>
    </row>
    <row r="569" spans="1:7">
      <c r="A569">
        <v>559</v>
      </c>
      <c r="B569">
        <f t="shared" si="38"/>
        <v>0</v>
      </c>
      <c r="C569" s="28"/>
      <c r="D569" s="28"/>
      <c r="E569">
        <f t="shared" si="37"/>
        <v>0.25</v>
      </c>
      <c r="F569">
        <f t="shared" si="39"/>
        <v>-0.25</v>
      </c>
      <c r="G569">
        <f t="shared" si="40"/>
        <v>6.25E-2</v>
      </c>
    </row>
    <row r="570" spans="1:7">
      <c r="A570">
        <v>560</v>
      </c>
      <c r="B570">
        <f t="shared" si="38"/>
        <v>0</v>
      </c>
      <c r="C570" s="28"/>
      <c r="D570" s="28"/>
      <c r="E570">
        <f t="shared" si="37"/>
        <v>0.25</v>
      </c>
      <c r="F570">
        <f t="shared" si="39"/>
        <v>-0.25</v>
      </c>
      <c r="G570">
        <f t="shared" si="40"/>
        <v>6.25E-2</v>
      </c>
    </row>
    <row r="571" spans="1:7">
      <c r="A571">
        <v>561</v>
      </c>
      <c r="B571">
        <f t="shared" si="38"/>
        <v>0</v>
      </c>
      <c r="C571" s="28"/>
      <c r="D571" s="28"/>
      <c r="E571">
        <f t="shared" si="37"/>
        <v>0.25</v>
      </c>
      <c r="F571">
        <f t="shared" si="39"/>
        <v>-0.25</v>
      </c>
      <c r="G571">
        <f t="shared" si="40"/>
        <v>6.25E-2</v>
      </c>
    </row>
    <row r="572" spans="1:7">
      <c r="A572">
        <v>562</v>
      </c>
      <c r="B572">
        <f t="shared" si="38"/>
        <v>0</v>
      </c>
      <c r="C572" s="28"/>
      <c r="D572" s="28"/>
      <c r="E572">
        <f t="shared" si="37"/>
        <v>0.25</v>
      </c>
      <c r="F572">
        <f t="shared" si="39"/>
        <v>-0.25</v>
      </c>
      <c r="G572">
        <f t="shared" si="40"/>
        <v>6.25E-2</v>
      </c>
    </row>
    <row r="573" spans="1:7">
      <c r="A573">
        <v>563</v>
      </c>
      <c r="B573">
        <f t="shared" si="38"/>
        <v>0</v>
      </c>
      <c r="C573" s="28"/>
      <c r="D573" s="28"/>
      <c r="E573">
        <f t="shared" si="37"/>
        <v>0.25</v>
      </c>
      <c r="F573">
        <f t="shared" si="39"/>
        <v>-0.25</v>
      </c>
      <c r="G573">
        <f t="shared" si="40"/>
        <v>6.25E-2</v>
      </c>
    </row>
    <row r="574" spans="1:7">
      <c r="A574">
        <v>564</v>
      </c>
      <c r="B574">
        <f t="shared" si="38"/>
        <v>0</v>
      </c>
      <c r="C574" s="28"/>
      <c r="D574" s="28"/>
      <c r="E574">
        <f t="shared" si="37"/>
        <v>0.25</v>
      </c>
      <c r="F574">
        <f t="shared" si="39"/>
        <v>-0.25</v>
      </c>
      <c r="G574">
        <f t="shared" si="40"/>
        <v>6.25E-2</v>
      </c>
    </row>
    <row r="575" spans="1:7">
      <c r="A575">
        <v>565</v>
      </c>
      <c r="B575">
        <f t="shared" si="38"/>
        <v>0</v>
      </c>
      <c r="C575" s="28"/>
      <c r="D575" s="28"/>
      <c r="E575">
        <f t="shared" si="37"/>
        <v>0.25</v>
      </c>
      <c r="F575">
        <f t="shared" si="39"/>
        <v>-0.25</v>
      </c>
      <c r="G575">
        <f t="shared" si="40"/>
        <v>6.25E-2</v>
      </c>
    </row>
    <row r="576" spans="1:7">
      <c r="A576">
        <v>566</v>
      </c>
      <c r="B576">
        <f t="shared" si="38"/>
        <v>0</v>
      </c>
      <c r="C576" s="28"/>
      <c r="D576" s="28"/>
      <c r="E576">
        <f t="shared" si="37"/>
        <v>0.25</v>
      </c>
      <c r="F576">
        <f t="shared" si="39"/>
        <v>-0.25</v>
      </c>
      <c r="G576">
        <f t="shared" si="40"/>
        <v>6.25E-2</v>
      </c>
    </row>
    <row r="577" spans="1:7">
      <c r="A577">
        <v>567</v>
      </c>
      <c r="B577">
        <f t="shared" si="38"/>
        <v>0</v>
      </c>
      <c r="C577" s="28"/>
      <c r="D577" s="28"/>
      <c r="E577">
        <f t="shared" si="37"/>
        <v>0.25</v>
      </c>
      <c r="F577">
        <f t="shared" si="39"/>
        <v>-0.25</v>
      </c>
      <c r="G577">
        <f t="shared" si="40"/>
        <v>6.25E-2</v>
      </c>
    </row>
    <row r="578" spans="1:7">
      <c r="A578">
        <v>568</v>
      </c>
      <c r="B578">
        <f t="shared" si="38"/>
        <v>0</v>
      </c>
      <c r="C578" s="28"/>
      <c r="D578" s="28"/>
      <c r="E578">
        <f t="shared" si="37"/>
        <v>0.25</v>
      </c>
      <c r="F578">
        <f t="shared" si="39"/>
        <v>-0.25</v>
      </c>
      <c r="G578">
        <f t="shared" si="40"/>
        <v>6.25E-2</v>
      </c>
    </row>
    <row r="579" spans="1:7">
      <c r="A579">
        <v>569</v>
      </c>
      <c r="B579">
        <f t="shared" si="38"/>
        <v>0</v>
      </c>
      <c r="C579" s="28"/>
      <c r="D579" s="28"/>
      <c r="E579">
        <f t="shared" si="37"/>
        <v>0.25</v>
      </c>
      <c r="F579">
        <f t="shared" si="39"/>
        <v>-0.25</v>
      </c>
      <c r="G579">
        <f t="shared" si="40"/>
        <v>6.25E-2</v>
      </c>
    </row>
    <row r="580" spans="1:7">
      <c r="A580">
        <v>570</v>
      </c>
      <c r="B580">
        <f t="shared" si="38"/>
        <v>0</v>
      </c>
      <c r="C580" s="28"/>
      <c r="D580" s="28"/>
      <c r="E580">
        <f t="shared" si="37"/>
        <v>0.25</v>
      </c>
      <c r="F580">
        <f t="shared" si="39"/>
        <v>-0.25</v>
      </c>
      <c r="G580">
        <f t="shared" si="40"/>
        <v>6.25E-2</v>
      </c>
    </row>
    <row r="581" spans="1:7">
      <c r="A581">
        <v>571</v>
      </c>
      <c r="B581">
        <f t="shared" si="38"/>
        <v>0</v>
      </c>
      <c r="C581" s="28"/>
      <c r="D581" s="28"/>
      <c r="E581">
        <f t="shared" si="37"/>
        <v>0.25</v>
      </c>
      <c r="F581">
        <f t="shared" si="39"/>
        <v>-0.25</v>
      </c>
      <c r="G581">
        <f t="shared" si="40"/>
        <v>6.25E-2</v>
      </c>
    </row>
    <row r="582" spans="1:7">
      <c r="A582">
        <v>572</v>
      </c>
      <c r="B582">
        <f t="shared" si="38"/>
        <v>0</v>
      </c>
      <c r="C582" s="28"/>
      <c r="D582" s="28"/>
      <c r="E582">
        <f t="shared" si="37"/>
        <v>0.25</v>
      </c>
      <c r="F582">
        <f t="shared" si="39"/>
        <v>-0.25</v>
      </c>
      <c r="G582">
        <f t="shared" si="40"/>
        <v>6.25E-2</v>
      </c>
    </row>
    <row r="583" spans="1:7">
      <c r="A583">
        <v>573</v>
      </c>
      <c r="B583">
        <f t="shared" si="38"/>
        <v>0</v>
      </c>
      <c r="C583" s="28"/>
      <c r="D583" s="28"/>
      <c r="E583">
        <f t="shared" si="37"/>
        <v>0.25</v>
      </c>
      <c r="F583">
        <f t="shared" si="39"/>
        <v>-0.25</v>
      </c>
      <c r="G583">
        <f t="shared" si="40"/>
        <v>6.25E-2</v>
      </c>
    </row>
    <row r="584" spans="1:7">
      <c r="A584">
        <v>574</v>
      </c>
      <c r="B584">
        <f t="shared" si="38"/>
        <v>0</v>
      </c>
      <c r="C584" s="28"/>
      <c r="D584" s="28"/>
      <c r="E584">
        <f t="shared" si="37"/>
        <v>0.25</v>
      </c>
      <c r="F584">
        <f t="shared" si="39"/>
        <v>-0.25</v>
      </c>
      <c r="G584">
        <f t="shared" si="40"/>
        <v>6.25E-2</v>
      </c>
    </row>
    <row r="585" spans="1:7">
      <c r="A585">
        <v>575</v>
      </c>
      <c r="B585">
        <f t="shared" si="38"/>
        <v>0</v>
      </c>
      <c r="C585" s="28"/>
      <c r="D585" s="28"/>
      <c r="E585">
        <f t="shared" si="37"/>
        <v>0.25</v>
      </c>
      <c r="F585">
        <f t="shared" si="39"/>
        <v>-0.25</v>
      </c>
      <c r="G585">
        <f t="shared" si="40"/>
        <v>6.25E-2</v>
      </c>
    </row>
    <row r="586" spans="1:7">
      <c r="A586">
        <v>576</v>
      </c>
      <c r="B586">
        <f t="shared" si="38"/>
        <v>0</v>
      </c>
      <c r="C586" s="28"/>
      <c r="D586" s="28"/>
      <c r="E586">
        <f t="shared" si="37"/>
        <v>0.25</v>
      </c>
      <c r="F586">
        <f t="shared" si="39"/>
        <v>-0.25</v>
      </c>
      <c r="G586">
        <f t="shared" si="40"/>
        <v>6.25E-2</v>
      </c>
    </row>
    <row r="587" spans="1:7">
      <c r="A587">
        <v>577</v>
      </c>
      <c r="B587">
        <f t="shared" si="38"/>
        <v>0</v>
      </c>
      <c r="C587" s="28"/>
      <c r="D587" s="28"/>
      <c r="E587">
        <f t="shared" ref="E587:E610" si="41">BaseAdjust+(ampl1*EXP(-gamma1*C587)+ampl2*EXP(-gamma2*C587)+ampl3*EXP(-gamma3*C587))^2</f>
        <v>0.25</v>
      </c>
      <c r="F587">
        <f t="shared" si="39"/>
        <v>-0.25</v>
      </c>
      <c r="G587">
        <f t="shared" si="40"/>
        <v>6.25E-2</v>
      </c>
    </row>
    <row r="588" spans="1:7">
      <c r="A588">
        <v>578</v>
      </c>
      <c r="B588">
        <f t="shared" ref="B588:B610" si="42">C588/1000</f>
        <v>0</v>
      </c>
      <c r="C588" s="28"/>
      <c r="D588" s="28"/>
      <c r="E588">
        <f t="shared" si="41"/>
        <v>0.25</v>
      </c>
      <c r="F588">
        <f t="shared" ref="F588:F610" si="43">D588-E588</f>
        <v>-0.25</v>
      </c>
      <c r="G588">
        <f t="shared" ref="G588:G610" si="44">F588^2</f>
        <v>6.25E-2</v>
      </c>
    </row>
    <row r="589" spans="1:7">
      <c r="A589">
        <v>579</v>
      </c>
      <c r="B589">
        <f t="shared" si="42"/>
        <v>0</v>
      </c>
      <c r="C589" s="28"/>
      <c r="D589" s="28"/>
      <c r="E589">
        <f t="shared" si="41"/>
        <v>0.25</v>
      </c>
      <c r="F589">
        <f t="shared" si="43"/>
        <v>-0.25</v>
      </c>
      <c r="G589">
        <f t="shared" si="44"/>
        <v>6.25E-2</v>
      </c>
    </row>
    <row r="590" spans="1:7">
      <c r="A590">
        <v>580</v>
      </c>
      <c r="B590">
        <f t="shared" si="42"/>
        <v>0</v>
      </c>
      <c r="C590" s="28"/>
      <c r="D590" s="28"/>
      <c r="E590">
        <f t="shared" si="41"/>
        <v>0.25</v>
      </c>
      <c r="F590">
        <f t="shared" si="43"/>
        <v>-0.25</v>
      </c>
      <c r="G590">
        <f t="shared" si="44"/>
        <v>6.25E-2</v>
      </c>
    </row>
    <row r="591" spans="1:7">
      <c r="A591">
        <v>581</v>
      </c>
      <c r="B591">
        <f t="shared" si="42"/>
        <v>0</v>
      </c>
      <c r="C591" s="28"/>
      <c r="D591" s="28"/>
      <c r="E591">
        <f t="shared" si="41"/>
        <v>0.25</v>
      </c>
      <c r="F591">
        <f t="shared" si="43"/>
        <v>-0.25</v>
      </c>
      <c r="G591">
        <f t="shared" si="44"/>
        <v>6.25E-2</v>
      </c>
    </row>
    <row r="592" spans="1:7">
      <c r="A592">
        <v>582</v>
      </c>
      <c r="B592">
        <f t="shared" si="42"/>
        <v>0</v>
      </c>
      <c r="C592" s="28"/>
      <c r="D592" s="28"/>
      <c r="E592">
        <f t="shared" si="41"/>
        <v>0.25</v>
      </c>
      <c r="F592">
        <f t="shared" si="43"/>
        <v>-0.25</v>
      </c>
      <c r="G592">
        <f t="shared" si="44"/>
        <v>6.25E-2</v>
      </c>
    </row>
    <row r="593" spans="1:7">
      <c r="A593">
        <v>583</v>
      </c>
      <c r="B593">
        <f t="shared" si="42"/>
        <v>0</v>
      </c>
      <c r="C593" s="28"/>
      <c r="D593" s="28"/>
      <c r="E593">
        <f t="shared" si="41"/>
        <v>0.25</v>
      </c>
      <c r="F593">
        <f t="shared" si="43"/>
        <v>-0.25</v>
      </c>
      <c r="G593">
        <f t="shared" si="44"/>
        <v>6.25E-2</v>
      </c>
    </row>
    <row r="594" spans="1:7">
      <c r="A594">
        <v>584</v>
      </c>
      <c r="B594">
        <f t="shared" si="42"/>
        <v>0</v>
      </c>
      <c r="C594" s="28"/>
      <c r="D594" s="28"/>
      <c r="E594">
        <f t="shared" si="41"/>
        <v>0.25</v>
      </c>
      <c r="F594">
        <f t="shared" si="43"/>
        <v>-0.25</v>
      </c>
      <c r="G594">
        <f t="shared" si="44"/>
        <v>6.25E-2</v>
      </c>
    </row>
    <row r="595" spans="1:7">
      <c r="A595">
        <v>585</v>
      </c>
      <c r="B595">
        <f t="shared" si="42"/>
        <v>0</v>
      </c>
      <c r="C595" s="28"/>
      <c r="D595" s="28"/>
      <c r="E595">
        <f t="shared" si="41"/>
        <v>0.25</v>
      </c>
      <c r="F595">
        <f t="shared" si="43"/>
        <v>-0.25</v>
      </c>
      <c r="G595">
        <f t="shared" si="44"/>
        <v>6.25E-2</v>
      </c>
    </row>
    <row r="596" spans="1:7">
      <c r="A596">
        <v>586</v>
      </c>
      <c r="B596">
        <f t="shared" si="42"/>
        <v>0</v>
      </c>
      <c r="C596" s="28"/>
      <c r="D596" s="28"/>
      <c r="E596">
        <f t="shared" si="41"/>
        <v>0.25</v>
      </c>
      <c r="F596">
        <f t="shared" si="43"/>
        <v>-0.25</v>
      </c>
      <c r="G596">
        <f t="shared" si="44"/>
        <v>6.25E-2</v>
      </c>
    </row>
    <row r="597" spans="1:7">
      <c r="A597">
        <v>587</v>
      </c>
      <c r="B597">
        <f t="shared" si="42"/>
        <v>0</v>
      </c>
      <c r="C597" s="28"/>
      <c r="D597" s="28"/>
      <c r="E597">
        <f t="shared" si="41"/>
        <v>0.25</v>
      </c>
      <c r="F597">
        <f t="shared" si="43"/>
        <v>-0.25</v>
      </c>
      <c r="G597">
        <f t="shared" si="44"/>
        <v>6.25E-2</v>
      </c>
    </row>
    <row r="598" spans="1:7">
      <c r="A598">
        <v>588</v>
      </c>
      <c r="B598">
        <f t="shared" si="42"/>
        <v>0</v>
      </c>
      <c r="C598" s="28"/>
      <c r="D598" s="28"/>
      <c r="E598">
        <f t="shared" si="41"/>
        <v>0.25</v>
      </c>
      <c r="F598">
        <f t="shared" si="43"/>
        <v>-0.25</v>
      </c>
      <c r="G598">
        <f t="shared" si="44"/>
        <v>6.25E-2</v>
      </c>
    </row>
    <row r="599" spans="1:7">
      <c r="A599">
        <v>589</v>
      </c>
      <c r="B599">
        <f t="shared" si="42"/>
        <v>0</v>
      </c>
      <c r="C599" s="28"/>
      <c r="D599" s="28"/>
      <c r="E599">
        <f t="shared" si="41"/>
        <v>0.25</v>
      </c>
      <c r="F599">
        <f t="shared" si="43"/>
        <v>-0.25</v>
      </c>
      <c r="G599">
        <f t="shared" si="44"/>
        <v>6.25E-2</v>
      </c>
    </row>
    <row r="600" spans="1:7">
      <c r="A600">
        <v>590</v>
      </c>
      <c r="B600">
        <f t="shared" si="42"/>
        <v>0</v>
      </c>
      <c r="C600" s="28"/>
      <c r="D600" s="28"/>
      <c r="E600">
        <f t="shared" si="41"/>
        <v>0.25</v>
      </c>
      <c r="F600">
        <f t="shared" si="43"/>
        <v>-0.25</v>
      </c>
      <c r="G600">
        <f t="shared" si="44"/>
        <v>6.25E-2</v>
      </c>
    </row>
    <row r="601" spans="1:7">
      <c r="A601">
        <v>591</v>
      </c>
      <c r="B601">
        <f t="shared" si="42"/>
        <v>0</v>
      </c>
      <c r="C601" s="28"/>
      <c r="D601" s="28"/>
      <c r="E601">
        <f t="shared" si="41"/>
        <v>0.25</v>
      </c>
      <c r="F601">
        <f t="shared" si="43"/>
        <v>-0.25</v>
      </c>
      <c r="G601">
        <f t="shared" si="44"/>
        <v>6.25E-2</v>
      </c>
    </row>
    <row r="602" spans="1:7">
      <c r="A602">
        <v>592</v>
      </c>
      <c r="B602">
        <f t="shared" si="42"/>
        <v>0</v>
      </c>
      <c r="C602" s="28"/>
      <c r="D602" s="28"/>
      <c r="E602">
        <f t="shared" si="41"/>
        <v>0.25</v>
      </c>
      <c r="F602">
        <f t="shared" si="43"/>
        <v>-0.25</v>
      </c>
      <c r="G602">
        <f t="shared" si="44"/>
        <v>6.25E-2</v>
      </c>
    </row>
    <row r="603" spans="1:7">
      <c r="A603">
        <v>593</v>
      </c>
      <c r="B603">
        <f t="shared" si="42"/>
        <v>0</v>
      </c>
      <c r="C603" s="28"/>
      <c r="D603" s="28"/>
      <c r="E603">
        <f t="shared" si="41"/>
        <v>0.25</v>
      </c>
      <c r="F603">
        <f t="shared" si="43"/>
        <v>-0.25</v>
      </c>
      <c r="G603">
        <f t="shared" si="44"/>
        <v>6.25E-2</v>
      </c>
    </row>
    <row r="604" spans="1:7">
      <c r="A604">
        <v>594</v>
      </c>
      <c r="B604">
        <f t="shared" si="42"/>
        <v>0</v>
      </c>
      <c r="C604" s="28"/>
      <c r="D604" s="28"/>
      <c r="E604">
        <f t="shared" si="41"/>
        <v>0.25</v>
      </c>
      <c r="F604">
        <f t="shared" si="43"/>
        <v>-0.25</v>
      </c>
      <c r="G604">
        <f t="shared" si="44"/>
        <v>6.25E-2</v>
      </c>
    </row>
    <row r="605" spans="1:7">
      <c r="A605">
        <v>595</v>
      </c>
      <c r="B605">
        <f t="shared" si="42"/>
        <v>0</v>
      </c>
      <c r="C605" s="28"/>
      <c r="D605" s="28"/>
      <c r="E605">
        <f t="shared" si="41"/>
        <v>0.25</v>
      </c>
      <c r="F605">
        <f t="shared" si="43"/>
        <v>-0.25</v>
      </c>
      <c r="G605">
        <f t="shared" si="44"/>
        <v>6.25E-2</v>
      </c>
    </row>
    <row r="606" spans="1:7">
      <c r="A606">
        <v>596</v>
      </c>
      <c r="B606">
        <f t="shared" si="42"/>
        <v>0</v>
      </c>
      <c r="C606" s="28"/>
      <c r="D606" s="28"/>
      <c r="E606">
        <f t="shared" si="41"/>
        <v>0.25</v>
      </c>
      <c r="F606">
        <f t="shared" si="43"/>
        <v>-0.25</v>
      </c>
      <c r="G606">
        <f t="shared" si="44"/>
        <v>6.25E-2</v>
      </c>
    </row>
    <row r="607" spans="1:7">
      <c r="A607">
        <v>597</v>
      </c>
      <c r="B607">
        <f t="shared" si="42"/>
        <v>0</v>
      </c>
      <c r="C607" s="28"/>
      <c r="D607" s="28"/>
      <c r="E607">
        <f t="shared" si="41"/>
        <v>0.25</v>
      </c>
      <c r="F607">
        <f t="shared" si="43"/>
        <v>-0.25</v>
      </c>
      <c r="G607">
        <f t="shared" si="44"/>
        <v>6.25E-2</v>
      </c>
    </row>
    <row r="608" spans="1:7">
      <c r="A608">
        <v>598</v>
      </c>
      <c r="B608">
        <f t="shared" si="42"/>
        <v>0</v>
      </c>
      <c r="C608" s="28"/>
      <c r="D608" s="28"/>
      <c r="E608">
        <f t="shared" si="41"/>
        <v>0.25</v>
      </c>
      <c r="F608">
        <f t="shared" si="43"/>
        <v>-0.25</v>
      </c>
      <c r="G608">
        <f t="shared" si="44"/>
        <v>6.25E-2</v>
      </c>
    </row>
    <row r="609" spans="1:7">
      <c r="A609">
        <v>599</v>
      </c>
      <c r="B609">
        <f t="shared" si="42"/>
        <v>0</v>
      </c>
      <c r="C609" s="28"/>
      <c r="D609" s="28"/>
      <c r="E609">
        <f t="shared" si="41"/>
        <v>0.25</v>
      </c>
      <c r="F609">
        <f t="shared" si="43"/>
        <v>-0.25</v>
      </c>
      <c r="G609">
        <f t="shared" si="44"/>
        <v>6.25E-2</v>
      </c>
    </row>
    <row r="610" spans="1:7">
      <c r="A610">
        <v>600</v>
      </c>
      <c r="B610">
        <f t="shared" si="42"/>
        <v>0</v>
      </c>
      <c r="C610" s="28"/>
      <c r="D610" s="28"/>
      <c r="E610">
        <f t="shared" si="41"/>
        <v>0.25</v>
      </c>
      <c r="F610">
        <f t="shared" si="43"/>
        <v>-0.25</v>
      </c>
      <c r="G610">
        <f t="shared" si="44"/>
        <v>6.25E-2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9" r:id="rId3" name="cmdResetMexpSheet">
          <controlPr defaultSize="0" autoLine="0" r:id="rId4">
            <anchor moveWithCells="1">
              <from>
                <xdr:col>11</xdr:col>
                <xdr:colOff>211667</xdr:colOff>
                <xdr:row>2</xdr:row>
                <xdr:rowOff>173567</xdr:rowOff>
              </from>
              <to>
                <xdr:col>13</xdr:col>
                <xdr:colOff>16933</xdr:colOff>
                <xdr:row>5</xdr:row>
                <xdr:rowOff>148167</xdr:rowOff>
              </to>
            </anchor>
          </controlPr>
        </control>
      </mc:Choice>
      <mc:Fallback>
        <control shapeId="5129" r:id="rId3" name="cmdResetMexpSheet"/>
      </mc:Fallback>
    </mc:AlternateContent>
    <mc:AlternateContent xmlns:mc="http://schemas.openxmlformats.org/markup-compatibility/2006">
      <mc:Choice Requires="x14">
        <control shapeId="5128" r:id="rId5" name="cmdLoadAngle8">
          <controlPr defaultSize="0" autoLine="0" r:id="rId6">
            <anchor moveWithCells="1">
              <from>
                <xdr:col>15</xdr:col>
                <xdr:colOff>0</xdr:colOff>
                <xdr:row>38</xdr:row>
                <xdr:rowOff>0</xdr:rowOff>
              </from>
              <to>
                <xdr:col>16</xdr:col>
                <xdr:colOff>469900</xdr:colOff>
                <xdr:row>40</xdr:row>
                <xdr:rowOff>122767</xdr:rowOff>
              </to>
            </anchor>
          </controlPr>
        </control>
      </mc:Choice>
      <mc:Fallback>
        <control shapeId="5128" r:id="rId5" name="cmdLoadAngle8"/>
      </mc:Fallback>
    </mc:AlternateContent>
    <mc:AlternateContent xmlns:mc="http://schemas.openxmlformats.org/markup-compatibility/2006">
      <mc:Choice Requires="x14">
        <control shapeId="5127" r:id="rId7" name="cmdLoadAngle7">
          <controlPr defaultSize="0" autoLine="0" r:id="rId8">
            <anchor moveWithCells="1">
              <from>
                <xdr:col>15</xdr:col>
                <xdr:colOff>0</xdr:colOff>
                <xdr:row>33</xdr:row>
                <xdr:rowOff>0</xdr:rowOff>
              </from>
              <to>
                <xdr:col>16</xdr:col>
                <xdr:colOff>469900</xdr:colOff>
                <xdr:row>35</xdr:row>
                <xdr:rowOff>122767</xdr:rowOff>
              </to>
            </anchor>
          </controlPr>
        </control>
      </mc:Choice>
      <mc:Fallback>
        <control shapeId="5127" r:id="rId7" name="cmdLoadAngle7"/>
      </mc:Fallback>
    </mc:AlternateContent>
    <mc:AlternateContent xmlns:mc="http://schemas.openxmlformats.org/markup-compatibility/2006">
      <mc:Choice Requires="x14">
        <control shapeId="5126" r:id="rId9" name="cmdLoadAngle6">
          <controlPr defaultSize="0" autoLine="0" r:id="rId10">
            <anchor moveWithCells="1">
              <from>
                <xdr:col>15</xdr:col>
                <xdr:colOff>0</xdr:colOff>
                <xdr:row>28</xdr:row>
                <xdr:rowOff>0</xdr:rowOff>
              </from>
              <to>
                <xdr:col>16</xdr:col>
                <xdr:colOff>469900</xdr:colOff>
                <xdr:row>30</xdr:row>
                <xdr:rowOff>122767</xdr:rowOff>
              </to>
            </anchor>
          </controlPr>
        </control>
      </mc:Choice>
      <mc:Fallback>
        <control shapeId="5126" r:id="rId9" name="cmdLoadAngle6"/>
      </mc:Fallback>
    </mc:AlternateContent>
    <mc:AlternateContent xmlns:mc="http://schemas.openxmlformats.org/markup-compatibility/2006">
      <mc:Choice Requires="x14">
        <control shapeId="5125" r:id="rId11" name="cmdLoadAngle5">
          <controlPr defaultSize="0" autoLine="0" r:id="rId12">
            <anchor moveWithCells="1">
              <from>
                <xdr:col>15</xdr:col>
                <xdr:colOff>0</xdr:colOff>
                <xdr:row>23</xdr:row>
                <xdr:rowOff>0</xdr:rowOff>
              </from>
              <to>
                <xdr:col>16</xdr:col>
                <xdr:colOff>469900</xdr:colOff>
                <xdr:row>25</xdr:row>
                <xdr:rowOff>122767</xdr:rowOff>
              </to>
            </anchor>
          </controlPr>
        </control>
      </mc:Choice>
      <mc:Fallback>
        <control shapeId="5125" r:id="rId11" name="cmdLoadAngle5"/>
      </mc:Fallback>
    </mc:AlternateContent>
    <mc:AlternateContent xmlns:mc="http://schemas.openxmlformats.org/markup-compatibility/2006">
      <mc:Choice Requires="x14">
        <control shapeId="5124" r:id="rId13" name="cmdLoadAngle4">
          <controlPr defaultSize="0" autoLine="0" r:id="rId14">
            <anchor moveWithCells="1">
              <from>
                <xdr:col>15</xdr:col>
                <xdr:colOff>0</xdr:colOff>
                <xdr:row>18</xdr:row>
                <xdr:rowOff>0</xdr:rowOff>
              </from>
              <to>
                <xdr:col>16</xdr:col>
                <xdr:colOff>469900</xdr:colOff>
                <xdr:row>20</xdr:row>
                <xdr:rowOff>122767</xdr:rowOff>
              </to>
            </anchor>
          </controlPr>
        </control>
      </mc:Choice>
      <mc:Fallback>
        <control shapeId="5124" r:id="rId13" name="cmdLoadAngle4"/>
      </mc:Fallback>
    </mc:AlternateContent>
    <mc:AlternateContent xmlns:mc="http://schemas.openxmlformats.org/markup-compatibility/2006">
      <mc:Choice Requires="x14">
        <control shapeId="5123" r:id="rId15" name="cmdLoadAngle3">
          <controlPr defaultSize="0" autoLine="0" r:id="rId16">
            <anchor moveWithCells="1">
              <from>
                <xdr:col>15</xdr:col>
                <xdr:colOff>0</xdr:colOff>
                <xdr:row>13</xdr:row>
                <xdr:rowOff>0</xdr:rowOff>
              </from>
              <to>
                <xdr:col>16</xdr:col>
                <xdr:colOff>469900</xdr:colOff>
                <xdr:row>15</xdr:row>
                <xdr:rowOff>122767</xdr:rowOff>
              </to>
            </anchor>
          </controlPr>
        </control>
      </mc:Choice>
      <mc:Fallback>
        <control shapeId="5123" r:id="rId15" name="cmdLoadAngle3"/>
      </mc:Fallback>
    </mc:AlternateContent>
    <mc:AlternateContent xmlns:mc="http://schemas.openxmlformats.org/markup-compatibility/2006">
      <mc:Choice Requires="x14">
        <control shapeId="5122" r:id="rId17" name="cmdLoadAngle2">
          <controlPr defaultSize="0" autoLine="0" r:id="rId18">
            <anchor moveWithCells="1">
              <from>
                <xdr:col>15</xdr:col>
                <xdr:colOff>0</xdr:colOff>
                <xdr:row>8</xdr:row>
                <xdr:rowOff>0</xdr:rowOff>
              </from>
              <to>
                <xdr:col>16</xdr:col>
                <xdr:colOff>469900</xdr:colOff>
                <xdr:row>10</xdr:row>
                <xdr:rowOff>97367</xdr:rowOff>
              </to>
            </anchor>
          </controlPr>
        </control>
      </mc:Choice>
      <mc:Fallback>
        <control shapeId="5122" r:id="rId17" name="cmdLoadAngle2"/>
      </mc:Fallback>
    </mc:AlternateContent>
    <mc:AlternateContent xmlns:mc="http://schemas.openxmlformats.org/markup-compatibility/2006">
      <mc:Choice Requires="x14">
        <control shapeId="5121" r:id="rId19" name="cmdLoadAngle1">
          <controlPr defaultSize="0" autoLine="0" r:id="rId20">
            <anchor moveWithCells="1">
              <from>
                <xdr:col>14</xdr:col>
                <xdr:colOff>635000</xdr:colOff>
                <xdr:row>2</xdr:row>
                <xdr:rowOff>194733</xdr:rowOff>
              </from>
              <to>
                <xdr:col>16</xdr:col>
                <xdr:colOff>452967</xdr:colOff>
                <xdr:row>5</xdr:row>
                <xdr:rowOff>84667</xdr:rowOff>
              </to>
            </anchor>
          </controlPr>
        </control>
      </mc:Choice>
      <mc:Fallback>
        <control shapeId="5121" r:id="rId19" name="cmdLoadAngl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3202-3816-4560-9154-58EF366BF38A}">
  <sheetPr codeName="Sheet3"/>
  <dimension ref="A1:AL610"/>
  <sheetViews>
    <sheetView tabSelected="1" zoomScale="55" zoomScaleNormal="55" workbookViewId="0">
      <selection activeCell="R5" sqref="R5"/>
    </sheetView>
  </sheetViews>
  <sheetFormatPr defaultRowHeight="14.35"/>
  <cols>
    <col min="1" max="1" width="9.05859375" bestFit="1" customWidth="1"/>
    <col min="2" max="2" width="13.29296875" bestFit="1" customWidth="1"/>
    <col min="3" max="3" width="11.29296875" customWidth="1"/>
    <col min="4" max="4" width="12.76171875" customWidth="1"/>
    <col min="5" max="5" width="11.8203125" style="32" customWidth="1"/>
    <col min="6" max="6" width="11.5859375" style="32" customWidth="1"/>
    <col min="7" max="7" width="15.46875" style="32" customWidth="1"/>
    <col min="8" max="8" width="9.3515625" customWidth="1"/>
    <col min="9" max="9" width="11.52734375" customWidth="1"/>
    <col min="10" max="10" width="9" bestFit="1" customWidth="1"/>
    <col min="19" max="19" width="13.29296875" bestFit="1" customWidth="1"/>
    <col min="21" max="21" width="9" bestFit="1" customWidth="1"/>
    <col min="23" max="23" width="9" bestFit="1" customWidth="1"/>
    <col min="26" max="26" width="9" bestFit="1" customWidth="1"/>
    <col min="34" max="34" width="11.3515625" customWidth="1"/>
    <col min="35" max="35" width="11.703125" customWidth="1"/>
  </cols>
  <sheetData>
    <row r="1" spans="1:38">
      <c r="E1"/>
      <c r="F1"/>
      <c r="G1"/>
    </row>
    <row r="2" spans="1:38" ht="17.350000000000001">
      <c r="E2"/>
      <c r="F2"/>
      <c r="G2"/>
      <c r="AC2" t="s">
        <v>83</v>
      </c>
      <c r="AD2" t="s">
        <v>110</v>
      </c>
      <c r="AE2" s="70" t="s">
        <v>106</v>
      </c>
      <c r="AF2" s="48" t="s">
        <v>108</v>
      </c>
      <c r="AG2" s="70" t="s">
        <v>109</v>
      </c>
      <c r="AH2" s="70" t="s">
        <v>115</v>
      </c>
      <c r="AI2" t="s">
        <v>116</v>
      </c>
      <c r="AJ2" t="s">
        <v>90</v>
      </c>
      <c r="AK2" t="s">
        <v>91</v>
      </c>
      <c r="AL2" t="s">
        <v>92</v>
      </c>
    </row>
    <row r="3" spans="1:38" ht="16.350000000000001">
      <c r="E3"/>
      <c r="F3"/>
      <c r="G3"/>
      <c r="AB3" t="s">
        <v>76</v>
      </c>
      <c r="AC3" t="s">
        <v>118</v>
      </c>
      <c r="AD3" t="s">
        <v>117</v>
      </c>
      <c r="AE3" t="s">
        <v>82</v>
      </c>
      <c r="AF3" t="s">
        <v>119</v>
      </c>
      <c r="AG3" t="s">
        <v>120</v>
      </c>
      <c r="AH3" t="s">
        <v>121</v>
      </c>
      <c r="AI3" t="s">
        <v>86</v>
      </c>
      <c r="AJ3" t="s">
        <v>93</v>
      </c>
      <c r="AK3" t="s">
        <v>93</v>
      </c>
      <c r="AL3" t="s">
        <v>93</v>
      </c>
    </row>
    <row r="4" spans="1:38">
      <c r="B4" s="27" t="s">
        <v>62</v>
      </c>
      <c r="C4" s="28">
        <v>44</v>
      </c>
      <c r="D4" s="27" t="s">
        <v>63</v>
      </c>
      <c r="E4" s="28">
        <v>0</v>
      </c>
      <c r="F4" s="27"/>
      <c r="G4" s="27"/>
      <c r="H4" s="27"/>
      <c r="I4" s="30" t="s">
        <v>80</v>
      </c>
      <c r="R4" s="33" t="s">
        <v>62</v>
      </c>
      <c r="S4" s="33">
        <v>44</v>
      </c>
      <c r="T4" s="33" t="s">
        <v>63</v>
      </c>
      <c r="U4" s="33">
        <v>0</v>
      </c>
      <c r="V4" s="33"/>
      <c r="W4" s="33"/>
      <c r="X4" s="33"/>
      <c r="Y4" s="33" t="s">
        <v>80</v>
      </c>
      <c r="Z4" s="33"/>
      <c r="AB4">
        <v>1</v>
      </c>
      <c r="AC4">
        <f>S5/10000000000</f>
        <v>0.97890580329857879</v>
      </c>
      <c r="AE4" t="str">
        <f>W5</f>
        <v>First Channel Used</v>
      </c>
      <c r="AF4" t="str">
        <f>W6</f>
        <v>Last  Channel Used</v>
      </c>
      <c r="AG4">
        <f>W7</f>
        <v>0</v>
      </c>
      <c r="AH4" t="e">
        <f>(10000000)*(1000*AE4)/(10000000000*AC4)</f>
        <v>#VALUE!</v>
      </c>
      <c r="AI4" t="e">
        <f>(10000000)*(1000*AF4)/(10000000000*AC4)</f>
        <v>#VALUE!</v>
      </c>
      <c r="AJ4" t="e">
        <f>(kBoltz*TdegK)/(6*PI()*EtaP*AH4/10000000)*10000000</f>
        <v>#VALUE!</v>
      </c>
      <c r="AK4" t="e">
        <f>(kBoltz*TdegK)/(6*PI()*EtaP*AI4/10000000)*10000000</f>
        <v>#VALUE!</v>
      </c>
      <c r="AL4" t="e">
        <f>(kBoltz*TdegK)/(6*PI()*EtaP*#REF!/10000000)*10000000</f>
        <v>#REF!</v>
      </c>
    </row>
    <row r="5" spans="1:38" ht="16.350000000000001">
      <c r="B5" s="27" t="s">
        <v>69</v>
      </c>
      <c r="C5" s="31">
        <f>(4*PI()*Refin*SIN(RADIANS(C4/2))/LamCM)^2</f>
        <v>9789058032.9857883</v>
      </c>
      <c r="D5" s="46" t="s">
        <v>110</v>
      </c>
      <c r="E5" s="28">
        <v>0.5</v>
      </c>
      <c r="F5" s="27"/>
      <c r="G5" s="27" t="s">
        <v>75</v>
      </c>
      <c r="H5" s="28">
        <v>11</v>
      </c>
      <c r="I5" s="27">
        <f>H5+10</f>
        <v>21</v>
      </c>
      <c r="R5" s="33" t="s">
        <v>81</v>
      </c>
      <c r="S5" s="33">
        <v>9789058032.9857883</v>
      </c>
      <c r="T5" s="33" t="s">
        <v>110</v>
      </c>
      <c r="U5" s="33">
        <v>1</v>
      </c>
      <c r="V5" s="33"/>
      <c r="W5" s="33" t="s">
        <v>75</v>
      </c>
      <c r="X5" s="33">
        <v>11</v>
      </c>
      <c r="Y5" s="33">
        <v>21</v>
      </c>
      <c r="Z5" s="33"/>
      <c r="AB5">
        <v>2</v>
      </c>
      <c r="AC5">
        <f>S10/10000000000</f>
        <v>0</v>
      </c>
      <c r="AE5">
        <f>W10</f>
        <v>0</v>
      </c>
      <c r="AF5">
        <f>W11</f>
        <v>0</v>
      </c>
      <c r="AG5">
        <f>W12</f>
        <v>0</v>
      </c>
      <c r="AH5" t="e">
        <f t="shared" ref="AH5:AH11" si="0">(10000000)*(1000*AE5)/(10000000000*AC5)</f>
        <v>#DIV/0!</v>
      </c>
      <c r="AI5" t="e">
        <f t="shared" ref="AI5:AI11" si="1">(10000000)*(1000*AF5)/(10000000000*AC5)</f>
        <v>#DIV/0!</v>
      </c>
      <c r="AJ5" t="e">
        <f>(kBoltz*TdegK)/(6*PI()*EtaP*AH5/10000000)*10000000</f>
        <v>#DIV/0!</v>
      </c>
      <c r="AK5" t="e">
        <f>(kBoltz*TdegK)/(6*PI()*EtaP*AI5/10000000)*10000000</f>
        <v>#DIV/0!</v>
      </c>
      <c r="AL5" t="e">
        <f>(kBoltz*TdegK)/(6*PI()*EtaP*#REF!/10000000)*10000000</f>
        <v>#REF!</v>
      </c>
    </row>
    <row r="6" spans="1:38">
      <c r="B6" s="27"/>
      <c r="C6" s="27"/>
      <c r="D6" s="44" t="s">
        <v>106</v>
      </c>
      <c r="E6" s="28">
        <v>1</v>
      </c>
      <c r="F6" s="27" t="s">
        <v>82</v>
      </c>
      <c r="G6" s="27" t="s">
        <v>79</v>
      </c>
      <c r="H6" s="28">
        <v>34</v>
      </c>
      <c r="I6" s="27">
        <f>H6+10</f>
        <v>44</v>
      </c>
      <c r="R6" s="33"/>
      <c r="S6" s="33">
        <v>9789058032.9857883</v>
      </c>
      <c r="T6" s="69" t="s">
        <v>106</v>
      </c>
      <c r="U6" s="33">
        <v>1</v>
      </c>
      <c r="V6" s="33" t="s">
        <v>82</v>
      </c>
      <c r="W6" s="33" t="s">
        <v>79</v>
      </c>
      <c r="X6" s="33">
        <v>34</v>
      </c>
      <c r="Y6" s="33">
        <v>44</v>
      </c>
      <c r="Z6" s="33"/>
      <c r="AB6">
        <v>3</v>
      </c>
      <c r="AC6">
        <f>S15/10000000000</f>
        <v>0</v>
      </c>
      <c r="AE6">
        <f>W15</f>
        <v>0</v>
      </c>
      <c r="AF6">
        <f>W16</f>
        <v>0</v>
      </c>
      <c r="AG6">
        <f>W17</f>
        <v>0</v>
      </c>
      <c r="AH6" t="e">
        <f t="shared" si="0"/>
        <v>#DIV/0!</v>
      </c>
      <c r="AI6" t="e">
        <f t="shared" si="1"/>
        <v>#DIV/0!</v>
      </c>
      <c r="AJ6" t="e">
        <f>(kBoltz*TdegK)/(6*PI()*EtaP*AH6/10000000)*10000000</f>
        <v>#DIV/0!</v>
      </c>
      <c r="AK6" t="e">
        <f>(kBoltz*TdegK)/(6*PI()*EtaP*AI6/10000000)*10000000</f>
        <v>#DIV/0!</v>
      </c>
      <c r="AL6" t="e">
        <f>(kBoltz*TdegK)/(6*PI()*EtaP*#REF!/10000000)*10000000</f>
        <v>#REF!</v>
      </c>
    </row>
    <row r="7" spans="1:38" ht="17.350000000000001">
      <c r="B7" s="27"/>
      <c r="C7" s="27"/>
      <c r="D7" s="45" t="s">
        <v>108</v>
      </c>
      <c r="E7" s="28">
        <v>0.1</v>
      </c>
      <c r="F7" s="27" t="s">
        <v>119</v>
      </c>
      <c r="G7" s="27"/>
      <c r="H7" s="27"/>
      <c r="I7" s="27"/>
      <c r="R7" s="33"/>
      <c r="S7" s="33">
        <v>9789058032.9857883</v>
      </c>
      <c r="T7" s="71" t="s">
        <v>107</v>
      </c>
      <c r="U7" s="33">
        <v>0.1</v>
      </c>
      <c r="V7" s="33" t="s">
        <v>122</v>
      </c>
      <c r="W7" s="33"/>
      <c r="X7" s="33"/>
      <c r="Y7" s="33"/>
      <c r="Z7" s="33"/>
      <c r="AB7">
        <v>4</v>
      </c>
      <c r="AC7">
        <f>S20/10000000000</f>
        <v>0</v>
      </c>
      <c r="AE7">
        <f>W20</f>
        <v>0</v>
      </c>
      <c r="AF7">
        <f>W21</f>
        <v>0</v>
      </c>
      <c r="AG7">
        <f>W22</f>
        <v>0</v>
      </c>
      <c r="AH7" t="e">
        <f t="shared" si="0"/>
        <v>#DIV/0!</v>
      </c>
      <c r="AI7" t="e">
        <f t="shared" si="1"/>
        <v>#DIV/0!</v>
      </c>
      <c r="AJ7" t="e">
        <f>(kBoltz*TdegK)/(6*PI()*EtaP*AH7/10000000)*10000000</f>
        <v>#DIV/0!</v>
      </c>
      <c r="AK7" t="e">
        <f>(kBoltz*TdegK)/(6*PI()*EtaP*AI7/10000000)*10000000</f>
        <v>#DIV/0!</v>
      </c>
      <c r="AL7" t="e">
        <f>(kBoltz*TdegK)/(6*PI()*EtaP*#REF!/10000000)*10000000</f>
        <v>#REF!</v>
      </c>
    </row>
    <row r="8" spans="1:38" ht="17.350000000000001">
      <c r="B8" s="44"/>
      <c r="C8" s="44"/>
      <c r="D8" s="44" t="s">
        <v>109</v>
      </c>
      <c r="E8" s="28">
        <v>0</v>
      </c>
      <c r="F8" s="27" t="s">
        <v>120</v>
      </c>
      <c r="G8" s="27" t="s">
        <v>112</v>
      </c>
      <c r="H8" s="28">
        <v>0</v>
      </c>
      <c r="I8" s="27" t="s">
        <v>121</v>
      </c>
      <c r="R8" s="33"/>
      <c r="S8" s="33"/>
      <c r="T8" s="69" t="s">
        <v>109</v>
      </c>
      <c r="U8" s="33"/>
      <c r="V8" s="33"/>
      <c r="W8" s="33" t="s">
        <v>111</v>
      </c>
      <c r="X8" s="33"/>
      <c r="Y8" s="33"/>
      <c r="Z8" s="33"/>
      <c r="AB8">
        <v>5</v>
      </c>
      <c r="AC8">
        <f>S25/10000000000</f>
        <v>0</v>
      </c>
      <c r="AE8">
        <f>W25</f>
        <v>0</v>
      </c>
      <c r="AF8">
        <f>W26</f>
        <v>0</v>
      </c>
      <c r="AG8">
        <f>W27</f>
        <v>0</v>
      </c>
      <c r="AH8" t="e">
        <f t="shared" si="0"/>
        <v>#DIV/0!</v>
      </c>
      <c r="AI8" t="e">
        <f t="shared" si="1"/>
        <v>#DIV/0!</v>
      </c>
      <c r="AJ8" t="e">
        <f>(kBoltz*TdegK)/(6*PI()*EtaP*AH8/10000000)*10000000</f>
        <v>#DIV/0!</v>
      </c>
      <c r="AK8" t="e">
        <f>(kBoltz*TdegK)/(6*PI()*EtaP*AI8/10000000)*10000000</f>
        <v>#DIV/0!</v>
      </c>
      <c r="AL8" t="e">
        <f>(kBoltz*TdegK)/(6*PI()*EtaP*#REF!/10000000)*10000000</f>
        <v>#REF!</v>
      </c>
    </row>
    <row r="9" spans="1:38">
      <c r="B9" s="47"/>
      <c r="C9" s="47"/>
      <c r="D9" s="47"/>
      <c r="E9" s="47"/>
      <c r="F9" s="47"/>
      <c r="G9"/>
      <c r="R9" s="34" t="s">
        <v>62</v>
      </c>
      <c r="S9" s="34"/>
      <c r="T9" s="34" t="s">
        <v>63</v>
      </c>
      <c r="U9" s="34"/>
      <c r="V9" s="34"/>
      <c r="W9" s="34"/>
      <c r="X9" s="34"/>
      <c r="Y9" s="34"/>
      <c r="Z9" s="34"/>
      <c r="AB9">
        <v>6</v>
      </c>
      <c r="AC9">
        <f>S30/10000000000</f>
        <v>0</v>
      </c>
      <c r="AE9">
        <f>W30</f>
        <v>0</v>
      </c>
      <c r="AF9">
        <f>W31</f>
        <v>0</v>
      </c>
      <c r="AG9">
        <v>0</v>
      </c>
      <c r="AH9" t="e">
        <f t="shared" si="0"/>
        <v>#DIV/0!</v>
      </c>
      <c r="AI9" t="e">
        <f t="shared" si="1"/>
        <v>#DIV/0!</v>
      </c>
      <c r="AJ9" t="e">
        <f>(kBoltz*TdegK)/(6*PI()*EtaP*AH9/10000000)*10000000</f>
        <v>#DIV/0!</v>
      </c>
      <c r="AK9" t="e">
        <f>(kBoltz*TdegK)/(6*PI()*EtaP*AI9/10000000)*10000000</f>
        <v>#DIV/0!</v>
      </c>
      <c r="AL9" t="e">
        <f>(kBoltz*TdegK)/(6*PI()*EtaP*#REF!/10000000)*10000000</f>
        <v>#REF!</v>
      </c>
    </row>
    <row r="10" spans="1:38" ht="16.350000000000001">
      <c r="A10" t="s">
        <v>76</v>
      </c>
      <c r="B10" t="s">
        <v>70</v>
      </c>
      <c r="C10" t="s">
        <v>71</v>
      </c>
      <c r="D10" t="s">
        <v>73</v>
      </c>
      <c r="E10" t="s">
        <v>74</v>
      </c>
      <c r="F10" t="s">
        <v>78</v>
      </c>
      <c r="G10" t="s">
        <v>77</v>
      </c>
      <c r="H10" t="s">
        <v>72</v>
      </c>
      <c r="R10" s="34" t="s">
        <v>81</v>
      </c>
      <c r="S10" s="34"/>
      <c r="T10" s="49" t="s">
        <v>110</v>
      </c>
      <c r="U10" s="34"/>
      <c r="V10" s="34" t="s">
        <v>66</v>
      </c>
      <c r="W10" s="34"/>
      <c r="X10" s="34" t="s">
        <v>82</v>
      </c>
      <c r="Y10" s="34" t="s">
        <v>75</v>
      </c>
      <c r="Z10" s="34"/>
      <c r="AB10">
        <v>7</v>
      </c>
      <c r="AC10">
        <f>S35/10000000000</f>
        <v>0</v>
      </c>
      <c r="AE10">
        <f>W35</f>
        <v>0</v>
      </c>
      <c r="AF10">
        <f>W36</f>
        <v>0</v>
      </c>
      <c r="AG10">
        <f>W37</f>
        <v>0</v>
      </c>
      <c r="AH10" t="e">
        <f t="shared" si="0"/>
        <v>#DIV/0!</v>
      </c>
      <c r="AI10" t="e">
        <f t="shared" si="1"/>
        <v>#DIV/0!</v>
      </c>
      <c r="AJ10" t="e">
        <f>(kBoltz*TdegK)/(6*PI()*EtaP*AH10/10000000)*10000000</f>
        <v>#DIV/0!</v>
      </c>
      <c r="AK10" t="e">
        <f>(kBoltz*TdegK)/(6*PI()*EtaP*AI10/10000000)*10000000</f>
        <v>#DIV/0!</v>
      </c>
      <c r="AL10" t="e">
        <f>(kBoltz*TdegK)/(6*PI()*EtaP*#REF!/10000000)*10000000</f>
        <v>#REF!</v>
      </c>
    </row>
    <row r="11" spans="1:38">
      <c r="A11">
        <v>1</v>
      </c>
      <c r="B11">
        <f>C11/1000</f>
        <v>2.5000000000000002E-8</v>
      </c>
      <c r="C11" s="29">
        <v>2.5000000000000001E-5</v>
      </c>
      <c r="D11" s="29">
        <v>0.43943366666666667</v>
      </c>
      <c r="E11">
        <f>CumOffset+fcoh*EXP(-2*GammaBar*C11+mutwo*C11^2+muthree*C11^3+mufour*C11^4)</f>
        <v>0.49997500065623801</v>
      </c>
      <c r="F11">
        <f>D11-E11</f>
        <v>-6.0541333989571344E-2</v>
      </c>
      <c r="G11">
        <f>F11*F11</f>
        <v>3.6652531212368264E-3</v>
      </c>
      <c r="H11">
        <f ca="1">SUM(INDIRECT("G"&amp;I5&amp;":G"&amp;I6))</f>
        <v>0.40698732581247665</v>
      </c>
      <c r="R11" s="34"/>
      <c r="S11" s="34"/>
      <c r="T11" s="49" t="s">
        <v>106</v>
      </c>
      <c r="U11" s="34"/>
      <c r="V11" s="34" t="s">
        <v>67</v>
      </c>
      <c r="W11" s="34"/>
      <c r="X11" s="34" t="s">
        <v>82</v>
      </c>
      <c r="Y11" s="34" t="s">
        <v>79</v>
      </c>
      <c r="Z11" s="34"/>
      <c r="AB11">
        <v>8</v>
      </c>
      <c r="AC11">
        <f>S40/10000000000</f>
        <v>0</v>
      </c>
      <c r="AE11">
        <f>W40</f>
        <v>0</v>
      </c>
      <c r="AF11">
        <f>W41</f>
        <v>0</v>
      </c>
      <c r="AG11">
        <f>W42</f>
        <v>0</v>
      </c>
      <c r="AH11" t="e">
        <f t="shared" si="0"/>
        <v>#DIV/0!</v>
      </c>
      <c r="AI11" t="e">
        <f t="shared" si="1"/>
        <v>#DIV/0!</v>
      </c>
      <c r="AJ11" t="e">
        <f>(kBoltz*TdegK)/(6*PI()*EtaP*AH11/10000000)*10000000</f>
        <v>#DIV/0!</v>
      </c>
      <c r="AK11" t="e">
        <f>(kBoltz*TdegK)/(6*PI()*EtaP*AI11/10000000)*10000000</f>
        <v>#DIV/0!</v>
      </c>
      <c r="AL11" t="e">
        <f>(kBoltz*TdegK)/(6*PI()*EtaP*#REF!/10000000)*10000000</f>
        <v>#REF!</v>
      </c>
    </row>
    <row r="12" spans="1:38" ht="16.350000000000001">
      <c r="A12">
        <v>2</v>
      </c>
      <c r="B12">
        <f t="shared" ref="B12:B75" si="2">C12/1000</f>
        <v>5.0000000000000004E-8</v>
      </c>
      <c r="C12" s="28">
        <v>5.0000000000000002E-5</v>
      </c>
      <c r="D12" s="28">
        <v>0.7225043333333333</v>
      </c>
      <c r="E12">
        <f>CumOffset+fcoh*EXP(-2*GammaBar*C12+mutwo*C12^2+muthree*C12^3+mufour*C12^4)</f>
        <v>0.49995000262490419</v>
      </c>
      <c r="F12">
        <f t="shared" ref="F12:F75" si="3">D12-E12</f>
        <v>0.22255433070842912</v>
      </c>
      <c r="G12">
        <f t="shared" ref="G12:G75" si="4">F12*F12</f>
        <v>4.9530430117076835E-2</v>
      </c>
      <c r="R12" s="34"/>
      <c r="S12" s="34"/>
      <c r="T12" s="49" t="s">
        <v>113</v>
      </c>
      <c r="U12" s="34"/>
      <c r="V12" s="34" t="s">
        <v>68</v>
      </c>
      <c r="W12" s="34"/>
      <c r="X12" s="34" t="s">
        <v>82</v>
      </c>
      <c r="Y12" s="34"/>
      <c r="Z12" s="34"/>
    </row>
    <row r="13" spans="1:38" ht="16.350000000000001">
      <c r="A13">
        <v>3</v>
      </c>
      <c r="B13">
        <f t="shared" si="2"/>
        <v>7.4999999999999997E-8</v>
      </c>
      <c r="C13" s="28">
        <v>7.4999999999999993E-5</v>
      </c>
      <c r="D13" s="28">
        <v>0.66696066666666665</v>
      </c>
      <c r="E13">
        <f>CumOffset+fcoh*EXP(-2*GammaBar*C13+mutwo*C13^2+muthree*C13^3+mufour*C13^4)</f>
        <v>0.49992500590592659</v>
      </c>
      <c r="F13">
        <f t="shared" si="3"/>
        <v>0.16703566076074006</v>
      </c>
      <c r="G13">
        <f t="shared" si="4"/>
        <v>2.7900911965777035E-2</v>
      </c>
      <c r="R13" s="34"/>
      <c r="S13" s="34"/>
      <c r="T13" s="50" t="s">
        <v>114</v>
      </c>
      <c r="U13" s="34"/>
      <c r="V13" s="34"/>
      <c r="W13" s="34"/>
      <c r="X13" s="34"/>
      <c r="Y13" s="34"/>
      <c r="Z13" s="34"/>
    </row>
    <row r="14" spans="1:38">
      <c r="A14">
        <v>4</v>
      </c>
      <c r="B14">
        <f t="shared" si="2"/>
        <v>1.0000000000000001E-7</v>
      </c>
      <c r="C14" s="28">
        <v>1E-4</v>
      </c>
      <c r="D14" s="28">
        <v>0.6538560000000001</v>
      </c>
      <c r="E14">
        <f>CumOffset+fcoh*EXP(-2*GammaBar*C14+mutwo*C14^2+muthree*C14^3+mufour*C14^4)</f>
        <v>0.49990001049923338</v>
      </c>
      <c r="F14">
        <f t="shared" si="3"/>
        <v>0.15395598950076672</v>
      </c>
      <c r="G14">
        <f t="shared" si="4"/>
        <v>2.3702446703160192E-2</v>
      </c>
      <c r="R14" s="35" t="s">
        <v>62</v>
      </c>
      <c r="S14" s="35"/>
      <c r="T14" s="35" t="s">
        <v>63</v>
      </c>
      <c r="U14" s="35"/>
      <c r="V14" s="35"/>
      <c r="W14" s="35"/>
      <c r="X14" s="35"/>
      <c r="Y14" s="35"/>
      <c r="Z14" s="35"/>
    </row>
    <row r="15" spans="1:38">
      <c r="A15">
        <v>5</v>
      </c>
      <c r="B15">
        <f t="shared" si="2"/>
        <v>1.2499999999999999E-7</v>
      </c>
      <c r="C15" s="28">
        <v>1.25E-4</v>
      </c>
      <c r="D15" s="28">
        <v>0.64508733333333323</v>
      </c>
      <c r="E15">
        <f>CumOffset+fcoh*EXP(-2*GammaBar*C15+mutwo*C15^2+muthree*C15^3+mufour*C15^4)</f>
        <v>0.49987501640475274</v>
      </c>
      <c r="F15">
        <f t="shared" si="3"/>
        <v>0.1452123169285805</v>
      </c>
      <c r="G15">
        <f t="shared" si="4"/>
        <v>2.1086616987766506E-2</v>
      </c>
      <c r="R15" s="35" t="s">
        <v>81</v>
      </c>
      <c r="S15" s="35"/>
      <c r="T15" s="51" t="s">
        <v>110</v>
      </c>
      <c r="U15" s="35"/>
      <c r="V15" s="35" t="s">
        <v>66</v>
      </c>
      <c r="W15" s="35"/>
      <c r="X15" s="35" t="s">
        <v>82</v>
      </c>
      <c r="Y15" s="35" t="s">
        <v>75</v>
      </c>
      <c r="Z15" s="35"/>
    </row>
    <row r="16" spans="1:38">
      <c r="A16">
        <v>6</v>
      </c>
      <c r="B16">
        <f t="shared" si="2"/>
        <v>1.4999999999999999E-7</v>
      </c>
      <c r="C16" s="28">
        <v>1.4999999999999999E-4</v>
      </c>
      <c r="D16" s="28">
        <v>0.63661899999999993</v>
      </c>
      <c r="E16">
        <f>CumOffset+fcoh*EXP(-2*GammaBar*C16+mutwo*C16^2+muthree*C16^3+mufour*C16^4)</f>
        <v>0.49985002362241271</v>
      </c>
      <c r="F16">
        <f t="shared" si="3"/>
        <v>0.13676897637758723</v>
      </c>
      <c r="G16">
        <f t="shared" si="4"/>
        <v>1.8705752899373013E-2</v>
      </c>
      <c r="R16" s="35"/>
      <c r="S16" s="35"/>
      <c r="T16" s="52" t="s">
        <v>106</v>
      </c>
      <c r="U16" s="35"/>
      <c r="V16" s="35" t="s">
        <v>67</v>
      </c>
      <c r="W16" s="35"/>
      <c r="X16" s="35" t="s">
        <v>82</v>
      </c>
      <c r="Y16" s="35" t="s">
        <v>79</v>
      </c>
      <c r="Z16" s="35"/>
    </row>
    <row r="17" spans="1:26" ht="16.350000000000001">
      <c r="A17">
        <v>7</v>
      </c>
      <c r="B17">
        <f t="shared" si="2"/>
        <v>1.7499999999999999E-7</v>
      </c>
      <c r="C17" s="28">
        <v>1.75E-4</v>
      </c>
      <c r="D17" s="28">
        <v>0.63669766666666672</v>
      </c>
      <c r="E17">
        <f>CumOffset+fcoh*EXP(-2*GammaBar*C17+mutwo*C17^2+muthree*C17^3+mufour*C17^4)</f>
        <v>0.49982503215214158</v>
      </c>
      <c r="F17">
        <f t="shared" si="3"/>
        <v>0.13687263451452514</v>
      </c>
      <c r="G17">
        <f t="shared" si="4"/>
        <v>1.8734118078946777E-2</v>
      </c>
      <c r="R17" s="35"/>
      <c r="S17" s="35"/>
      <c r="T17" s="53" t="s">
        <v>108</v>
      </c>
      <c r="U17" s="35"/>
      <c r="V17" s="35" t="s">
        <v>68</v>
      </c>
      <c r="W17" s="35"/>
      <c r="X17" s="35" t="s">
        <v>82</v>
      </c>
      <c r="Y17" s="35"/>
      <c r="Z17" s="35"/>
    </row>
    <row r="18" spans="1:26" ht="16.350000000000001">
      <c r="A18">
        <v>8</v>
      </c>
      <c r="B18">
        <f t="shared" si="2"/>
        <v>2.0000000000000002E-7</v>
      </c>
      <c r="C18" s="28">
        <v>2.0000000000000001E-4</v>
      </c>
      <c r="D18" s="28">
        <v>0.63493933333333341</v>
      </c>
      <c r="E18">
        <f>CumOffset+fcoh*EXP(-2*GammaBar*C18+mutwo*C18^2+muthree*C18^3+mufour*C18^4)</f>
        <v>0.49980004199386735</v>
      </c>
      <c r="F18">
        <f t="shared" si="3"/>
        <v>0.13513929133946606</v>
      </c>
      <c r="G18">
        <f t="shared" si="4"/>
        <v>1.8262628063733088E-2</v>
      </c>
      <c r="R18" s="35"/>
      <c r="S18" s="35"/>
      <c r="T18" s="52" t="s">
        <v>109</v>
      </c>
      <c r="U18" s="35"/>
      <c r="V18" s="35"/>
      <c r="W18" s="35"/>
      <c r="X18" s="35"/>
      <c r="Y18" s="35"/>
      <c r="Z18" s="35"/>
    </row>
    <row r="19" spans="1:26">
      <c r="A19">
        <v>9</v>
      </c>
      <c r="B19">
        <f t="shared" si="2"/>
        <v>2.2499999999999999E-7</v>
      </c>
      <c r="C19" s="28">
        <v>2.2499999999999999E-4</v>
      </c>
      <c r="D19" s="28">
        <v>0.63286866666666663</v>
      </c>
      <c r="E19">
        <f>CumOffset+fcoh*EXP(-2*GammaBar*C19+mutwo*C19^2+muthree*C19^3+mufour*C19^4)</f>
        <v>0.4997750531475183</v>
      </c>
      <c r="F19">
        <f t="shared" si="3"/>
        <v>0.13309361351914833</v>
      </c>
      <c r="G19">
        <f t="shared" si="4"/>
        <v>1.7713909959584426E-2</v>
      </c>
      <c r="R19" s="36" t="s">
        <v>62</v>
      </c>
      <c r="S19" s="36"/>
      <c r="T19" s="36" t="s">
        <v>63</v>
      </c>
      <c r="U19" s="36"/>
      <c r="V19" s="36"/>
      <c r="W19" s="36"/>
      <c r="X19" s="36"/>
      <c r="Y19" s="36"/>
      <c r="Z19" s="36"/>
    </row>
    <row r="20" spans="1:26">
      <c r="A20">
        <v>10</v>
      </c>
      <c r="B20">
        <f t="shared" si="2"/>
        <v>2.4999999999999999E-7</v>
      </c>
      <c r="C20" s="28">
        <v>2.5000000000000001E-4</v>
      </c>
      <c r="D20" s="28">
        <v>0.63691566666666677</v>
      </c>
      <c r="E20">
        <f>CumOffset+fcoh*EXP(-2*GammaBar*C20+mutwo*C20^2+muthree*C20^3+mufour*C20^4)</f>
        <v>0.49975006561302254</v>
      </c>
      <c r="F20">
        <f t="shared" si="3"/>
        <v>0.13716560105364423</v>
      </c>
      <c r="G20">
        <f t="shared" si="4"/>
        <v>1.8814402112407487E-2</v>
      </c>
      <c r="R20" s="36" t="s">
        <v>81</v>
      </c>
      <c r="S20" s="36"/>
      <c r="T20" s="54" t="s">
        <v>110</v>
      </c>
      <c r="U20" s="36"/>
      <c r="V20" s="36" t="s">
        <v>66</v>
      </c>
      <c r="W20" s="36"/>
      <c r="X20" s="36" t="s">
        <v>82</v>
      </c>
      <c r="Y20" s="36" t="s">
        <v>75</v>
      </c>
      <c r="Z20" s="36"/>
    </row>
    <row r="21" spans="1:26">
      <c r="A21">
        <v>11</v>
      </c>
      <c r="B21">
        <f t="shared" si="2"/>
        <v>2.7500000000000001E-7</v>
      </c>
      <c r="C21" s="28">
        <v>2.7500000000000002E-4</v>
      </c>
      <c r="D21" s="28">
        <v>0.63641099999999995</v>
      </c>
      <c r="E21">
        <f>CumOffset+fcoh*EXP(-2*GammaBar*C21+mutwo*C21^2+muthree*C21^3+mufour*C21^4)</f>
        <v>0.49972507939030825</v>
      </c>
      <c r="F21">
        <f t="shared" si="3"/>
        <v>0.1366859206096917</v>
      </c>
      <c r="G21">
        <f t="shared" si="4"/>
        <v>1.8683040892918942E-2</v>
      </c>
      <c r="R21" s="36"/>
      <c r="S21" s="36"/>
      <c r="T21" s="55" t="s">
        <v>106</v>
      </c>
      <c r="U21" s="36"/>
      <c r="V21" s="36" t="s">
        <v>67</v>
      </c>
      <c r="W21" s="36"/>
      <c r="X21" s="36" t="s">
        <v>82</v>
      </c>
      <c r="Y21" s="36" t="s">
        <v>79</v>
      </c>
      <c r="Z21" s="36"/>
    </row>
    <row r="22" spans="1:26" ht="16.350000000000001">
      <c r="A22">
        <v>12</v>
      </c>
      <c r="B22">
        <f t="shared" si="2"/>
        <v>2.9999999999999999E-7</v>
      </c>
      <c r="C22" s="28">
        <v>2.9999999999999997E-4</v>
      </c>
      <c r="D22" s="28">
        <v>0.63353966666666661</v>
      </c>
      <c r="E22">
        <f>CumOffset+fcoh*EXP(-2*GammaBar*C22+mutwo*C22^2+muthree*C22^3+mufour*C22^4)</f>
        <v>0.49970009447930352</v>
      </c>
      <c r="F22">
        <f t="shared" si="3"/>
        <v>0.13383957218736309</v>
      </c>
      <c r="G22">
        <f t="shared" si="4"/>
        <v>1.7913031083296376E-2</v>
      </c>
      <c r="R22" s="36"/>
      <c r="S22" s="36"/>
      <c r="T22" s="56" t="s">
        <v>108</v>
      </c>
      <c r="U22" s="36"/>
      <c r="V22" s="36" t="s">
        <v>68</v>
      </c>
      <c r="W22" s="36"/>
      <c r="X22" s="36" t="s">
        <v>82</v>
      </c>
      <c r="Y22" s="36"/>
      <c r="Z22" s="36"/>
    </row>
    <row r="23" spans="1:26" ht="16.350000000000001">
      <c r="A23">
        <v>13</v>
      </c>
      <c r="B23">
        <f t="shared" si="2"/>
        <v>3.2499999999999996E-7</v>
      </c>
      <c r="C23" s="28">
        <v>3.2499999999999999E-4</v>
      </c>
      <c r="D23" s="28">
        <v>0.63280366666666665</v>
      </c>
      <c r="E23">
        <f>CumOffset+fcoh*EXP(-2*GammaBar*C23+mutwo*C23^2+muthree*C23^3+mufour*C23^4)</f>
        <v>0.49967511087993666</v>
      </c>
      <c r="F23">
        <f t="shared" si="3"/>
        <v>0.13312855578673</v>
      </c>
      <c r="G23">
        <f t="shared" si="4"/>
        <v>1.7723212365860479E-2</v>
      </c>
      <c r="R23" s="36"/>
      <c r="S23" s="36"/>
      <c r="T23" s="55" t="s">
        <v>109</v>
      </c>
      <c r="U23" s="36"/>
      <c r="V23" s="36"/>
      <c r="W23" s="36"/>
      <c r="X23" s="36"/>
      <c r="Y23" s="36"/>
      <c r="Z23" s="36"/>
    </row>
    <row r="24" spans="1:26">
      <c r="A24">
        <v>14</v>
      </c>
      <c r="B24">
        <f t="shared" si="2"/>
        <v>3.4999999999999998E-7</v>
      </c>
      <c r="C24" s="28">
        <v>3.5E-4</v>
      </c>
      <c r="D24" s="28">
        <v>0.63060133333333335</v>
      </c>
      <c r="E24">
        <f>CumOffset+fcoh*EXP(-2*GammaBar*C24+mutwo*C24^2+muthree*C24^3+mufour*C24^4)</f>
        <v>0.4996501285921357</v>
      </c>
      <c r="F24">
        <f t="shared" si="3"/>
        <v>0.13095120474119765</v>
      </c>
      <c r="G24">
        <f t="shared" si="4"/>
        <v>1.7148218023171066E-2</v>
      </c>
      <c r="R24" s="37" t="s">
        <v>62</v>
      </c>
      <c r="S24" s="37"/>
      <c r="T24" s="37" t="s">
        <v>63</v>
      </c>
      <c r="U24" s="37"/>
      <c r="V24" s="37"/>
      <c r="W24" s="37"/>
      <c r="X24" s="37"/>
      <c r="Y24" s="37"/>
      <c r="Z24" s="37"/>
    </row>
    <row r="25" spans="1:26">
      <c r="A25">
        <v>15</v>
      </c>
      <c r="B25">
        <f t="shared" si="2"/>
        <v>3.7500000000000001E-7</v>
      </c>
      <c r="C25" s="28">
        <v>3.7500000000000001E-4</v>
      </c>
      <c r="D25" s="28">
        <v>0.63142200000000004</v>
      </c>
      <c r="E25">
        <f>CumOffset+fcoh*EXP(-2*GammaBar*C25+mutwo*C25^2+muthree*C25^3+mufour*C25^4)</f>
        <v>0.49962514761582894</v>
      </c>
      <c r="F25">
        <f t="shared" si="3"/>
        <v>0.1317968523841711</v>
      </c>
      <c r="G25">
        <f t="shared" si="4"/>
        <v>1.7370410298374987E-2</v>
      </c>
      <c r="R25" s="37" t="s">
        <v>81</v>
      </c>
      <c r="S25" s="37"/>
      <c r="T25" s="57" t="s">
        <v>110</v>
      </c>
      <c r="U25" s="37"/>
      <c r="V25" s="37" t="s">
        <v>66</v>
      </c>
      <c r="W25" s="37"/>
      <c r="X25" s="37" t="s">
        <v>82</v>
      </c>
      <c r="Y25" s="37" t="s">
        <v>75</v>
      </c>
      <c r="Z25" s="37"/>
    </row>
    <row r="26" spans="1:26">
      <c r="A26">
        <v>16</v>
      </c>
      <c r="B26">
        <f t="shared" si="2"/>
        <v>4.0000000000000003E-7</v>
      </c>
      <c r="C26" s="28">
        <v>4.0000000000000002E-4</v>
      </c>
      <c r="D26" s="28">
        <v>0.63234633333333334</v>
      </c>
      <c r="E26">
        <f>CumOffset+fcoh*EXP(-2*GammaBar*C26+mutwo*C26^2+muthree*C26^3+mufour*C26^4)</f>
        <v>0.49960016795094447</v>
      </c>
      <c r="F26">
        <f t="shared" si="3"/>
        <v>0.13274616538238887</v>
      </c>
      <c r="G26">
        <f t="shared" si="4"/>
        <v>1.7621544423728538E-2</v>
      </c>
      <c r="R26" s="37"/>
      <c r="S26" s="37"/>
      <c r="T26" s="58" t="s">
        <v>106</v>
      </c>
      <c r="U26" s="37"/>
      <c r="V26" s="37" t="s">
        <v>67</v>
      </c>
      <c r="W26" s="37"/>
      <c r="X26" s="37" t="s">
        <v>82</v>
      </c>
      <c r="Y26" s="37" t="s">
        <v>79</v>
      </c>
      <c r="Z26" s="37"/>
    </row>
    <row r="27" spans="1:26" ht="16.350000000000001">
      <c r="A27">
        <v>17</v>
      </c>
      <c r="B27">
        <f t="shared" si="2"/>
        <v>4.4999999999999998E-7</v>
      </c>
      <c r="C27" s="28">
        <v>4.4999999999999999E-4</v>
      </c>
      <c r="D27" s="28">
        <v>0.63227066666666665</v>
      </c>
      <c r="E27">
        <f>CumOffset+fcoh*EXP(-2*GammaBar*C27+mutwo*C27^2+muthree*C27^3+mufour*C27^4)</f>
        <v>0.49955021255515536</v>
      </c>
      <c r="F27">
        <f t="shared" si="3"/>
        <v>0.13272045411151129</v>
      </c>
      <c r="G27">
        <f t="shared" si="4"/>
        <v>1.7614718939565774E-2</v>
      </c>
      <c r="R27" s="37"/>
      <c r="S27" s="37"/>
      <c r="T27" s="59" t="s">
        <v>108</v>
      </c>
      <c r="U27" s="37"/>
      <c r="V27" s="37" t="s">
        <v>68</v>
      </c>
      <c r="W27" s="37"/>
      <c r="X27" s="37" t="s">
        <v>82</v>
      </c>
      <c r="Y27" s="37"/>
      <c r="Z27" s="37"/>
    </row>
    <row r="28" spans="1:26" ht="16.350000000000001">
      <c r="A28">
        <v>18</v>
      </c>
      <c r="B28">
        <f t="shared" si="2"/>
        <v>4.9999999999999998E-7</v>
      </c>
      <c r="C28" s="28">
        <v>5.0000000000000001E-4</v>
      </c>
      <c r="D28" s="28">
        <v>0.63379866666666673</v>
      </c>
      <c r="E28">
        <f>CumOffset+fcoh*EXP(-2*GammaBar*C28+mutwo*C28^2+muthree*C28^3+mufour*C28^4)</f>
        <v>0.49950026240419387</v>
      </c>
      <c r="F28">
        <f t="shared" si="3"/>
        <v>0.13429840426247286</v>
      </c>
      <c r="G28">
        <f t="shared" si="4"/>
        <v>1.8036061387446588E-2</v>
      </c>
      <c r="R28" s="37"/>
      <c r="S28" s="37"/>
      <c r="T28" s="58" t="s">
        <v>109</v>
      </c>
      <c r="U28" s="37"/>
      <c r="V28" s="37"/>
      <c r="W28" s="37"/>
      <c r="X28" s="37"/>
      <c r="Y28" s="37"/>
      <c r="Z28" s="37"/>
    </row>
    <row r="29" spans="1:26">
      <c r="A29">
        <v>19</v>
      </c>
      <c r="B29">
        <f t="shared" si="2"/>
        <v>5.5000000000000003E-7</v>
      </c>
      <c r="C29" s="28">
        <v>5.5000000000000003E-4</v>
      </c>
      <c r="D29" s="28">
        <v>0.62954399999999999</v>
      </c>
      <c r="E29">
        <f>CumOffset+fcoh*EXP(-2*GammaBar*C29+mutwo*C29^2+muthree*C29^3+mufour*C29^4)</f>
        <v>0.4994503174974857</v>
      </c>
      <c r="F29">
        <f t="shared" si="3"/>
        <v>0.1300936825025143</v>
      </c>
      <c r="G29">
        <f t="shared" si="4"/>
        <v>1.6924366227064995E-2</v>
      </c>
      <c r="R29" s="38" t="s">
        <v>62</v>
      </c>
      <c r="S29" s="38"/>
      <c r="T29" s="38" t="s">
        <v>63</v>
      </c>
      <c r="U29" s="38"/>
      <c r="V29" s="38"/>
      <c r="W29" s="38"/>
      <c r="X29" s="38"/>
      <c r="Y29" s="38"/>
      <c r="Z29" s="38"/>
    </row>
    <row r="30" spans="1:26">
      <c r="A30">
        <v>20</v>
      </c>
      <c r="B30">
        <f t="shared" si="2"/>
        <v>5.9999999999999997E-7</v>
      </c>
      <c r="C30" s="28">
        <v>5.9999999999999995E-4</v>
      </c>
      <c r="D30" s="28">
        <v>0.62813233333333329</v>
      </c>
      <c r="E30">
        <f>CumOffset+fcoh*EXP(-2*GammaBar*C30+mutwo*C30^2+muthree*C30^3+mufour*C30^4)</f>
        <v>0.49940037783445645</v>
      </c>
      <c r="F30">
        <f t="shared" si="3"/>
        <v>0.12873195549887684</v>
      </c>
      <c r="G30">
        <f t="shared" si="4"/>
        <v>1.6571916366564805E-2</v>
      </c>
      <c r="R30" s="38" t="s">
        <v>81</v>
      </c>
      <c r="S30" s="38"/>
      <c r="T30" s="66" t="s">
        <v>110</v>
      </c>
      <c r="U30" s="38"/>
      <c r="V30" s="38" t="s">
        <v>66</v>
      </c>
      <c r="W30" s="38"/>
      <c r="X30" s="38" t="s">
        <v>82</v>
      </c>
      <c r="Y30" s="38" t="s">
        <v>75</v>
      </c>
      <c r="Z30" s="38"/>
    </row>
    <row r="31" spans="1:26">
      <c r="A31">
        <v>21</v>
      </c>
      <c r="B31">
        <f t="shared" si="2"/>
        <v>6.4999999999999992E-7</v>
      </c>
      <c r="C31" s="28">
        <v>6.4999999999999997E-4</v>
      </c>
      <c r="D31" s="28">
        <v>0.62753133333333333</v>
      </c>
      <c r="E31">
        <f>CumOffset+fcoh*EXP(-2*GammaBar*C31+mutwo*C31^2+muthree*C31^3+mufour*C31^4)</f>
        <v>0.49935044341453194</v>
      </c>
      <c r="F31">
        <f t="shared" si="3"/>
        <v>0.12818088991880139</v>
      </c>
      <c r="G31">
        <f t="shared" si="4"/>
        <v>1.6430340540375881E-2</v>
      </c>
      <c r="R31" s="38"/>
      <c r="S31" s="38"/>
      <c r="T31" s="67" t="s">
        <v>106</v>
      </c>
      <c r="U31" s="38"/>
      <c r="V31" s="38" t="s">
        <v>67</v>
      </c>
      <c r="W31" s="38"/>
      <c r="X31" s="38" t="s">
        <v>82</v>
      </c>
      <c r="Y31" s="38" t="s">
        <v>79</v>
      </c>
      <c r="Z31" s="38"/>
    </row>
    <row r="32" spans="1:26" ht="16.350000000000001">
      <c r="A32">
        <v>22</v>
      </c>
      <c r="B32">
        <f t="shared" si="2"/>
        <v>6.9999999999999997E-7</v>
      </c>
      <c r="C32" s="28">
        <v>6.9999999999999999E-4</v>
      </c>
      <c r="D32" s="28">
        <v>0.62565466666666658</v>
      </c>
      <c r="E32">
        <f>CumOffset+fcoh*EXP(-2*GammaBar*C32+mutwo*C32^2+muthree*C32^3+mufour*C32^4)</f>
        <v>0.49930051423713795</v>
      </c>
      <c r="F32">
        <f t="shared" si="3"/>
        <v>0.12635415242952863</v>
      </c>
      <c r="G32">
        <f t="shared" si="4"/>
        <v>1.5965371836184555E-2</v>
      </c>
      <c r="R32" s="38"/>
      <c r="S32" s="38"/>
      <c r="T32" s="68" t="s">
        <v>113</v>
      </c>
      <c r="U32" s="38"/>
      <c r="V32" s="38" t="s">
        <v>68</v>
      </c>
      <c r="W32" s="38"/>
      <c r="X32" s="38" t="s">
        <v>82</v>
      </c>
      <c r="Y32" s="38"/>
      <c r="Z32" s="38"/>
    </row>
    <row r="33" spans="1:26" ht="16.350000000000001">
      <c r="A33">
        <v>23</v>
      </c>
      <c r="B33">
        <f t="shared" si="2"/>
        <v>7.5000000000000002E-7</v>
      </c>
      <c r="C33" s="28">
        <v>7.5000000000000002E-4</v>
      </c>
      <c r="D33" s="28">
        <v>0.62798833333333326</v>
      </c>
      <c r="E33">
        <f>CumOffset+fcoh*EXP(-2*GammaBar*C33+mutwo*C33^2+muthree*C33^3+mufour*C33^4)</f>
        <v>0.49925059030170033</v>
      </c>
      <c r="F33">
        <f t="shared" si="3"/>
        <v>0.12873774303163293</v>
      </c>
      <c r="G33">
        <f t="shared" si="4"/>
        <v>1.6573406480878752E-2</v>
      </c>
      <c r="R33" s="38"/>
      <c r="S33" s="38"/>
      <c r="T33" s="67" t="s">
        <v>114</v>
      </c>
      <c r="U33" s="38"/>
      <c r="V33" s="38"/>
      <c r="W33" s="38"/>
      <c r="X33" s="38"/>
      <c r="Y33" s="38"/>
      <c r="Z33" s="38"/>
    </row>
    <row r="34" spans="1:26">
      <c r="A34">
        <v>24</v>
      </c>
      <c r="B34">
        <f t="shared" si="2"/>
        <v>8.0000000000000007E-7</v>
      </c>
      <c r="C34" s="28">
        <v>8.0000000000000004E-4</v>
      </c>
      <c r="D34" s="28">
        <v>0.62938866666666671</v>
      </c>
      <c r="E34">
        <f>CumOffset+fcoh*EXP(-2*GammaBar*C34+mutwo*C34^2+muthree*C34^3+mufour*C34^4)</f>
        <v>0.49920067160764514</v>
      </c>
      <c r="F34">
        <f t="shared" si="3"/>
        <v>0.13018799505902157</v>
      </c>
      <c r="G34">
        <f t="shared" si="4"/>
        <v>1.6948914057487822E-2</v>
      </c>
      <c r="R34" s="39" t="s">
        <v>62</v>
      </c>
      <c r="S34" s="39"/>
      <c r="T34" s="39" t="s">
        <v>63</v>
      </c>
      <c r="U34" s="39"/>
      <c r="V34" s="39"/>
      <c r="W34" s="39"/>
      <c r="X34" s="39"/>
      <c r="Y34" s="39"/>
      <c r="Z34" s="39"/>
    </row>
    <row r="35" spans="1:26">
      <c r="A35">
        <v>25</v>
      </c>
      <c r="B35">
        <f t="shared" si="2"/>
        <v>8.9999999999999996E-7</v>
      </c>
      <c r="C35" s="28">
        <v>8.9999999999999998E-4</v>
      </c>
      <c r="D35" s="28">
        <v>0.62935166666666664</v>
      </c>
      <c r="E35">
        <f>CumOffset+fcoh*EXP(-2*GammaBar*C35+mutwo*C35^2+muthree*C35^3+mufour*C35^4)</f>
        <v>0.49910084994138582</v>
      </c>
      <c r="F35">
        <f t="shared" si="3"/>
        <v>0.13025081672528083</v>
      </c>
      <c r="G35">
        <f t="shared" si="4"/>
        <v>1.6965275257602695E-2</v>
      </c>
      <c r="R35" s="39" t="s">
        <v>81</v>
      </c>
      <c r="S35" s="39"/>
      <c r="T35" s="60" t="s">
        <v>110</v>
      </c>
      <c r="U35" s="39"/>
      <c r="V35" s="39" t="s">
        <v>66</v>
      </c>
      <c r="W35" s="39"/>
      <c r="X35" s="39" t="s">
        <v>82</v>
      </c>
      <c r="Y35" s="39" t="s">
        <v>75</v>
      </c>
      <c r="Z35" s="39"/>
    </row>
    <row r="36" spans="1:26">
      <c r="A36">
        <v>26</v>
      </c>
      <c r="B36">
        <f t="shared" si="2"/>
        <v>9.9999999999999995E-7</v>
      </c>
      <c r="C36" s="28">
        <v>1E-3</v>
      </c>
      <c r="D36" s="28">
        <v>0.62716433333333332</v>
      </c>
      <c r="E36">
        <f>CumOffset+fcoh*EXP(-2*GammaBar*C36+mutwo*C36^2+muthree*C36^3+mufour*C36^4)</f>
        <v>0.49900104923376898</v>
      </c>
      <c r="F36">
        <f t="shared" si="3"/>
        <v>0.12816328409956435</v>
      </c>
      <c r="G36">
        <f t="shared" si="4"/>
        <v>1.6425827391185643E-2</v>
      </c>
      <c r="R36" s="39"/>
      <c r="S36" s="39"/>
      <c r="T36" s="61" t="s">
        <v>106</v>
      </c>
      <c r="U36" s="39"/>
      <c r="V36" s="39" t="s">
        <v>67</v>
      </c>
      <c r="W36" s="39"/>
      <c r="X36" s="39" t="s">
        <v>82</v>
      </c>
      <c r="Y36" s="39" t="s">
        <v>79</v>
      </c>
      <c r="Z36" s="39"/>
    </row>
    <row r="37" spans="1:26" ht="16.350000000000001">
      <c r="A37">
        <v>27</v>
      </c>
      <c r="B37">
        <f t="shared" si="2"/>
        <v>1.1000000000000001E-6</v>
      </c>
      <c r="C37" s="28">
        <v>1.1000000000000001E-3</v>
      </c>
      <c r="D37" s="28">
        <v>0.62497366666666665</v>
      </c>
      <c r="E37">
        <f>CumOffset+fcoh*EXP(-2*GammaBar*C37+mutwo*C37^2+muthree*C37^3+mufour*C37^4)</f>
        <v>0.49890126948020447</v>
      </c>
      <c r="F37">
        <f t="shared" si="3"/>
        <v>0.12607239718646218</v>
      </c>
      <c r="G37">
        <f t="shared" si="4"/>
        <v>1.5894249332341077E-2</v>
      </c>
      <c r="R37" s="39"/>
      <c r="S37" s="39"/>
      <c r="T37" s="62" t="s">
        <v>108</v>
      </c>
      <c r="U37" s="39"/>
      <c r="V37" s="39" t="s">
        <v>68</v>
      </c>
      <c r="W37" s="39"/>
      <c r="X37" s="39" t="s">
        <v>82</v>
      </c>
      <c r="Y37" s="39"/>
      <c r="Z37" s="39"/>
    </row>
    <row r="38" spans="1:26" ht="16.350000000000001">
      <c r="A38">
        <v>28</v>
      </c>
      <c r="B38">
        <f t="shared" si="2"/>
        <v>1.1999999999999999E-6</v>
      </c>
      <c r="C38" s="28">
        <v>1.1999999999999999E-3</v>
      </c>
      <c r="D38" s="28">
        <v>0.6273643333333333</v>
      </c>
      <c r="E38">
        <f>CumOffset+fcoh*EXP(-2*GammaBar*C38+mutwo*C38^2+muthree*C38^3+mufour*C38^4)</f>
        <v>0.49880151067610323</v>
      </c>
      <c r="F38">
        <f t="shared" si="3"/>
        <v>0.12856282265723007</v>
      </c>
      <c r="G38">
        <f t="shared" si="4"/>
        <v>1.6528399369594389E-2</v>
      </c>
      <c r="R38" s="39"/>
      <c r="S38" s="39"/>
      <c r="T38" s="61" t="s">
        <v>109</v>
      </c>
      <c r="U38" s="39"/>
      <c r="V38" s="39"/>
      <c r="W38" s="39"/>
      <c r="X38" s="39"/>
      <c r="Y38" s="39"/>
      <c r="Z38" s="39"/>
    </row>
    <row r="39" spans="1:26">
      <c r="A39">
        <v>29</v>
      </c>
      <c r="B39">
        <f t="shared" si="2"/>
        <v>1.2999999999999998E-6</v>
      </c>
      <c r="C39" s="28">
        <v>1.2999999999999999E-3</v>
      </c>
      <c r="D39" s="28">
        <v>0.62840366666666669</v>
      </c>
      <c r="E39">
        <f>CumOffset+fcoh*EXP(-2*GammaBar*C39+mutwo*C39^2+muthree*C39^3+mufour*C39^4)</f>
        <v>0.49870177281687733</v>
      </c>
      <c r="F39">
        <f t="shared" si="3"/>
        <v>0.12970189384978936</v>
      </c>
      <c r="G39">
        <f t="shared" si="4"/>
        <v>1.6822581268222028E-2</v>
      </c>
      <c r="R39" s="40" t="s">
        <v>62</v>
      </c>
      <c r="S39" s="40"/>
      <c r="T39" s="40" t="s">
        <v>63</v>
      </c>
      <c r="U39" s="40"/>
      <c r="V39" s="40"/>
      <c r="W39" s="40"/>
      <c r="X39" s="40"/>
      <c r="Y39" s="40"/>
      <c r="Z39" s="40"/>
    </row>
    <row r="40" spans="1:26">
      <c r="A40">
        <v>30</v>
      </c>
      <c r="B40">
        <f t="shared" si="2"/>
        <v>1.3999999999999999E-6</v>
      </c>
      <c r="C40" s="28">
        <v>1.4E-3</v>
      </c>
      <c r="D40" s="28">
        <v>0.62675599999999998</v>
      </c>
      <c r="E40">
        <f>CumOffset+fcoh*EXP(-2*GammaBar*C40+mutwo*C40^2+muthree*C40^3+mufour*C40^4)</f>
        <v>0.49860205589793988</v>
      </c>
      <c r="F40">
        <f t="shared" si="3"/>
        <v>0.1281539441020601</v>
      </c>
      <c r="G40">
        <f t="shared" si="4"/>
        <v>1.6423433388913944E-2</v>
      </c>
      <c r="R40" s="40" t="s">
        <v>81</v>
      </c>
      <c r="S40" s="40"/>
      <c r="T40" s="63" t="s">
        <v>110</v>
      </c>
      <c r="U40" s="40"/>
      <c r="V40" s="40" t="s">
        <v>66</v>
      </c>
      <c r="W40" s="40"/>
      <c r="X40" s="40" t="s">
        <v>82</v>
      </c>
      <c r="Y40" s="40" t="s">
        <v>75</v>
      </c>
      <c r="Z40" s="40"/>
    </row>
    <row r="41" spans="1:26">
      <c r="A41">
        <v>31</v>
      </c>
      <c r="B41">
        <f t="shared" si="2"/>
        <v>1.5E-6</v>
      </c>
      <c r="C41" s="28">
        <v>1.5E-3</v>
      </c>
      <c r="D41" s="28">
        <v>0.62909533333333334</v>
      </c>
      <c r="E41">
        <f>CumOffset+fcoh*EXP(-2*GammaBar*C41+mutwo*C41^2+muthree*C41^3+mufour*C41^4)</f>
        <v>0.49850235991470487</v>
      </c>
      <c r="F41">
        <f t="shared" si="3"/>
        <v>0.13059297341862847</v>
      </c>
      <c r="G41">
        <f t="shared" si="4"/>
        <v>1.7054524706318602E-2</v>
      </c>
      <c r="R41" s="40"/>
      <c r="S41" s="40"/>
      <c r="T41" s="64" t="s">
        <v>106</v>
      </c>
      <c r="U41" s="40"/>
      <c r="V41" s="40" t="s">
        <v>67</v>
      </c>
      <c r="W41" s="40"/>
      <c r="X41" s="40" t="s">
        <v>82</v>
      </c>
      <c r="Y41" s="40" t="s">
        <v>79</v>
      </c>
      <c r="Z41" s="40"/>
    </row>
    <row r="42" spans="1:26" ht="16.350000000000001">
      <c r="A42">
        <v>32</v>
      </c>
      <c r="B42">
        <f t="shared" si="2"/>
        <v>1.6000000000000001E-6</v>
      </c>
      <c r="C42" s="28">
        <v>1.6000000000000001E-3</v>
      </c>
      <c r="D42" s="28">
        <v>0.62741266666666673</v>
      </c>
      <c r="E42">
        <f>CumOffset+fcoh*EXP(-2*GammaBar*C42+mutwo*C42^2+muthree*C42^3+mufour*C42^4)</f>
        <v>0.49840268486258749</v>
      </c>
      <c r="F42">
        <f t="shared" si="3"/>
        <v>0.12900998180407924</v>
      </c>
      <c r="G42">
        <f t="shared" si="4"/>
        <v>1.6643575405088859E-2</v>
      </c>
      <c r="R42" s="40"/>
      <c r="S42" s="40"/>
      <c r="T42" s="65" t="s">
        <v>113</v>
      </c>
      <c r="U42" s="40"/>
      <c r="V42" s="40" t="s">
        <v>68</v>
      </c>
      <c r="W42" s="40"/>
      <c r="X42" s="40" t="s">
        <v>82</v>
      </c>
      <c r="Y42" s="40"/>
      <c r="Z42" s="40"/>
    </row>
    <row r="43" spans="1:26" ht="16.350000000000001">
      <c r="A43">
        <v>33</v>
      </c>
      <c r="B43">
        <f t="shared" si="2"/>
        <v>1.7999999999999999E-6</v>
      </c>
      <c r="C43" s="28">
        <v>1.8E-3</v>
      </c>
      <c r="D43" s="28">
        <v>0.62666433333333338</v>
      </c>
      <c r="E43">
        <f>CumOffset+fcoh*EXP(-2*GammaBar*C43+mutwo*C43^2+muthree*C43^3+mufour*C43^4)</f>
        <v>0.49820339753337134</v>
      </c>
      <c r="F43">
        <f t="shared" si="3"/>
        <v>0.12846093579996204</v>
      </c>
      <c r="G43">
        <f t="shared" si="4"/>
        <v>1.6502212026601969E-2</v>
      </c>
      <c r="R43" s="40"/>
      <c r="S43" s="40"/>
      <c r="T43" s="64" t="s">
        <v>114</v>
      </c>
      <c r="U43" s="40"/>
      <c r="V43" s="40"/>
      <c r="W43" s="40"/>
      <c r="X43" s="40"/>
      <c r="Y43" s="40"/>
      <c r="Z43" s="40"/>
    </row>
    <row r="44" spans="1:26">
      <c r="A44">
        <v>34</v>
      </c>
      <c r="B44">
        <f t="shared" si="2"/>
        <v>1.9999999999999999E-6</v>
      </c>
      <c r="C44" s="28">
        <v>2E-3</v>
      </c>
      <c r="D44" s="28">
        <v>0.62529399999999991</v>
      </c>
      <c r="E44">
        <f>CumOffset+fcoh*EXP(-2*GammaBar*C44+mutwo*C44^2+muthree*C44^3+mufour*C44^4)</f>
        <v>0.49800419387363343</v>
      </c>
      <c r="F44">
        <f t="shared" si="3"/>
        <v>0.12728980612636648</v>
      </c>
      <c r="G44">
        <f t="shared" si="4"/>
        <v>1.6202694743687966E-2</v>
      </c>
      <c r="R44" s="32"/>
      <c r="S44" s="32"/>
      <c r="T44" s="32"/>
      <c r="U44" s="32"/>
      <c r="V44" s="32"/>
      <c r="W44" s="32"/>
      <c r="X44" s="32"/>
      <c r="Y44" s="32"/>
      <c r="Z44" s="32"/>
    </row>
    <row r="45" spans="1:26">
      <c r="A45">
        <v>35</v>
      </c>
      <c r="B45">
        <f t="shared" si="2"/>
        <v>2.2000000000000001E-6</v>
      </c>
      <c r="C45" s="28">
        <v>2.2000000000000001E-3</v>
      </c>
      <c r="D45" s="28">
        <v>0.62722466666666665</v>
      </c>
      <c r="E45">
        <f>CumOffset+fcoh*EXP(-2*GammaBar*C45+mutwo*C45^2+muthree*C45^3+mufour*C45^4)</f>
        <v>0.49780507384673245</v>
      </c>
      <c r="F45">
        <f t="shared" si="3"/>
        <v>0.1294195928199342</v>
      </c>
      <c r="G45">
        <f t="shared" si="4"/>
        <v>1.6749431005677565E-2</v>
      </c>
      <c r="R45" s="32"/>
      <c r="S45" s="32"/>
      <c r="T45" s="32"/>
      <c r="U45" s="32"/>
      <c r="V45" s="32"/>
      <c r="W45" s="32"/>
      <c r="X45" s="32"/>
      <c r="Y45" s="32"/>
      <c r="Z45" s="32"/>
    </row>
    <row r="46" spans="1:26">
      <c r="A46">
        <v>36</v>
      </c>
      <c r="B46">
        <f t="shared" si="2"/>
        <v>2.3999999999999999E-6</v>
      </c>
      <c r="C46" s="28">
        <v>2.3999999999999998E-3</v>
      </c>
      <c r="D46" s="28">
        <v>0.62740600000000002</v>
      </c>
      <c r="E46">
        <f>CumOffset+fcoh*EXP(-2*GammaBar*C46+mutwo*C46^2+muthree*C46^3+mufour*C46^4)</f>
        <v>0.49760603741604359</v>
      </c>
      <c r="F46">
        <f t="shared" si="3"/>
        <v>0.12979996258395643</v>
      </c>
      <c r="G46">
        <f t="shared" si="4"/>
        <v>1.6848030286796489E-2</v>
      </c>
      <c r="R46" s="32"/>
      <c r="S46" s="32"/>
      <c r="T46" s="32"/>
      <c r="U46" s="32"/>
      <c r="V46" s="32"/>
      <c r="W46" s="32"/>
      <c r="X46" s="32"/>
      <c r="Y46" s="32"/>
      <c r="Z46" s="32"/>
    </row>
    <row r="47" spans="1:26">
      <c r="A47">
        <v>37</v>
      </c>
      <c r="B47">
        <f t="shared" si="2"/>
        <v>2.5999999999999997E-6</v>
      </c>
      <c r="C47" s="28">
        <v>2.5999999999999999E-3</v>
      </c>
      <c r="D47" s="28">
        <v>0.62479699999999994</v>
      </c>
      <c r="E47">
        <f>CumOffset+fcoh*EXP(-2*GammaBar*C47+mutwo*C47^2+muthree*C47^3+mufour*C47^4)</f>
        <v>0.49740708454495886</v>
      </c>
      <c r="F47">
        <f t="shared" si="3"/>
        <v>0.12738991545504108</v>
      </c>
      <c r="G47">
        <f t="shared" si="4"/>
        <v>1.6228190559642513E-2</v>
      </c>
      <c r="R47" s="32"/>
      <c r="S47" s="32"/>
      <c r="T47" s="32"/>
      <c r="U47" s="32"/>
      <c r="V47" s="32"/>
      <c r="W47" s="32"/>
      <c r="X47" s="32"/>
      <c r="Y47" s="32"/>
      <c r="Z47" s="32"/>
    </row>
    <row r="48" spans="1:26">
      <c r="A48">
        <v>38</v>
      </c>
      <c r="B48">
        <f t="shared" si="2"/>
        <v>2.7999999999999999E-6</v>
      </c>
      <c r="C48" s="28">
        <v>2.8E-3</v>
      </c>
      <c r="D48" s="28">
        <v>0.6253253333333334</v>
      </c>
      <c r="E48">
        <f>CumOffset+fcoh*EXP(-2*GammaBar*C48+mutwo*C48^2+muthree*C48^3+mufour*C48^4)</f>
        <v>0.49720821519688685</v>
      </c>
      <c r="F48">
        <f t="shared" si="3"/>
        <v>0.12811711813644655</v>
      </c>
      <c r="G48">
        <f t="shared" si="4"/>
        <v>1.6413995959588201E-2</v>
      </c>
      <c r="R48" s="32"/>
      <c r="S48" s="32"/>
      <c r="T48" s="32"/>
      <c r="U48" s="32"/>
      <c r="V48" s="32"/>
      <c r="W48" s="32"/>
      <c r="X48" s="32"/>
      <c r="Y48" s="32"/>
      <c r="Z48" s="32"/>
    </row>
    <row r="49" spans="1:7">
      <c r="A49">
        <v>39</v>
      </c>
      <c r="B49">
        <f t="shared" si="2"/>
        <v>3.0000000000000001E-6</v>
      </c>
      <c r="C49" s="28">
        <v>3.0000000000000001E-3</v>
      </c>
      <c r="D49" s="28">
        <v>0.62599233333333337</v>
      </c>
      <c r="E49">
        <f>CumOffset+fcoh*EXP(-2*GammaBar*C49+mutwo*C49^2+muthree*C49^3+mufour*C49^4)</f>
        <v>0.49700942933525277</v>
      </c>
      <c r="F49">
        <f t="shared" si="3"/>
        <v>0.1289829039980806</v>
      </c>
      <c r="G49">
        <f t="shared" si="4"/>
        <v>1.6636589523778077E-2</v>
      </c>
    </row>
    <row r="50" spans="1:7">
      <c r="A50">
        <v>40</v>
      </c>
      <c r="B50">
        <f t="shared" si="2"/>
        <v>3.2000000000000003E-6</v>
      </c>
      <c r="C50" s="28">
        <v>3.2000000000000002E-3</v>
      </c>
      <c r="D50" s="28">
        <v>0.62431133333333333</v>
      </c>
      <c r="E50">
        <f>CumOffset+fcoh*EXP(-2*GammaBar*C50+mutwo*C50^2+muthree*C50^3+mufour*C50^4)</f>
        <v>0.49681072692349842</v>
      </c>
      <c r="F50">
        <f t="shared" si="3"/>
        <v>0.1275006064098349</v>
      </c>
      <c r="G50">
        <f t="shared" si="4"/>
        <v>1.6256404634875633E-2</v>
      </c>
    </row>
    <row r="51" spans="1:7">
      <c r="A51">
        <v>41</v>
      </c>
      <c r="B51">
        <f t="shared" si="2"/>
        <v>3.5999999999999998E-6</v>
      </c>
      <c r="C51" s="28">
        <v>3.5999999999999999E-3</v>
      </c>
      <c r="D51" s="28">
        <v>0.62456533333333331</v>
      </c>
      <c r="E51">
        <f>CumOffset+fcoh*EXP(-2*GammaBar*C51+mutwo*C51^2+muthree*C51^3+mufour*C51^4)</f>
        <v>0.49641357230347949</v>
      </c>
      <c r="F51">
        <f t="shared" si="3"/>
        <v>0.12815176102985382</v>
      </c>
      <c r="G51">
        <f t="shared" si="4"/>
        <v>1.6422873855052759E-2</v>
      </c>
    </row>
    <row r="52" spans="1:7">
      <c r="A52">
        <v>42</v>
      </c>
      <c r="B52">
        <f t="shared" si="2"/>
        <v>3.9999999999999998E-6</v>
      </c>
      <c r="C52" s="28">
        <v>4.0000000000000001E-3</v>
      </c>
      <c r="D52" s="28">
        <v>0.62511133333333335</v>
      </c>
      <c r="E52">
        <f>CumOffset+fcoh*EXP(-2*GammaBar*C52+mutwo*C52^2+muthree*C52^3+mufour*C52^4)</f>
        <v>0.49601675104469711</v>
      </c>
      <c r="F52">
        <f t="shared" si="3"/>
        <v>0.12909458228863624</v>
      </c>
      <c r="G52">
        <f t="shared" si="4"/>
        <v>1.6665411176277473E-2</v>
      </c>
    </row>
    <row r="53" spans="1:7">
      <c r="A53">
        <v>43</v>
      </c>
      <c r="B53">
        <f t="shared" si="2"/>
        <v>4.4000000000000002E-6</v>
      </c>
      <c r="C53" s="28">
        <v>4.4000000000000003E-3</v>
      </c>
      <c r="D53" s="28">
        <v>0.62257733333333343</v>
      </c>
      <c r="E53">
        <f>CumOffset+fcoh*EXP(-2*GammaBar*C53+mutwo*C53^2+muthree*C53^3+mufour*C53^4)</f>
        <v>0.49562026285528371</v>
      </c>
      <c r="F53">
        <f t="shared" si="3"/>
        <v>0.12695707047804972</v>
      </c>
      <c r="G53">
        <f t="shared" si="4"/>
        <v>1.6118097744368481E-2</v>
      </c>
    </row>
    <row r="54" spans="1:7">
      <c r="A54">
        <v>44</v>
      </c>
      <c r="B54">
        <f t="shared" si="2"/>
        <v>4.7999999999999998E-6</v>
      </c>
      <c r="C54" s="28">
        <v>4.7999999999999996E-3</v>
      </c>
      <c r="D54" s="28">
        <v>0.62192266666666673</v>
      </c>
      <c r="E54">
        <f>CumOffset+fcoh*EXP(-2*GammaBar*C54+mutwo*C54^2+muthree*C54^3+mufour*C54^4)</f>
        <v>0.49522410744363715</v>
      </c>
      <c r="F54">
        <f t="shared" si="3"/>
        <v>0.12669855922302958</v>
      </c>
      <c r="G54">
        <f t="shared" si="4"/>
        <v>1.6052524909191533E-2</v>
      </c>
    </row>
    <row r="55" spans="1:7">
      <c r="A55">
        <v>45</v>
      </c>
      <c r="B55">
        <f t="shared" si="2"/>
        <v>5.1999999999999993E-6</v>
      </c>
      <c r="C55" s="28">
        <v>5.1999999999999998E-3</v>
      </c>
      <c r="D55" s="28">
        <v>0.62164999999999992</v>
      </c>
      <c r="E55">
        <f>CumOffset+fcoh*EXP(-2*GammaBar*C55+mutwo*C55^2+muthree*C55^3+mufour*C55^4)</f>
        <v>0.49482828451842015</v>
      </c>
      <c r="F55">
        <f t="shared" si="3"/>
        <v>0.12682171548157978</v>
      </c>
      <c r="G55">
        <f t="shared" si="4"/>
        <v>1.6083747517690771E-2</v>
      </c>
    </row>
    <row r="56" spans="1:7">
      <c r="A56">
        <v>46</v>
      </c>
      <c r="B56">
        <f t="shared" si="2"/>
        <v>5.5999999999999997E-6</v>
      </c>
      <c r="C56" s="28">
        <v>5.5999999999999999E-3</v>
      </c>
      <c r="D56" s="28">
        <v>0.62269800000000008</v>
      </c>
      <c r="E56">
        <f>CumOffset+fcoh*EXP(-2*GammaBar*C56+mutwo*C56^2+muthree*C56^3+mufour*C56^4)</f>
        <v>0.49443279378856031</v>
      </c>
      <c r="F56">
        <f t="shared" si="3"/>
        <v>0.12826520621143978</v>
      </c>
      <c r="G56">
        <f t="shared" si="4"/>
        <v>1.6451963124463169E-2</v>
      </c>
    </row>
    <row r="57" spans="1:7">
      <c r="A57">
        <v>47</v>
      </c>
      <c r="B57">
        <f t="shared" si="2"/>
        <v>6.0000000000000002E-6</v>
      </c>
      <c r="C57" s="28">
        <v>6.0000000000000001E-3</v>
      </c>
      <c r="D57" s="28">
        <v>0.62259233333333341</v>
      </c>
      <c r="E57">
        <f>CumOffset+fcoh*EXP(-2*GammaBar*C57+mutwo*C57^2+muthree*C57^3+mufour*C57^4)</f>
        <v>0.49403763496324976</v>
      </c>
      <c r="F57">
        <f t="shared" si="3"/>
        <v>0.12855469837008365</v>
      </c>
      <c r="G57">
        <f t="shared" si="4"/>
        <v>1.6526310473023189E-2</v>
      </c>
    </row>
    <row r="58" spans="1:7">
      <c r="A58">
        <v>48</v>
      </c>
      <c r="B58">
        <f t="shared" si="2"/>
        <v>6.4000000000000006E-6</v>
      </c>
      <c r="C58" s="28">
        <v>6.4000000000000003E-3</v>
      </c>
      <c r="D58" s="28">
        <v>0.62200200000000005</v>
      </c>
      <c r="E58">
        <f>CumOffset+fcoh*EXP(-2*GammaBar*C58+mutwo*C58^2+muthree*C58^3+mufour*C58^4)</f>
        <v>0.49364280775194486</v>
      </c>
      <c r="F58">
        <f t="shared" si="3"/>
        <v>0.1283591922480552</v>
      </c>
      <c r="G58">
        <f t="shared" si="4"/>
        <v>1.6476082234573194E-2</v>
      </c>
    </row>
    <row r="59" spans="1:7">
      <c r="A59">
        <v>49</v>
      </c>
      <c r="B59">
        <f t="shared" si="2"/>
        <v>7.1999999999999997E-6</v>
      </c>
      <c r="C59" s="28">
        <v>7.1999999999999998E-3</v>
      </c>
      <c r="D59" s="28">
        <v>0.62142566666666665</v>
      </c>
      <c r="E59">
        <f>CumOffset+fcoh*EXP(-2*GammaBar*C59+mutwo*C59^2+muthree*C59^3+mufour*C59^4)</f>
        <v>0.49285414701049718</v>
      </c>
      <c r="F59">
        <f t="shared" si="3"/>
        <v>0.12857151965616948</v>
      </c>
      <c r="G59">
        <f t="shared" si="4"/>
        <v>1.6530635666696773E-2</v>
      </c>
    </row>
    <row r="60" spans="1:7">
      <c r="A60">
        <v>50</v>
      </c>
      <c r="B60">
        <f t="shared" si="2"/>
        <v>7.9999999999999996E-6</v>
      </c>
      <c r="C60" s="28">
        <v>8.0000000000000002E-3</v>
      </c>
      <c r="D60" s="28">
        <v>0.62132266666666658</v>
      </c>
      <c r="E60">
        <f>CumOffset+fcoh*EXP(-2*GammaBar*C60+mutwo*C60^2+muthree*C60^3+mufour*C60^4)</f>
        <v>0.49206680924514423</v>
      </c>
      <c r="F60">
        <f t="shared" si="3"/>
        <v>0.12925585742152235</v>
      </c>
      <c r="G60">
        <f t="shared" si="4"/>
        <v>1.6707076677772912E-2</v>
      </c>
    </row>
    <row r="61" spans="1:7">
      <c r="A61">
        <v>51</v>
      </c>
      <c r="B61">
        <f t="shared" si="2"/>
        <v>8.8000000000000004E-6</v>
      </c>
      <c r="C61" s="28">
        <v>8.8000000000000005E-3</v>
      </c>
      <c r="D61" s="28">
        <v>0.61964433333333335</v>
      </c>
      <c r="E61">
        <f>CumOffset+fcoh*EXP(-2*GammaBar*C61+mutwo*C61^2+muthree*C61^3+mufour*C61^4)</f>
        <v>0.49128079214102549</v>
      </c>
      <c r="F61">
        <f t="shared" si="3"/>
        <v>0.12836354119230786</v>
      </c>
      <c r="G61">
        <f t="shared" si="4"/>
        <v>1.6477198707429318E-2</v>
      </c>
    </row>
    <row r="62" spans="1:7">
      <c r="A62">
        <v>52</v>
      </c>
      <c r="B62">
        <f t="shared" si="2"/>
        <v>9.5999999999999996E-6</v>
      </c>
      <c r="C62" s="28">
        <v>9.5999999999999992E-3</v>
      </c>
      <c r="D62" s="28">
        <v>0.61846933333333343</v>
      </c>
      <c r="E62">
        <f>CumOffset+fcoh*EXP(-2*GammaBar*C62+mutwo*C62^2+muthree*C62^3+mufour*C62^4)</f>
        <v>0.4904960933874849</v>
      </c>
      <c r="F62">
        <f t="shared" si="3"/>
        <v>0.12797323994584853</v>
      </c>
      <c r="G62">
        <f t="shared" si="4"/>
        <v>1.6377150142237722E-2</v>
      </c>
    </row>
    <row r="63" spans="1:7">
      <c r="A63">
        <v>53</v>
      </c>
      <c r="B63">
        <f t="shared" si="2"/>
        <v>1.0399999999999999E-5</v>
      </c>
      <c r="C63" s="28">
        <v>1.04E-2</v>
      </c>
      <c r="D63" s="28">
        <v>0.61876199999999992</v>
      </c>
      <c r="E63">
        <f>CumOffset+fcoh*EXP(-2*GammaBar*C63+mutwo*C63^2+muthree*C63^3+mufour*C63^4)</f>
        <v>0.48971271067806332</v>
      </c>
      <c r="F63">
        <f t="shared" si="3"/>
        <v>0.1290492893219366</v>
      </c>
      <c r="G63">
        <f t="shared" si="4"/>
        <v>1.6653719074496899E-2</v>
      </c>
    </row>
    <row r="64" spans="1:7">
      <c r="A64">
        <v>54</v>
      </c>
      <c r="B64">
        <f t="shared" si="2"/>
        <v>1.1199999999999999E-5</v>
      </c>
      <c r="C64" s="28">
        <v>1.12E-2</v>
      </c>
      <c r="D64" s="28">
        <v>0.61748366666666665</v>
      </c>
      <c r="E64">
        <f>CumOffset+fcoh*EXP(-2*GammaBar*C64+mutwo*C64^2+muthree*C64^3+mufour*C64^4)</f>
        <v>0.48893064171049011</v>
      </c>
      <c r="F64">
        <f t="shared" si="3"/>
        <v>0.12855302495617654</v>
      </c>
      <c r="G64">
        <f t="shared" si="4"/>
        <v>1.6525880225383351E-2</v>
      </c>
    </row>
    <row r="65" spans="1:7">
      <c r="A65">
        <v>55</v>
      </c>
      <c r="B65">
        <f t="shared" si="2"/>
        <v>1.2E-5</v>
      </c>
      <c r="C65" s="28">
        <v>1.2E-2</v>
      </c>
      <c r="D65" s="28">
        <v>0.61616199999999999</v>
      </c>
      <c r="E65">
        <f>CumOffset+fcoh*EXP(-2*GammaBar*C65+mutwo*C65^2+muthree*C65^3+mufour*C65^4)</f>
        <v>0.48814988418667582</v>
      </c>
      <c r="F65">
        <f t="shared" si="3"/>
        <v>0.12801211581332417</v>
      </c>
      <c r="G65">
        <f t="shared" si="4"/>
        <v>1.6387101795003918E-2</v>
      </c>
    </row>
    <row r="66" spans="1:7">
      <c r="A66">
        <v>56</v>
      </c>
      <c r="B66">
        <f t="shared" si="2"/>
        <v>1.2800000000000001E-5</v>
      </c>
      <c r="C66" s="28">
        <v>1.2800000000000001E-2</v>
      </c>
      <c r="D66" s="28">
        <v>0.61518799999999996</v>
      </c>
      <c r="E66">
        <f>CumOffset+fcoh*EXP(-2*GammaBar*C66+mutwo*C66^2+muthree*C66^3+mufour*C66^4)</f>
        <v>0.48737043581270395</v>
      </c>
      <c r="F66">
        <f t="shared" si="3"/>
        <v>0.12781756418729601</v>
      </c>
      <c r="G66">
        <f t="shared" si="4"/>
        <v>1.6337329714773533E-2</v>
      </c>
    </row>
    <row r="67" spans="1:7">
      <c r="A67">
        <v>57</v>
      </c>
      <c r="B67">
        <f t="shared" si="2"/>
        <v>1.4399999999999999E-5</v>
      </c>
      <c r="C67" s="28">
        <v>1.44E-2</v>
      </c>
      <c r="D67" s="28">
        <v>0.6141673333333334</v>
      </c>
      <c r="E67">
        <f>CumOffset+fcoh*EXP(-2*GammaBar*C67+mutwo*C67^2+muthree*C67^3+mufour*C67^4)</f>
        <v>0.48581545735944004</v>
      </c>
      <c r="F67">
        <f t="shared" si="3"/>
        <v>0.12835187597389336</v>
      </c>
      <c r="G67">
        <f t="shared" si="4"/>
        <v>1.6474204066017704E-2</v>
      </c>
    </row>
    <row r="68" spans="1:7">
      <c r="A68">
        <v>58</v>
      </c>
      <c r="B68">
        <f t="shared" si="2"/>
        <v>1.5999999999999999E-5</v>
      </c>
      <c r="C68" s="28">
        <v>1.6E-2</v>
      </c>
      <c r="D68" s="28">
        <v>0.61270733333333338</v>
      </c>
      <c r="E68">
        <f>CumOffset+fcoh*EXP(-2*GammaBar*C68+mutwo*C68^2+muthree*C68^3+mufour*C68^4)</f>
        <v>0.4842656880825309</v>
      </c>
      <c r="F68">
        <f t="shared" si="3"/>
        <v>0.12844164525080248</v>
      </c>
      <c r="G68">
        <f t="shared" si="4"/>
        <v>1.6497256234732992E-2</v>
      </c>
    </row>
    <row r="69" spans="1:7">
      <c r="A69">
        <v>59</v>
      </c>
      <c r="B69">
        <f t="shared" si="2"/>
        <v>1.7600000000000001E-5</v>
      </c>
      <c r="C69" s="28">
        <v>1.7600000000000001E-2</v>
      </c>
      <c r="D69" s="28">
        <v>0.61079166666666662</v>
      </c>
      <c r="E69">
        <f>CumOffset+fcoh*EXP(-2*GammaBar*C69+mutwo*C69^2+muthree*C69^3+mufour*C69^4)</f>
        <v>0.48272110978007837</v>
      </c>
      <c r="F69">
        <f t="shared" si="3"/>
        <v>0.12807055688658825</v>
      </c>
      <c r="G69">
        <f t="shared" si="4"/>
        <v>1.6402067541240836E-2</v>
      </c>
    </row>
    <row r="70" spans="1:7">
      <c r="A70">
        <v>60</v>
      </c>
      <c r="B70">
        <f t="shared" si="2"/>
        <v>1.9199999999999999E-5</v>
      </c>
      <c r="C70" s="28">
        <v>1.9199999999999998E-2</v>
      </c>
      <c r="D70" s="28">
        <v>0.61058600000000007</v>
      </c>
      <c r="E70">
        <f>CumOffset+fcoh*EXP(-2*GammaBar*C70+mutwo*C70^2+muthree*C70^3+mufour*C70^4)</f>
        <v>0.48118170431620511</v>
      </c>
      <c r="F70">
        <f t="shared" si="3"/>
        <v>0.12940429568379497</v>
      </c>
      <c r="G70">
        <f t="shared" si="4"/>
        <v>1.6745471741419035E-2</v>
      </c>
    </row>
    <row r="71" spans="1:7">
      <c r="A71">
        <v>61</v>
      </c>
      <c r="B71">
        <f t="shared" si="2"/>
        <v>2.0799999999999997E-5</v>
      </c>
      <c r="C71" s="28">
        <v>2.0799999999999999E-2</v>
      </c>
      <c r="D71" s="28">
        <v>0.60841900000000004</v>
      </c>
      <c r="E71">
        <f>CumOffset+fcoh*EXP(-2*GammaBar*C71+mutwo*C71^2+muthree*C71^3+mufour*C71^4)</f>
        <v>0.47964745362080669</v>
      </c>
      <c r="F71">
        <f t="shared" si="3"/>
        <v>0.12877154637919336</v>
      </c>
      <c r="G71">
        <f t="shared" si="4"/>
        <v>1.6582111156888745E-2</v>
      </c>
    </row>
    <row r="72" spans="1:7">
      <c r="A72">
        <v>62</v>
      </c>
      <c r="B72">
        <f t="shared" si="2"/>
        <v>2.2399999999999999E-5</v>
      </c>
      <c r="C72" s="28">
        <v>2.24E-2</v>
      </c>
      <c r="D72" s="28">
        <v>0.60670266666666672</v>
      </c>
      <c r="E72">
        <f>CumOffset+fcoh*EXP(-2*GammaBar*C72+mutwo*C72^2+muthree*C72^3+mufour*C72^4)</f>
        <v>0.47811833968930501</v>
      </c>
      <c r="F72">
        <f t="shared" si="3"/>
        <v>0.12858432697736172</v>
      </c>
      <c r="G72">
        <f t="shared" si="4"/>
        <v>1.6533929144221072E-2</v>
      </c>
    </row>
    <row r="73" spans="1:7">
      <c r="A73">
        <v>63</v>
      </c>
      <c r="B73">
        <f t="shared" si="2"/>
        <v>2.4000000000000001E-5</v>
      </c>
      <c r="C73" s="28">
        <v>2.4E-2</v>
      </c>
      <c r="D73" s="28">
        <v>0.60499633333333336</v>
      </c>
      <c r="E73">
        <f>CumOffset+fcoh*EXP(-2*GammaBar*C73+mutwo*C73^2+muthree*C73^3+mufour*C73^4)</f>
        <v>0.47659434458240268</v>
      </c>
      <c r="F73">
        <f t="shared" si="3"/>
        <v>0.12840198875093067</v>
      </c>
      <c r="G73">
        <f t="shared" si="4"/>
        <v>1.6487070715194126E-2</v>
      </c>
    </row>
    <row r="74" spans="1:7">
      <c r="A74">
        <v>64</v>
      </c>
      <c r="B74">
        <f t="shared" si="2"/>
        <v>2.5600000000000002E-5</v>
      </c>
      <c r="C74" s="28">
        <v>2.5600000000000001E-2</v>
      </c>
      <c r="D74" s="28">
        <v>0.60383466666666663</v>
      </c>
      <c r="E74">
        <f>CumOffset+fcoh*EXP(-2*GammaBar*C74+mutwo*C74^2+muthree*C74^3+mufour*C74^4)</f>
        <v>0.4750754504258381</v>
      </c>
      <c r="F74">
        <f t="shared" si="3"/>
        <v>0.12875921624082853</v>
      </c>
      <c r="G74">
        <f t="shared" si="4"/>
        <v>1.6578935766952442E-2</v>
      </c>
    </row>
    <row r="75" spans="1:7">
      <c r="A75">
        <v>65</v>
      </c>
      <c r="B75">
        <f t="shared" si="2"/>
        <v>2.8799999999999999E-5</v>
      </c>
      <c r="C75" s="28">
        <v>2.8799999999999999E-2</v>
      </c>
      <c r="D75" s="28">
        <v>0.60082266666666673</v>
      </c>
      <c r="E75">
        <f>CumOffset+fcoh*EXP(-2*GammaBar*C75+mutwo*C75^2+muthree*C75^3+mufour*C75^4)</f>
        <v>0.47205289379039245</v>
      </c>
      <c r="F75">
        <f t="shared" si="3"/>
        <v>0.12876977287627428</v>
      </c>
      <c r="G75">
        <f t="shared" si="4"/>
        <v>1.6581654406607263E-2</v>
      </c>
    </row>
    <row r="76" spans="1:7">
      <c r="A76">
        <v>66</v>
      </c>
      <c r="B76">
        <f t="shared" ref="B76:B139" si="5">C76/1000</f>
        <v>3.1999999999999999E-5</v>
      </c>
      <c r="C76" s="28">
        <v>3.2000000000000001E-2</v>
      </c>
      <c r="D76" s="28">
        <v>0.59859200000000001</v>
      </c>
      <c r="E76">
        <f>CumOffset+fcoh*EXP(-2*GammaBar*C76+mutwo*C76^2+muthree*C76^3+mufour*C76^4)</f>
        <v>0.46905052808034847</v>
      </c>
      <c r="F76">
        <f t="shared" ref="F76:F139" si="6">D76-E76</f>
        <v>0.12954147191965154</v>
      </c>
      <c r="G76">
        <f t="shared" ref="G76:G139" si="7">F76*F76</f>
        <v>1.6780992947109868E-2</v>
      </c>
    </row>
    <row r="77" spans="1:7">
      <c r="A77">
        <v>67</v>
      </c>
      <c r="B77">
        <f t="shared" si="5"/>
        <v>3.5200000000000002E-5</v>
      </c>
      <c r="C77" s="28">
        <v>3.5200000000000002E-2</v>
      </c>
      <c r="D77" s="28">
        <v>0.59566966666666665</v>
      </c>
      <c r="E77">
        <f>CumOffset+fcoh*EXP(-2*GammaBar*C77+mutwo*C77^2+muthree*C77^3+mufour*C77^4)</f>
        <v>0.46606821261815096</v>
      </c>
      <c r="F77">
        <f t="shared" si="6"/>
        <v>0.1296014540485157</v>
      </c>
      <c r="G77">
        <f t="shared" si="7"/>
        <v>1.6796536891489525E-2</v>
      </c>
    </row>
    <row r="78" spans="1:7">
      <c r="A78">
        <v>68</v>
      </c>
      <c r="B78">
        <f t="shared" si="5"/>
        <v>3.8399999999999998E-5</v>
      </c>
      <c r="C78" s="28">
        <v>3.8399999999999997E-2</v>
      </c>
      <c r="D78" s="28">
        <v>0.59258033333333326</v>
      </c>
      <c r="E78">
        <f>CumOffset+fcoh*EXP(-2*GammaBar*C78+mutwo*C78^2+muthree*C78^3+mufour*C78^4)</f>
        <v>0.46310580774364052</v>
      </c>
      <c r="F78">
        <f t="shared" si="6"/>
        <v>0.12947452558969275</v>
      </c>
      <c r="G78">
        <f t="shared" si="7"/>
        <v>1.6763652776676002E-2</v>
      </c>
    </row>
    <row r="79" spans="1:7">
      <c r="A79">
        <v>69</v>
      </c>
      <c r="B79">
        <f t="shared" si="5"/>
        <v>4.1599999999999995E-5</v>
      </c>
      <c r="C79" s="28">
        <v>4.1599999999999998E-2</v>
      </c>
      <c r="D79" s="28">
        <v>0.59015433333333334</v>
      </c>
      <c r="E79">
        <f>CumOffset+fcoh*EXP(-2*GammaBar*C79+mutwo*C79^2+muthree*C79^3+mufour*C79^4)</f>
        <v>0.46016317480644442</v>
      </c>
      <c r="F79">
        <f t="shared" si="6"/>
        <v>0.12999115852688892</v>
      </c>
      <c r="G79">
        <f t="shared" si="7"/>
        <v>1.6897701295162767E-2</v>
      </c>
    </row>
    <row r="80" spans="1:7">
      <c r="A80">
        <v>70</v>
      </c>
      <c r="B80">
        <f t="shared" si="5"/>
        <v>4.4799999999999998E-5</v>
      </c>
      <c r="C80" s="28">
        <v>4.48E-2</v>
      </c>
      <c r="D80" s="28">
        <v>0.58671866666666672</v>
      </c>
      <c r="E80">
        <f>CumOffset+fcoh*EXP(-2*GammaBar*C80+mutwo*C80^2+muthree*C80^3+mufour*C80^4)</f>
        <v>0.45724017615842605</v>
      </c>
      <c r="F80">
        <f t="shared" si="6"/>
        <v>0.12947849050824067</v>
      </c>
      <c r="G80">
        <f t="shared" si="7"/>
        <v>1.6764679504292571E-2</v>
      </c>
    </row>
    <row r="81" spans="1:7">
      <c r="A81">
        <v>71</v>
      </c>
      <c r="B81">
        <f t="shared" si="5"/>
        <v>4.8000000000000001E-5</v>
      </c>
      <c r="C81" s="28">
        <v>4.8000000000000001E-2</v>
      </c>
      <c r="D81" s="28">
        <v>0.58449166666666663</v>
      </c>
      <c r="E81">
        <f>CumOffset+fcoh*EXP(-2*GammaBar*C81+mutwo*C81^2+muthree*C81^3+mufour*C81^4)</f>
        <v>0.45433667514619247</v>
      </c>
      <c r="F81">
        <f t="shared" si="6"/>
        <v>0.13015499152047416</v>
      </c>
      <c r="G81">
        <f t="shared" si="7"/>
        <v>1.6940321817694701E-2</v>
      </c>
    </row>
    <row r="82" spans="1:7">
      <c r="A82">
        <v>72</v>
      </c>
      <c r="B82">
        <f t="shared" si="5"/>
        <v>5.1200000000000004E-5</v>
      </c>
      <c r="C82" s="28">
        <v>5.1200000000000002E-2</v>
      </c>
      <c r="D82" s="28">
        <v>0.58143433333333328</v>
      </c>
      <c r="E82">
        <f>CumOffset+fcoh*EXP(-2*GammaBar*C82+mutwo*C82^2+muthree*C82^3+mufour*C82^4)</f>
        <v>0.45145253610365971</v>
      </c>
      <c r="F82">
        <f t="shared" si="6"/>
        <v>0.12998179722967357</v>
      </c>
      <c r="G82">
        <f t="shared" si="7"/>
        <v>1.6895267611055975E-2</v>
      </c>
    </row>
    <row r="83" spans="1:7">
      <c r="A83">
        <v>73</v>
      </c>
      <c r="B83">
        <f t="shared" si="5"/>
        <v>5.7599999999999997E-5</v>
      </c>
      <c r="C83" s="28">
        <v>5.7599999999999998E-2</v>
      </c>
      <c r="D83" s="28">
        <v>0.57586766666666667</v>
      </c>
      <c r="E83">
        <f>CumOffset+fcoh*EXP(-2*GammaBar*C83+mutwo*C83^2+muthree*C83^3+mufour*C83^4)</f>
        <v>0.44574180615569953</v>
      </c>
      <c r="F83">
        <f t="shared" si="6"/>
        <v>0.13012586051096714</v>
      </c>
      <c r="G83">
        <f t="shared" si="7"/>
        <v>1.6932739573719678E-2</v>
      </c>
    </row>
    <row r="84" spans="1:7">
      <c r="A84">
        <v>74</v>
      </c>
      <c r="B84">
        <f t="shared" si="5"/>
        <v>6.3999999999999997E-5</v>
      </c>
      <c r="C84" s="28">
        <v>6.4000000000000001E-2</v>
      </c>
      <c r="D84" s="28">
        <v>0.57055033333333327</v>
      </c>
      <c r="E84">
        <f>CumOffset+fcoh*EXP(-2*GammaBar*C84+mutwo*C84^2+muthree*C84^3+mufour*C84^4)</f>
        <v>0.44010692045313532</v>
      </c>
      <c r="F84">
        <f t="shared" si="6"/>
        <v>0.13044341288019795</v>
      </c>
      <c r="G84">
        <f t="shared" si="7"/>
        <v>1.7015483963833792E-2</v>
      </c>
    </row>
    <row r="85" spans="1:7">
      <c r="A85">
        <v>75</v>
      </c>
      <c r="B85">
        <f t="shared" si="5"/>
        <v>7.0400000000000004E-5</v>
      </c>
      <c r="C85" s="28">
        <v>7.0400000000000004E-2</v>
      </c>
      <c r="D85" s="28">
        <v>0.56491400000000003</v>
      </c>
      <c r="E85">
        <f>CumOffset+fcoh*EXP(-2*GammaBar*C85+mutwo*C85^2+muthree*C85^3+mufour*C85^4)</f>
        <v>0.43454682846522558</v>
      </c>
      <c r="F85">
        <f t="shared" si="6"/>
        <v>0.13036717153477445</v>
      </c>
      <c r="G85">
        <f t="shared" si="7"/>
        <v>1.6995599413977307E-2</v>
      </c>
    </row>
    <row r="86" spans="1:7">
      <c r="A86">
        <v>76</v>
      </c>
      <c r="B86">
        <f t="shared" si="5"/>
        <v>7.6799999999999997E-5</v>
      </c>
      <c r="C86" s="28">
        <v>7.6799999999999993E-2</v>
      </c>
      <c r="D86" s="28">
        <v>0.55972966666666668</v>
      </c>
      <c r="E86">
        <f>CumOffset+fcoh*EXP(-2*GammaBar*C86+mutwo*C86^2+muthree*C86^3+mufour*C86^4)</f>
        <v>0.4290604947638873</v>
      </c>
      <c r="F86">
        <f t="shared" si="6"/>
        <v>0.13066917190277938</v>
      </c>
      <c r="G86">
        <f t="shared" si="7"/>
        <v>1.7074432485758108E-2</v>
      </c>
    </row>
    <row r="87" spans="1:7">
      <c r="A87">
        <v>77</v>
      </c>
      <c r="B87">
        <f t="shared" si="5"/>
        <v>8.3199999999999989E-5</v>
      </c>
      <c r="C87" s="28">
        <v>8.3199999999999996E-2</v>
      </c>
      <c r="D87" s="28">
        <v>0.55448399999999998</v>
      </c>
      <c r="E87">
        <f>CumOffset+fcoh*EXP(-2*GammaBar*C87+mutwo*C87^2+muthree*C87^3+mufour*C87^4)</f>
        <v>0.42364689879918127</v>
      </c>
      <c r="F87">
        <f t="shared" si="6"/>
        <v>0.13083710120081871</v>
      </c>
      <c r="G87">
        <f t="shared" si="7"/>
        <v>1.7118347050633274E-2</v>
      </c>
    </row>
    <row r="88" spans="1:7">
      <c r="A88">
        <v>78</v>
      </c>
      <c r="B88">
        <f t="shared" si="5"/>
        <v>8.9599999999999996E-5</v>
      </c>
      <c r="C88" s="28">
        <v>8.9599999999999999E-2</v>
      </c>
      <c r="D88" s="28">
        <v>0.54894599999999993</v>
      </c>
      <c r="E88">
        <f>CumOffset+fcoh*EXP(-2*GammaBar*C88+mutwo*C88^2+muthree*C88^3+mufour*C88^4)</f>
        <v>0.4183050346782391</v>
      </c>
      <c r="F88">
        <f t="shared" si="6"/>
        <v>0.13064096532176084</v>
      </c>
      <c r="G88">
        <f t="shared" si="7"/>
        <v>1.7067061820201519E-2</v>
      </c>
    </row>
    <row r="89" spans="1:7">
      <c r="A89">
        <v>79</v>
      </c>
      <c r="B89">
        <f t="shared" si="5"/>
        <v>9.6000000000000002E-5</v>
      </c>
      <c r="C89" s="28">
        <v>9.6000000000000002E-2</v>
      </c>
      <c r="D89" s="28">
        <v>0.54414099999999999</v>
      </c>
      <c r="E89">
        <f>CumOffset+fcoh*EXP(-2*GammaBar*C89+mutwo*C89^2+muthree*C89^3+mufour*C89^4)</f>
        <v>0.41303391094757658</v>
      </c>
      <c r="F89">
        <f t="shared" si="6"/>
        <v>0.13110708905242341</v>
      </c>
      <c r="G89">
        <f t="shared" si="7"/>
        <v>1.7189068799800082E-2</v>
      </c>
    </row>
    <row r="90" spans="1:7">
      <c r="A90">
        <v>80</v>
      </c>
      <c r="B90">
        <f t="shared" si="5"/>
        <v>1.0240000000000001E-4</v>
      </c>
      <c r="C90" s="28">
        <v>0.1024</v>
      </c>
      <c r="D90" s="28">
        <v>0.53883433333333342</v>
      </c>
      <c r="E90">
        <f>CumOffset+fcoh*EXP(-2*GammaBar*C90+mutwo*C90^2+muthree*C90^3+mufour*C90^4)</f>
        <v>0.40783255037874094</v>
      </c>
      <c r="F90">
        <f t="shared" si="6"/>
        <v>0.13100178295459247</v>
      </c>
      <c r="G90">
        <f t="shared" si="7"/>
        <v>1.7161467137282154E-2</v>
      </c>
    </row>
    <row r="91" spans="1:7">
      <c r="A91">
        <v>81</v>
      </c>
      <c r="B91">
        <f t="shared" si="5"/>
        <v>1.1519999999999999E-4</v>
      </c>
      <c r="C91" s="28">
        <v>0.1152</v>
      </c>
      <c r="D91" s="28">
        <v>0.52868199999999999</v>
      </c>
      <c r="E91">
        <f>CumOffset+fcoh*EXP(-2*GammaBar*C91+mutwo*C91^2+muthree*C91^3+mufour*C91^4)</f>
        <v>0.39763527967469164</v>
      </c>
      <c r="F91">
        <f t="shared" si="6"/>
        <v>0.13104672032530834</v>
      </c>
      <c r="G91">
        <f t="shared" si="7"/>
        <v>1.7173242908019581E-2</v>
      </c>
    </row>
    <row r="92" spans="1:7">
      <c r="A92">
        <v>82</v>
      </c>
      <c r="B92">
        <f t="shared" si="5"/>
        <v>1.2799999999999999E-4</v>
      </c>
      <c r="C92" s="28">
        <v>0.128</v>
      </c>
      <c r="D92" s="28">
        <v>0.51870233333333327</v>
      </c>
      <c r="E92">
        <f>CumOffset+fcoh*EXP(-2*GammaBar*C92+mutwo*C92^2+muthree*C92^3+mufour*C92^4)</f>
        <v>0.38770568129868205</v>
      </c>
      <c r="F92">
        <f t="shared" si="6"/>
        <v>0.13099665203465122</v>
      </c>
      <c r="G92">
        <f t="shared" si="7"/>
        <v>1.716012284428749E-2</v>
      </c>
    </row>
    <row r="93" spans="1:7">
      <c r="A93">
        <v>83</v>
      </c>
      <c r="B93">
        <f t="shared" si="5"/>
        <v>1.4080000000000001E-4</v>
      </c>
      <c r="C93" s="28">
        <v>0.14080000000000001</v>
      </c>
      <c r="D93" s="28">
        <v>0.50896566666666665</v>
      </c>
      <c r="E93">
        <f>CumOffset+fcoh*EXP(-2*GammaBar*C93+mutwo*C93^2+muthree*C93^3+mufour*C93^4)</f>
        <v>0.37803642840660068</v>
      </c>
      <c r="F93">
        <f t="shared" si="6"/>
        <v>0.13092923826006597</v>
      </c>
      <c r="G93">
        <f t="shared" si="7"/>
        <v>1.7142465431361123E-2</v>
      </c>
    </row>
    <row r="94" spans="1:7">
      <c r="A94">
        <v>84</v>
      </c>
      <c r="B94">
        <f t="shared" si="5"/>
        <v>1.5359999999999999E-4</v>
      </c>
      <c r="C94" s="28">
        <v>0.15359999999999999</v>
      </c>
      <c r="D94" s="28">
        <v>0.49938433333333326</v>
      </c>
      <c r="E94">
        <f>CumOffset+fcoh*EXP(-2*GammaBar*C94+mutwo*C94^2+muthree*C94^3+mufour*C94^4)</f>
        <v>0.36862040227475185</v>
      </c>
      <c r="F94">
        <f t="shared" si="6"/>
        <v>0.13076393105858142</v>
      </c>
      <c r="G94">
        <f t="shared" si="7"/>
        <v>1.7099205665893433E-2</v>
      </c>
    </row>
    <row r="95" spans="1:7">
      <c r="A95">
        <v>85</v>
      </c>
      <c r="B95">
        <f t="shared" si="5"/>
        <v>1.6639999999999998E-4</v>
      </c>
      <c r="C95" s="28">
        <v>0.16639999999999999</v>
      </c>
      <c r="D95" s="28">
        <v>0.4900356666666667</v>
      </c>
      <c r="E95">
        <f>CumOffset+fcoh*EXP(-2*GammaBar*C95+mutwo*C95^2+muthree*C95^3+mufour*C95^4)</f>
        <v>0.35945068618794124</v>
      </c>
      <c r="F95">
        <f t="shared" si="6"/>
        <v>0.13058498047872547</v>
      </c>
      <c r="G95">
        <f t="shared" si="7"/>
        <v>1.705243712662911E-2</v>
      </c>
    </row>
    <row r="96" spans="1:7">
      <c r="A96">
        <v>86</v>
      </c>
      <c r="B96">
        <f t="shared" si="5"/>
        <v>1.7919999999999999E-4</v>
      </c>
      <c r="C96" s="28">
        <v>0.1792</v>
      </c>
      <c r="D96" s="28">
        <v>0.48062999999999995</v>
      </c>
      <c r="E96">
        <f>CumOffset+fcoh*EXP(-2*GammaBar*C96+mutwo*C96^2+muthree*C96^3+mufour*C96^4)</f>
        <v>0.35052055951257816</v>
      </c>
      <c r="F96">
        <f t="shared" si="6"/>
        <v>0.13010944048742179</v>
      </c>
      <c r="G96">
        <f t="shared" si="7"/>
        <v>1.6928466503949951E-2</v>
      </c>
    </row>
    <row r="97" spans="1:7">
      <c r="A97">
        <v>87</v>
      </c>
      <c r="B97">
        <f t="shared" si="5"/>
        <v>1.92E-4</v>
      </c>
      <c r="C97" s="28">
        <v>0.192</v>
      </c>
      <c r="D97" s="28">
        <v>0.47143833333333335</v>
      </c>
      <c r="E97">
        <f>CumOffset+fcoh*EXP(-2*GammaBar*C97+mutwo*C97^2+muthree*C97^3+mufour*C97^4)</f>
        <v>0.34182349194903672</v>
      </c>
      <c r="F97">
        <f t="shared" si="6"/>
        <v>0.12961484138429663</v>
      </c>
      <c r="G97">
        <f t="shared" si="7"/>
        <v>1.6800007107076374E-2</v>
      </c>
    </row>
    <row r="98" spans="1:7">
      <c r="A98">
        <v>88</v>
      </c>
      <c r="B98">
        <f t="shared" si="5"/>
        <v>2.0480000000000002E-4</v>
      </c>
      <c r="C98" s="28">
        <v>0.20480000000000001</v>
      </c>
      <c r="D98" s="28">
        <v>0.4626243333333333</v>
      </c>
      <c r="E98">
        <f>CumOffset+fcoh*EXP(-2*GammaBar*C98+mutwo*C98^2+muthree*C98^3+mufour*C98^4)</f>
        <v>0.33335313795769955</v>
      </c>
      <c r="F98">
        <f t="shared" si="6"/>
        <v>0.12927119537563375</v>
      </c>
      <c r="G98">
        <f t="shared" si="7"/>
        <v>1.6711041953845273E-2</v>
      </c>
    </row>
    <row r="99" spans="1:7">
      <c r="A99">
        <v>89</v>
      </c>
      <c r="B99">
        <f t="shared" si="5"/>
        <v>2.3039999999999999E-4</v>
      </c>
      <c r="C99" s="28">
        <v>0.23039999999999999</v>
      </c>
      <c r="D99" s="28">
        <v>0.44533933333333331</v>
      </c>
      <c r="E99">
        <f>CumOffset+fcoh*EXP(-2*GammaBar*C99+mutwo*C99^2+muthree*C99^3+mufour*C99^4)</f>
        <v>0.31706808006225007</v>
      </c>
      <c r="F99">
        <f t="shared" si="6"/>
        <v>0.12827125327108324</v>
      </c>
      <c r="G99">
        <f t="shared" si="7"/>
        <v>1.6453514415734383E-2</v>
      </c>
    </row>
    <row r="100" spans="1:7">
      <c r="A100">
        <v>90</v>
      </c>
      <c r="B100">
        <f t="shared" si="5"/>
        <v>2.5599999999999999E-4</v>
      </c>
      <c r="C100" s="28">
        <v>0.25600000000000001</v>
      </c>
      <c r="D100" s="28">
        <v>0.42895966666666663</v>
      </c>
      <c r="E100">
        <f>CumOffset+fcoh*EXP(-2*GammaBar*C100+mutwo*C100^2+muthree*C100^3+mufour*C100^4)</f>
        <v>0.30161811533019728</v>
      </c>
      <c r="F100">
        <f t="shared" si="6"/>
        <v>0.12734155133646935</v>
      </c>
      <c r="G100">
        <f t="shared" si="7"/>
        <v>1.6215870696778659E-2</v>
      </c>
    </row>
    <row r="101" spans="1:7">
      <c r="A101">
        <v>91</v>
      </c>
      <c r="B101">
        <f t="shared" si="5"/>
        <v>2.8160000000000001E-4</v>
      </c>
      <c r="C101" s="28">
        <v>0.28160000000000002</v>
      </c>
      <c r="D101" s="28">
        <v>0.41293333333333332</v>
      </c>
      <c r="E101">
        <f>CumOffset+fcoh*EXP(-2*GammaBar*C101+mutwo*C101^2+muthree*C101^3+mufour*C101^4)</f>
        <v>0.2869585999824405</v>
      </c>
      <c r="F101">
        <f t="shared" si="6"/>
        <v>0.12597473335089282</v>
      </c>
      <c r="G101">
        <f t="shared" si="7"/>
        <v>1.5869633442828549E-2</v>
      </c>
    </row>
    <row r="102" spans="1:7">
      <c r="A102">
        <v>92</v>
      </c>
      <c r="B102">
        <f t="shared" si="5"/>
        <v>3.0719999999999999E-4</v>
      </c>
      <c r="C102" s="28">
        <v>0.30719999999999997</v>
      </c>
      <c r="D102" s="28">
        <v>0.39773333333333333</v>
      </c>
      <c r="E102">
        <f>CumOffset+fcoh*EXP(-2*GammaBar*C102+mutwo*C102^2+muthree*C102^3+mufour*C102^4)</f>
        <v>0.2730473661243546</v>
      </c>
      <c r="F102">
        <f t="shared" si="6"/>
        <v>0.12468596720897873</v>
      </c>
      <c r="G102">
        <f t="shared" si="7"/>
        <v>1.554659041883852E-2</v>
      </c>
    </row>
    <row r="103" spans="1:7">
      <c r="A103">
        <v>93</v>
      </c>
      <c r="B103">
        <f t="shared" si="5"/>
        <v>3.3279999999999996E-4</v>
      </c>
      <c r="C103" s="28">
        <v>0.33279999999999998</v>
      </c>
      <c r="D103" s="28">
        <v>0.38298366666666661</v>
      </c>
      <c r="E103">
        <f>CumOffset+fcoh*EXP(-2*GammaBar*C103+mutwo*C103^2+muthree*C103^3+mufour*C103^4)</f>
        <v>0.25984457983699732</v>
      </c>
      <c r="F103">
        <f t="shared" si="6"/>
        <v>0.12313908682966929</v>
      </c>
      <c r="G103">
        <f t="shared" si="7"/>
        <v>1.5163234705244832E-2</v>
      </c>
    </row>
    <row r="104" spans="1:7">
      <c r="A104">
        <v>94</v>
      </c>
      <c r="B104">
        <f t="shared" si="5"/>
        <v>3.5839999999999998E-4</v>
      </c>
      <c r="C104" s="28">
        <v>0.3584</v>
      </c>
      <c r="D104" s="28">
        <v>0.36887500000000001</v>
      </c>
      <c r="E104">
        <f>CumOffset+fcoh*EXP(-2*GammaBar*C104+mutwo*C104^2+muthree*C104^3+mufour*C104^4)</f>
        <v>0.24731260764935487</v>
      </c>
      <c r="F104">
        <f t="shared" si="6"/>
        <v>0.12156239235064514</v>
      </c>
      <c r="G104">
        <f t="shared" si="7"/>
        <v>1.4777415234012188E-2</v>
      </c>
    </row>
    <row r="105" spans="1:7">
      <c r="A105">
        <v>95</v>
      </c>
      <c r="B105">
        <f t="shared" si="5"/>
        <v>3.8400000000000001E-4</v>
      </c>
      <c r="C105" s="28">
        <v>0.38400000000000001</v>
      </c>
      <c r="D105" s="28">
        <v>0.35522766666666666</v>
      </c>
      <c r="E105">
        <f>CumOffset+fcoh*EXP(-2*GammaBar*C105+mutwo*C105^2+muthree*C105^3+mufour*C105^4)</f>
        <v>0.23541589088284187</v>
      </c>
      <c r="F105">
        <f t="shared" si="6"/>
        <v>0.11981177578382479</v>
      </c>
      <c r="G105">
        <f t="shared" si="7"/>
        <v>1.4354861616473504E-2</v>
      </c>
    </row>
    <row r="106" spans="1:7">
      <c r="A106">
        <v>96</v>
      </c>
      <c r="B106">
        <f t="shared" si="5"/>
        <v>4.0960000000000004E-4</v>
      </c>
      <c r="C106" s="28">
        <v>0.40960000000000002</v>
      </c>
      <c r="D106" s="28">
        <v>0.34215633333333334</v>
      </c>
      <c r="E106">
        <f>CumOffset+fcoh*EXP(-2*GammaBar*C106+mutwo*C106^2+muthree*C106^3+mufour*C106^4)</f>
        <v>0.22412082739095845</v>
      </c>
      <c r="F106">
        <f t="shared" si="6"/>
        <v>0.11803550594237489</v>
      </c>
      <c r="G106">
        <f t="shared" si="7"/>
        <v>1.3932380663072418E-2</v>
      </c>
    </row>
    <row r="107" spans="1:7">
      <c r="A107">
        <v>97</v>
      </c>
      <c r="B107">
        <f t="shared" si="5"/>
        <v>4.6079999999999998E-4</v>
      </c>
      <c r="C107" s="28">
        <v>0.46079999999999999</v>
      </c>
      <c r="D107" s="28">
        <v>0.3171343333333333</v>
      </c>
      <c r="E107">
        <f>CumOffset+fcoh*EXP(-2*GammaBar*C107+mutwo*C107^2+muthree*C107^3+mufour*C107^4)</f>
        <v>0.20321037295782063</v>
      </c>
      <c r="F107">
        <f t="shared" si="6"/>
        <v>0.11392396037551267</v>
      </c>
      <c r="G107">
        <f t="shared" si="7"/>
        <v>1.297866874764138E-2</v>
      </c>
    </row>
    <row r="108" spans="1:7">
      <c r="A108">
        <v>98</v>
      </c>
      <c r="B108">
        <f t="shared" si="5"/>
        <v>5.1199999999999998E-4</v>
      </c>
      <c r="C108" s="28">
        <v>0.51200000000000001</v>
      </c>
      <c r="D108" s="28">
        <v>0.29373933333333335</v>
      </c>
      <c r="E108">
        <f>CumOffset+fcoh*EXP(-2*GammaBar*C108+mutwo*C108^2+muthree*C108^3+mufour*C108^4)</f>
        <v>0.18434748801645925</v>
      </c>
      <c r="F108">
        <f t="shared" si="6"/>
        <v>0.1093918453168741</v>
      </c>
      <c r="G108">
        <f t="shared" si="7"/>
        <v>1.1966575821830909E-2</v>
      </c>
    </row>
    <row r="109" spans="1:7">
      <c r="A109">
        <v>99</v>
      </c>
      <c r="B109">
        <f t="shared" si="5"/>
        <v>5.6320000000000003E-4</v>
      </c>
      <c r="C109" s="28">
        <v>0.56320000000000003</v>
      </c>
      <c r="D109" s="28">
        <v>0.272372</v>
      </c>
      <c r="E109">
        <f>CumOffset+fcoh*EXP(-2*GammaBar*C109+mutwo*C109^2+muthree*C109^3+mufour*C109^4)</f>
        <v>0.16732324199832796</v>
      </c>
      <c r="F109">
        <f t="shared" si="6"/>
        <v>0.10504875800167204</v>
      </c>
      <c r="G109">
        <f t="shared" si="7"/>
        <v>1.1035241557693856E-2</v>
      </c>
    </row>
    <row r="110" spans="1:7">
      <c r="A110">
        <v>100</v>
      </c>
      <c r="B110">
        <f t="shared" si="5"/>
        <v>6.1439999999999997E-4</v>
      </c>
      <c r="C110" s="28">
        <v>0.61439999999999995</v>
      </c>
      <c r="D110" s="28">
        <v>0.25248366666666666</v>
      </c>
      <c r="E110">
        <f>CumOffset+fcoh*EXP(-2*GammaBar*C110+mutwo*C110^2+muthree*C110^3+mufour*C110^4)</f>
        <v>0.15195080762542054</v>
      </c>
      <c r="F110">
        <f t="shared" si="6"/>
        <v>0.10053285904124612</v>
      </c>
      <c r="G110">
        <f t="shared" si="7"/>
        <v>1.0106855747007062E-2</v>
      </c>
    </row>
    <row r="111" spans="1:7">
      <c r="A111">
        <v>101</v>
      </c>
      <c r="B111">
        <f t="shared" si="5"/>
        <v>6.6559999999999992E-4</v>
      </c>
      <c r="C111" s="28">
        <v>0.66559999999999997</v>
      </c>
      <c r="D111" s="28">
        <v>0.23416933333333334</v>
      </c>
      <c r="E111">
        <f>CumOffset+fcoh*EXP(-2*GammaBar*C111+mutwo*C111^2+muthree*C111^3+mufour*C111^4)</f>
        <v>0.13806304579553255</v>
      </c>
      <c r="F111">
        <f t="shared" si="6"/>
        <v>9.6106287537800789E-2</v>
      </c>
      <c r="G111">
        <f t="shared" si="7"/>
        <v>9.236418504298443E-3</v>
      </c>
    </row>
    <row r="112" spans="1:7">
      <c r="A112">
        <v>102</v>
      </c>
      <c r="B112">
        <f t="shared" si="5"/>
        <v>7.1679999999999997E-4</v>
      </c>
      <c r="C112" s="28">
        <v>0.71679999999999999</v>
      </c>
      <c r="D112" s="28">
        <v>0.21742499999999998</v>
      </c>
      <c r="E112">
        <f>CumOffset+fcoh*EXP(-2*GammaBar*C112+mutwo*C112^2+muthree*C112^3+mufour*C112^4)</f>
        <v>0.12551036219098463</v>
      </c>
      <c r="F112">
        <f t="shared" si="6"/>
        <v>9.1914637809015348E-2</v>
      </c>
      <c r="G112">
        <f t="shared" si="7"/>
        <v>8.448300643562473E-3</v>
      </c>
    </row>
    <row r="113" spans="1:7">
      <c r="A113">
        <v>103</v>
      </c>
      <c r="B113">
        <f t="shared" si="5"/>
        <v>7.6800000000000002E-4</v>
      </c>
      <c r="C113" s="28">
        <v>0.76800000000000002</v>
      </c>
      <c r="D113" s="28">
        <v>0.20224633333333333</v>
      </c>
      <c r="E113">
        <f>CumOffset+fcoh*EXP(-2*GammaBar*C113+mutwo*C113^2+muthree*C113^3+mufour*C113^4)</f>
        <v>0.11415880420921502</v>
      </c>
      <c r="F113">
        <f t="shared" si="6"/>
        <v>8.8087529124118311E-2</v>
      </c>
      <c r="G113">
        <f t="shared" si="7"/>
        <v>7.7594127871923914E-3</v>
      </c>
    </row>
    <row r="114" spans="1:7">
      <c r="A114">
        <v>104</v>
      </c>
      <c r="B114">
        <f t="shared" si="5"/>
        <v>8.1920000000000007E-4</v>
      </c>
      <c r="C114" s="28">
        <v>0.81920000000000004</v>
      </c>
      <c r="D114" s="28">
        <v>0.18811233333333333</v>
      </c>
      <c r="E114">
        <f>CumOffset+fcoh*EXP(-2*GammaBar*C114+mutwo*C114^2+muthree*C114^3+mufour*C114^4)</f>
        <v>0.10388837053342562</v>
      </c>
      <c r="F114">
        <f t="shared" si="6"/>
        <v>8.4223962799907709E-2</v>
      </c>
      <c r="G114">
        <f t="shared" si="7"/>
        <v>7.0936759097202373E-3</v>
      </c>
    </row>
    <row r="115" spans="1:7">
      <c r="A115">
        <v>105</v>
      </c>
      <c r="B115">
        <f t="shared" si="5"/>
        <v>9.2159999999999996E-4</v>
      </c>
      <c r="C115" s="28">
        <v>0.92159999999999997</v>
      </c>
      <c r="D115" s="28">
        <v>0.162525</v>
      </c>
      <c r="E115">
        <f>CumOffset+fcoh*EXP(-2*GammaBar*C115+mutwo*C115^2+muthree*C115^3+mufour*C115^4)</f>
        <v>8.6171780736142928E-2</v>
      </c>
      <c r="F115">
        <f t="shared" si="6"/>
        <v>7.6353219263857075E-2</v>
      </c>
      <c r="G115">
        <f t="shared" si="7"/>
        <v>5.8298140919546349E-3</v>
      </c>
    </row>
    <row r="116" spans="1:7">
      <c r="A116">
        <v>106</v>
      </c>
      <c r="B116">
        <f t="shared" si="5"/>
        <v>1.024E-3</v>
      </c>
      <c r="C116" s="28">
        <v>1.024</v>
      </c>
      <c r="D116" s="28">
        <v>0.14094533333333334</v>
      </c>
      <c r="E116">
        <f>CumOffset+fcoh*EXP(-2*GammaBar*C116+mutwo*C116^2+muthree*C116^3+mufour*C116^4)</f>
        <v>7.1626541629204982E-2</v>
      </c>
      <c r="F116">
        <f t="shared" si="6"/>
        <v>6.9318791704128357E-2</v>
      </c>
      <c r="G116">
        <f t="shared" si="7"/>
        <v>4.8050948833203346E-3</v>
      </c>
    </row>
    <row r="117" spans="1:7">
      <c r="A117">
        <v>107</v>
      </c>
      <c r="B117">
        <f t="shared" si="5"/>
        <v>1.1264000000000001E-3</v>
      </c>
      <c r="C117" s="28">
        <v>1.1264000000000001</v>
      </c>
      <c r="D117" s="28">
        <v>0.12260366666666667</v>
      </c>
      <c r="E117">
        <f>CumOffset+fcoh*EXP(-2*GammaBar*C117+mutwo*C117^2+muthree*C117^3+mufour*C117^4)</f>
        <v>5.966143277212544E-2</v>
      </c>
      <c r="F117">
        <f t="shared" si="6"/>
        <v>6.2942233894541233E-2</v>
      </c>
      <c r="G117">
        <f t="shared" si="7"/>
        <v>3.9617248076351357E-3</v>
      </c>
    </row>
    <row r="118" spans="1:7">
      <c r="A118">
        <v>108</v>
      </c>
      <c r="B118">
        <f t="shared" si="5"/>
        <v>1.2287999999999999E-3</v>
      </c>
      <c r="C118" s="28">
        <v>1.2287999999999999</v>
      </c>
      <c r="D118" s="28">
        <v>0.10667923333333333</v>
      </c>
      <c r="E118">
        <f>CumOffset+fcoh*EXP(-2*GammaBar*C118+mutwo*C118^2+muthree*C118^3+mufour*C118^4)</f>
        <v>4.9799405311451682E-2</v>
      </c>
      <c r="F118">
        <f t="shared" si="6"/>
        <v>5.687982802188165E-2</v>
      </c>
      <c r="G118">
        <f t="shared" si="7"/>
        <v>3.2353148357988329E-3</v>
      </c>
    </row>
    <row r="119" spans="1:7">
      <c r="A119">
        <v>109</v>
      </c>
      <c r="B119">
        <f t="shared" si="5"/>
        <v>1.3311999999999998E-3</v>
      </c>
      <c r="C119" s="28">
        <v>1.3311999999999999</v>
      </c>
      <c r="D119" s="28">
        <v>9.2796299999999998E-2</v>
      </c>
      <c r="E119">
        <f>CumOffset+fcoh*EXP(-2*GammaBar*C119+mutwo*C119^2+muthree*C119^3+mufour*C119^4)</f>
        <v>4.1654834754747787E-2</v>
      </c>
      <c r="F119">
        <f t="shared" si="6"/>
        <v>5.1141465245252211E-2</v>
      </c>
      <c r="G119">
        <f t="shared" si="7"/>
        <v>2.6154494674313399E-3</v>
      </c>
    </row>
    <row r="120" spans="1:7">
      <c r="A120">
        <v>110</v>
      </c>
      <c r="B120">
        <f t="shared" si="5"/>
        <v>1.4335999999999999E-3</v>
      </c>
      <c r="C120" s="28">
        <v>1.4336</v>
      </c>
      <c r="D120" s="28">
        <v>8.0441966666666656E-2</v>
      </c>
      <c r="E120">
        <f>CumOffset+fcoh*EXP(-2*GammaBar*C120+mutwo*C120^2+muthree*C120^3+mufour*C120^4)</f>
        <v>3.4915434978115702E-2</v>
      </c>
      <c r="F120">
        <f t="shared" si="6"/>
        <v>4.5526531688550954E-2</v>
      </c>
      <c r="G120">
        <f t="shared" si="7"/>
        <v>2.0726650875886343E-3</v>
      </c>
    </row>
    <row r="121" spans="1:7">
      <c r="A121">
        <v>111</v>
      </c>
      <c r="B121">
        <f t="shared" si="5"/>
        <v>1.536E-3</v>
      </c>
      <c r="C121" s="28">
        <v>1.536</v>
      </c>
      <c r="D121" s="28">
        <v>6.91914E-2</v>
      </c>
      <c r="E121">
        <f>CumOffset+fcoh*EXP(-2*GammaBar*C121+mutwo*C121^2+muthree*C121^3+mufour*C121^4)</f>
        <v>2.9327853575188505E-2</v>
      </c>
      <c r="F121">
        <f t="shared" si="6"/>
        <v>3.9863546424811491E-2</v>
      </c>
      <c r="G121">
        <f t="shared" si="7"/>
        <v>1.589102333563101E-3</v>
      </c>
    </row>
    <row r="122" spans="1:7">
      <c r="A122">
        <v>112</v>
      </c>
      <c r="B122">
        <f t="shared" si="5"/>
        <v>1.6384000000000001E-3</v>
      </c>
      <c r="C122" s="28">
        <v>1.6384000000000001</v>
      </c>
      <c r="D122" s="28">
        <v>5.993896666666667E-2</v>
      </c>
      <c r="E122">
        <f>CumOffset+fcoh*EXP(-2*GammaBar*C122+mutwo*C122^2+muthree*C122^3+mufour*C122^4)</f>
        <v>2.4686179544410748E-2</v>
      </c>
      <c r="F122">
        <f t="shared" si="6"/>
        <v>3.5252787122255921E-2</v>
      </c>
      <c r="G122">
        <f t="shared" si="7"/>
        <v>1.2427589998870929E-3</v>
      </c>
    </row>
    <row r="123" spans="1:7">
      <c r="A123">
        <v>113</v>
      </c>
      <c r="B123">
        <f t="shared" si="5"/>
        <v>1.8431999999999999E-3</v>
      </c>
      <c r="C123" s="28">
        <v>1.8431999999999999</v>
      </c>
      <c r="D123" s="28">
        <v>4.4057833333333331E-2</v>
      </c>
      <c r="E123">
        <f>CumOffset+fcoh*EXP(-2*GammaBar*C123+mutwo*C123^2+muthree*C123^3+mufour*C123^4)</f>
        <v>1.7600841658778364E-2</v>
      </c>
      <c r="F123">
        <f t="shared" si="6"/>
        <v>2.6456991674554967E-2</v>
      </c>
      <c r="G123">
        <f t="shared" si="7"/>
        <v>6.9997240846747077E-4</v>
      </c>
    </row>
    <row r="124" spans="1:7">
      <c r="A124">
        <v>114</v>
      </c>
      <c r="B124">
        <f t="shared" si="5"/>
        <v>2.0479999999999999E-3</v>
      </c>
      <c r="C124" s="28">
        <v>2.048</v>
      </c>
      <c r="D124" s="28">
        <v>3.1905366666666664E-2</v>
      </c>
      <c r="E124">
        <f>CumOffset+fcoh*EXP(-2*GammaBar*C124+mutwo*C124^2+muthree*C124^3+mufour*C124^4)</f>
        <v>1.2654824152721447E-2</v>
      </c>
      <c r="F124">
        <f t="shared" si="6"/>
        <v>1.9250542513945215E-2</v>
      </c>
      <c r="G124">
        <f t="shared" si="7"/>
        <v>3.7058338708121215E-4</v>
      </c>
    </row>
    <row r="125" spans="1:7">
      <c r="A125">
        <v>115</v>
      </c>
      <c r="B125">
        <f t="shared" si="5"/>
        <v>2.2528000000000001E-3</v>
      </c>
      <c r="C125" s="28">
        <v>2.2528000000000001</v>
      </c>
      <c r="D125" s="28">
        <v>2.354856666666667E-2</v>
      </c>
      <c r="E125">
        <f>CumOffset+fcoh*EXP(-2*GammaBar*C125+mutwo*C125^2+muthree*C125^3+mufour*C125^4)</f>
        <v>9.1753347879262037E-3</v>
      </c>
      <c r="F125">
        <f t="shared" si="6"/>
        <v>1.4373231878740466E-2</v>
      </c>
      <c r="G125">
        <f t="shared" si="7"/>
        <v>2.0658979464004118E-4</v>
      </c>
    </row>
    <row r="126" spans="1:7">
      <c r="A126">
        <v>116</v>
      </c>
      <c r="B126">
        <f t="shared" si="5"/>
        <v>2.4575999999999999E-3</v>
      </c>
      <c r="C126" s="28">
        <v>2.4575999999999998</v>
      </c>
      <c r="D126" s="28">
        <v>1.9097843333333333E-2</v>
      </c>
      <c r="E126">
        <f>CumOffset+fcoh*EXP(-2*GammaBar*C126+mutwo*C126^2+muthree*C126^3+mufour*C126^4)</f>
        <v>6.7085838257388728E-3</v>
      </c>
      <c r="F126">
        <f t="shared" si="6"/>
        <v>1.2389259507594459E-2</v>
      </c>
      <c r="G126">
        <f t="shared" si="7"/>
        <v>1.534937511465197E-4</v>
      </c>
    </row>
    <row r="127" spans="1:7">
      <c r="A127">
        <v>117</v>
      </c>
      <c r="B127">
        <f t="shared" si="5"/>
        <v>2.6623999999999997E-3</v>
      </c>
      <c r="C127" s="28">
        <v>2.6623999999999999</v>
      </c>
      <c r="D127" s="28">
        <v>1.6420663333333335E-2</v>
      </c>
      <c r="E127">
        <f>CumOffset+fcoh*EXP(-2*GammaBar*C127+mutwo*C127^2+muthree*C127^3+mufour*C127^4)</f>
        <v>4.9463279569999241E-3</v>
      </c>
      <c r="F127">
        <f t="shared" si="6"/>
        <v>1.1474335376333411E-2</v>
      </c>
      <c r="G127">
        <f t="shared" si="7"/>
        <v>1.3166037232857641E-4</v>
      </c>
    </row>
    <row r="128" spans="1:7">
      <c r="A128">
        <v>118</v>
      </c>
      <c r="B128">
        <f t="shared" si="5"/>
        <v>2.8671999999999999E-3</v>
      </c>
      <c r="C128" s="28">
        <v>2.8672</v>
      </c>
      <c r="D128" s="28">
        <v>1.4796236666666665E-2</v>
      </c>
      <c r="E128">
        <f>CumOffset+fcoh*EXP(-2*GammaBar*C128+mutwo*C128^2+muthree*C128^3+mufour*C128^4)</f>
        <v>3.6777151728801354E-3</v>
      </c>
      <c r="F128">
        <f t="shared" si="6"/>
        <v>1.111852149378653E-2</v>
      </c>
      <c r="G128">
        <f t="shared" si="7"/>
        <v>1.2362152020779305E-4</v>
      </c>
    </row>
    <row r="129" spans="1:7">
      <c r="A129">
        <v>119</v>
      </c>
      <c r="B129">
        <f t="shared" si="5"/>
        <v>3.0720000000000001E-3</v>
      </c>
      <c r="C129" s="28">
        <v>3.0720000000000001</v>
      </c>
      <c r="D129" s="28">
        <v>1.2916950000000002E-2</v>
      </c>
      <c r="E129">
        <f>CumOffset+fcoh*EXP(-2*GammaBar*C129+mutwo*C129^2+muthree*C129^3+mufour*C129^4)</f>
        <v>2.7575055874635812E-3</v>
      </c>
      <c r="F129">
        <f t="shared" si="6"/>
        <v>1.015944441253642E-2</v>
      </c>
      <c r="G129">
        <f t="shared" si="7"/>
        <v>1.0321431077141749E-4</v>
      </c>
    </row>
    <row r="130" spans="1:7">
      <c r="A130">
        <v>120</v>
      </c>
      <c r="B130">
        <f t="shared" si="5"/>
        <v>3.2768000000000003E-3</v>
      </c>
      <c r="C130" s="28">
        <v>3.2768000000000002</v>
      </c>
      <c r="D130" s="28">
        <v>1.1796010000000001E-2</v>
      </c>
      <c r="E130">
        <f>CumOffset+fcoh*EXP(-2*GammaBar*C130+mutwo*C130^2+muthree*C130^3+mufour*C130^4)</f>
        <v>2.0849605254261083E-3</v>
      </c>
      <c r="F130">
        <f t="shared" si="6"/>
        <v>9.7110494745738934E-3</v>
      </c>
      <c r="G130">
        <f t="shared" si="7"/>
        <v>9.4304481897621888E-5</v>
      </c>
    </row>
    <row r="131" spans="1:7">
      <c r="A131">
        <v>121</v>
      </c>
      <c r="B131">
        <f t="shared" si="5"/>
        <v>3.6863999999999998E-3</v>
      </c>
      <c r="C131" s="28">
        <v>3.6863999999999999</v>
      </c>
      <c r="D131" s="28">
        <v>9.9796146666666658E-3</v>
      </c>
      <c r="E131">
        <f>CumOffset+fcoh*EXP(-2*GammaBar*C131+mutwo*C131^2+muthree*C131^3+mufour*C131^4)</f>
        <v>1.2223345483346306E-3</v>
      </c>
      <c r="F131">
        <f t="shared" si="6"/>
        <v>8.7572801183320344E-3</v>
      </c>
      <c r="G131">
        <f t="shared" si="7"/>
        <v>7.6689955070933523E-5</v>
      </c>
    </row>
    <row r="132" spans="1:7">
      <c r="A132">
        <v>122</v>
      </c>
      <c r="B132">
        <f t="shared" si="5"/>
        <v>4.0959999999999998E-3</v>
      </c>
      <c r="C132" s="28">
        <v>4.0960000000000001</v>
      </c>
      <c r="D132" s="28">
        <v>9.426411333333334E-3</v>
      </c>
      <c r="E132">
        <f>CumOffset+fcoh*EXP(-2*GammaBar*C132+mutwo*C132^2+muthree*C132^3+mufour*C132^4)</f>
        <v>7.4106250754849175E-4</v>
      </c>
      <c r="F132">
        <f t="shared" si="6"/>
        <v>8.6853488257848423E-3</v>
      </c>
      <c r="G132">
        <f t="shared" si="7"/>
        <v>7.5435284225562138E-5</v>
      </c>
    </row>
    <row r="133" spans="1:7">
      <c r="A133">
        <v>123</v>
      </c>
      <c r="B133">
        <f t="shared" si="5"/>
        <v>4.5056000000000002E-3</v>
      </c>
      <c r="C133" s="28">
        <v>4.5056000000000003</v>
      </c>
      <c r="D133" s="28">
        <v>8.980917666666666E-3</v>
      </c>
      <c r="E133">
        <f>CumOffset+fcoh*EXP(-2*GammaBar*C133+mutwo*C133^2+muthree*C133^3+mufour*C133^4)</f>
        <v>4.646137956042176E-4</v>
      </c>
      <c r="F133">
        <f t="shared" si="6"/>
        <v>8.516303871062449E-3</v>
      </c>
      <c r="G133">
        <f t="shared" si="7"/>
        <v>7.2527431624273248E-5</v>
      </c>
    </row>
    <row r="134" spans="1:7">
      <c r="A134">
        <v>124</v>
      </c>
      <c r="B134">
        <f t="shared" si="5"/>
        <v>4.9151999999999998E-3</v>
      </c>
      <c r="C134" s="28">
        <v>4.9151999999999996</v>
      </c>
      <c r="D134" s="28">
        <v>9.8255906666666667E-3</v>
      </c>
      <c r="E134">
        <f>CumOffset+fcoh*EXP(-2*GammaBar*C134+mutwo*C134^2+muthree*C134^3+mufour*C134^4)</f>
        <v>3.0123252698234103E-4</v>
      </c>
      <c r="F134">
        <f t="shared" si="6"/>
        <v>9.524358139684325E-3</v>
      </c>
      <c r="G134">
        <f t="shared" si="7"/>
        <v>9.0713397972971063E-5</v>
      </c>
    </row>
    <row r="135" spans="1:7">
      <c r="A135">
        <v>125</v>
      </c>
      <c r="B135">
        <f t="shared" si="5"/>
        <v>5.3247999999999993E-3</v>
      </c>
      <c r="C135" s="28">
        <v>5.3247999999999998</v>
      </c>
      <c r="D135" s="28">
        <v>9.329051666666666E-3</v>
      </c>
      <c r="E135">
        <f>CumOffset+fcoh*EXP(-2*GammaBar*C135+mutwo*C135^2+muthree*C135^3+mufour*C135^4)</f>
        <v>2.0196872958927348E-4</v>
      </c>
      <c r="F135">
        <f t="shared" si="6"/>
        <v>9.127082937077393E-3</v>
      </c>
      <c r="G135">
        <f t="shared" si="7"/>
        <v>8.3303642940289291E-5</v>
      </c>
    </row>
    <row r="136" spans="1:7">
      <c r="A136">
        <v>126</v>
      </c>
      <c r="B136">
        <f t="shared" si="5"/>
        <v>5.7343999999999997E-3</v>
      </c>
      <c r="C136" s="28">
        <v>5.7343999999999999</v>
      </c>
      <c r="D136" s="28">
        <v>6.7589900000000003E-3</v>
      </c>
      <c r="E136">
        <f>CumOffset+fcoh*EXP(-2*GammaBar*C136+mutwo*C136^2+muthree*C136^3+mufour*C136^4)</f>
        <v>1.40035745273829E-4</v>
      </c>
      <c r="F136">
        <f t="shared" si="6"/>
        <v>6.6189542547261714E-3</v>
      </c>
      <c r="G136">
        <f t="shared" si="7"/>
        <v>4.3810555426157686E-5</v>
      </c>
    </row>
    <row r="137" spans="1:7">
      <c r="A137">
        <v>127</v>
      </c>
      <c r="B137">
        <f t="shared" si="5"/>
        <v>6.1440000000000002E-3</v>
      </c>
      <c r="C137" s="28">
        <v>6.1440000000000001</v>
      </c>
      <c r="D137" s="28">
        <v>5.8494233333333326E-3</v>
      </c>
      <c r="E137">
        <f>CumOffset+fcoh*EXP(-2*GammaBar*C137+mutwo*C137^2+muthree*C137^3+mufour*C137^4)</f>
        <v>1.0040750720338245E-4</v>
      </c>
      <c r="F137">
        <f t="shared" si="6"/>
        <v>5.7490158261299497E-3</v>
      </c>
      <c r="G137">
        <f t="shared" si="7"/>
        <v>3.3051182969092628E-5</v>
      </c>
    </row>
    <row r="138" spans="1:7">
      <c r="A138">
        <v>128</v>
      </c>
      <c r="B138">
        <f t="shared" si="5"/>
        <v>6.5536000000000006E-3</v>
      </c>
      <c r="C138" s="28">
        <v>6.5536000000000003</v>
      </c>
      <c r="D138" s="28">
        <v>5.314953333333333E-3</v>
      </c>
      <c r="E138">
        <f>CumOffset+fcoh*EXP(-2*GammaBar*C138+mutwo*C138^2+muthree*C138^3+mufour*C138^4)</f>
        <v>7.4450216968038635E-5</v>
      </c>
      <c r="F138">
        <f t="shared" si="6"/>
        <v>5.2405031163652947E-3</v>
      </c>
      <c r="G138">
        <f t="shared" si="7"/>
        <v>2.7462872912634366E-5</v>
      </c>
    </row>
    <row r="139" spans="1:7">
      <c r="A139">
        <v>129</v>
      </c>
      <c r="B139">
        <f t="shared" si="5"/>
        <v>7.3727999999999997E-3</v>
      </c>
      <c r="C139" s="28">
        <v>7.3727999999999998</v>
      </c>
      <c r="D139" s="28">
        <v>5.4812419999999999E-3</v>
      </c>
      <c r="E139">
        <f>CumOffset+fcoh*EXP(-2*GammaBar*C139+mutwo*C139^2+muthree*C139^3+mufour*C139^4)</f>
        <v>4.5267139024436866E-5</v>
      </c>
      <c r="F139">
        <f t="shared" si="6"/>
        <v>5.4359748609755631E-3</v>
      </c>
      <c r="G139">
        <f t="shared" si="7"/>
        <v>2.9549822689158291E-5</v>
      </c>
    </row>
    <row r="140" spans="1:7">
      <c r="A140">
        <v>130</v>
      </c>
      <c r="B140">
        <f t="shared" ref="B140:B203" si="8">C140/1000</f>
        <v>8.1919999999999996E-3</v>
      </c>
      <c r="C140" s="28">
        <v>8.1920000000000002</v>
      </c>
      <c r="D140" s="28">
        <v>9.283944666666666E-4</v>
      </c>
      <c r="E140">
        <f>CumOffset+fcoh*EXP(-2*GammaBar*C140+mutwo*C140^2+muthree*C140^3+mufour*C140^4)</f>
        <v>3.1476768865193959E-5</v>
      </c>
      <c r="F140">
        <f t="shared" ref="F140:F203" si="9">D140-E140</f>
        <v>8.9691769780147264E-4</v>
      </c>
      <c r="G140">
        <f t="shared" ref="G140:G203" si="10">F140*F140</f>
        <v>8.044613566294938E-7</v>
      </c>
    </row>
    <row r="141" spans="1:7">
      <c r="A141">
        <v>131</v>
      </c>
      <c r="B141">
        <f t="shared" si="8"/>
        <v>9.0112000000000005E-3</v>
      </c>
      <c r="C141" s="28">
        <v>9.0112000000000005</v>
      </c>
      <c r="D141" s="28">
        <v>1.3812419999999998E-3</v>
      </c>
      <c r="E141">
        <f>CumOffset+fcoh*EXP(-2*GammaBar*C141+mutwo*C141^2+muthree*C141^3+mufour*C141^4)</f>
        <v>2.5031522269783642E-5</v>
      </c>
      <c r="F141">
        <f t="shared" si="9"/>
        <v>1.3562104777302161E-3</v>
      </c>
      <c r="G141">
        <f t="shared" si="10"/>
        <v>1.8393068599052211E-6</v>
      </c>
    </row>
    <row r="142" spans="1:7">
      <c r="A142">
        <v>132</v>
      </c>
      <c r="B142">
        <f t="shared" si="8"/>
        <v>9.8303999999999996E-3</v>
      </c>
      <c r="C142" s="28">
        <v>9.8303999999999991</v>
      </c>
      <c r="D142" s="28">
        <v>2.9151833333333332E-3</v>
      </c>
      <c r="E142">
        <f>CumOffset+fcoh*EXP(-2*GammaBar*C142+mutwo*C142^2+muthree*C142^3+mufour*C142^4)</f>
        <v>2.2765353420662666E-5</v>
      </c>
      <c r="F142">
        <f t="shared" si="9"/>
        <v>2.8924179799126705E-3</v>
      </c>
      <c r="G142">
        <f t="shared" si="10"/>
        <v>8.3660817705220933E-6</v>
      </c>
    </row>
    <row r="143" spans="1:7">
      <c r="A143">
        <v>133</v>
      </c>
      <c r="B143">
        <f t="shared" si="8"/>
        <v>1.0649599999999999E-2</v>
      </c>
      <c r="C143" s="28">
        <v>10.6496</v>
      </c>
      <c r="D143" s="28">
        <v>4.6886499999999999E-3</v>
      </c>
      <c r="E143">
        <f>CumOffset+fcoh*EXP(-2*GammaBar*C143+mutwo*C143^2+muthree*C143^3+mufour*C143^4)</f>
        <v>2.367835627169194E-5</v>
      </c>
      <c r="F143">
        <f t="shared" si="9"/>
        <v>4.664971643728308E-3</v>
      </c>
      <c r="G143">
        <f t="shared" si="10"/>
        <v>2.1761960436789192E-5</v>
      </c>
    </row>
    <row r="144" spans="1:7">
      <c r="A144">
        <v>134</v>
      </c>
      <c r="B144">
        <f t="shared" si="8"/>
        <v>1.1468799999999999E-2</v>
      </c>
      <c r="C144" s="28">
        <v>11.4688</v>
      </c>
      <c r="D144" s="28">
        <v>4.6967166666666664E-3</v>
      </c>
      <c r="E144">
        <f>CumOffset+fcoh*EXP(-2*GammaBar*C144+mutwo*C144^2+muthree*C144^3+mufour*C144^4)</f>
        <v>2.8165581586713364E-5</v>
      </c>
      <c r="F144">
        <f t="shared" si="9"/>
        <v>4.6685510850799534E-3</v>
      </c>
      <c r="G144">
        <f t="shared" si="10"/>
        <v>2.179536923400121E-5</v>
      </c>
    </row>
    <row r="145" spans="1:7">
      <c r="A145">
        <v>135</v>
      </c>
      <c r="B145">
        <f t="shared" si="8"/>
        <v>1.2288E-2</v>
      </c>
      <c r="C145" s="28">
        <v>12.288</v>
      </c>
      <c r="D145" s="28">
        <v>3.2207733333333333E-3</v>
      </c>
      <c r="E145">
        <f>CumOffset+fcoh*EXP(-2*GammaBar*C145+mutwo*C145^2+muthree*C145^3+mufour*C145^4)</f>
        <v>3.8315625037001961E-5</v>
      </c>
      <c r="F145">
        <f t="shared" si="9"/>
        <v>3.1824577082963314E-3</v>
      </c>
      <c r="G145">
        <f t="shared" si="10"/>
        <v>1.0128037065094738E-5</v>
      </c>
    </row>
    <row r="146" spans="1:7">
      <c r="A146">
        <v>136</v>
      </c>
      <c r="B146">
        <f t="shared" si="8"/>
        <v>1.3107200000000001E-2</v>
      </c>
      <c r="C146" s="28">
        <v>13.107200000000001</v>
      </c>
      <c r="D146" s="28">
        <v>3.59685E-3</v>
      </c>
      <c r="E146">
        <f>CumOffset+fcoh*EXP(-2*GammaBar*C146+mutwo*C146^2+muthree*C146^3+mufour*C146^4)</f>
        <v>5.9610549378573917E-5</v>
      </c>
      <c r="F146">
        <f t="shared" si="9"/>
        <v>3.5372394506214262E-3</v>
      </c>
      <c r="G146">
        <f t="shared" si="10"/>
        <v>1.2512062931032569E-5</v>
      </c>
    </row>
    <row r="147" spans="1:7">
      <c r="A147">
        <v>137</v>
      </c>
      <c r="B147">
        <f t="shared" si="8"/>
        <v>1.4745599999999999E-2</v>
      </c>
      <c r="C147" s="28">
        <v>14.7456</v>
      </c>
      <c r="D147" s="28">
        <v>-2.5021533333333332E-3</v>
      </c>
      <c r="E147">
        <f>CumOffset+fcoh*EXP(-2*GammaBar*C147+mutwo*C147^2+muthree*C147^3+mufour*C147^4)</f>
        <v>2.1581796838124613E-4</v>
      </c>
      <c r="F147">
        <f t="shared" si="9"/>
        <v>-2.7179713017145791E-3</v>
      </c>
      <c r="G147">
        <f t="shared" si="10"/>
        <v>7.3873679969440438E-6</v>
      </c>
    </row>
    <row r="148" spans="1:7">
      <c r="A148">
        <v>138</v>
      </c>
      <c r="B148">
        <f t="shared" si="8"/>
        <v>1.6383999999999999E-2</v>
      </c>
      <c r="C148" s="28">
        <v>16.384</v>
      </c>
      <c r="D148" s="28">
        <v>-1.3375699999999999E-3</v>
      </c>
      <c r="E148">
        <f>CumOffset+fcoh*EXP(-2*GammaBar*C148+mutwo*C148^2+muthree*C148^3+mufour*C148^4)</f>
        <v>1.3366329106079117E-3</v>
      </c>
      <c r="F148">
        <f t="shared" si="9"/>
        <v>-2.6742029106079116E-3</v>
      </c>
      <c r="G148">
        <f t="shared" si="10"/>
        <v>7.1513612071038262E-6</v>
      </c>
    </row>
    <row r="149" spans="1:7">
      <c r="A149">
        <v>139</v>
      </c>
      <c r="B149">
        <f t="shared" si="8"/>
        <v>1.8022400000000001E-2</v>
      </c>
      <c r="C149" s="28">
        <v>18.022400000000001</v>
      </c>
      <c r="D149" s="28">
        <v>4.233463333333333E-3</v>
      </c>
      <c r="E149">
        <f>CumOffset+fcoh*EXP(-2*GammaBar*C149+mutwo*C149^2+muthree*C149^3+mufour*C149^4)</f>
        <v>1.4161092998159345E-2</v>
      </c>
      <c r="F149">
        <f t="shared" si="9"/>
        <v>-9.9276296648260123E-3</v>
      </c>
      <c r="G149">
        <f t="shared" si="10"/>
        <v>9.8557830761933447E-5</v>
      </c>
    </row>
    <row r="150" spans="1:7">
      <c r="A150">
        <v>140</v>
      </c>
      <c r="B150">
        <f t="shared" si="8"/>
        <v>1.9660799999999999E-2</v>
      </c>
      <c r="C150" s="28">
        <v>19.660799999999998</v>
      </c>
      <c r="D150" s="28">
        <v>5.1936133333333329E-3</v>
      </c>
      <c r="E150">
        <f>CumOffset+fcoh*EXP(-2*GammaBar*C150+mutwo*C150^2+muthree*C150^3+mufour*C150^4)</f>
        <v>0.25665012150221461</v>
      </c>
      <c r="F150">
        <f t="shared" si="9"/>
        <v>-0.25145650816888127</v>
      </c>
      <c r="G150">
        <f t="shared" si="10"/>
        <v>6.3230375500486657E-2</v>
      </c>
    </row>
    <row r="151" spans="1:7">
      <c r="A151">
        <v>141</v>
      </c>
      <c r="B151">
        <f t="shared" si="8"/>
        <v>2.1299199999999997E-2</v>
      </c>
      <c r="C151" s="28">
        <v>21.299199999999999</v>
      </c>
      <c r="D151" s="28">
        <v>3.6865466666666669E-3</v>
      </c>
      <c r="E151">
        <f>CumOffset+fcoh*EXP(-2*GammaBar*C151+mutwo*C151^2+muthree*C151^3+mufour*C151^4)</f>
        <v>7.9569430204823464</v>
      </c>
      <c r="F151">
        <f t="shared" si="9"/>
        <v>-7.9532564738156797</v>
      </c>
      <c r="G151">
        <f t="shared" si="10"/>
        <v>63.254288538291021</v>
      </c>
    </row>
    <row r="152" spans="1:7">
      <c r="A152">
        <v>142</v>
      </c>
      <c r="B152">
        <f t="shared" si="8"/>
        <v>2.2937599999999999E-2</v>
      </c>
      <c r="C152" s="28">
        <v>22.9376</v>
      </c>
      <c r="D152" s="28">
        <v>4.147906666666667E-3</v>
      </c>
      <c r="E152">
        <f>CumOffset+fcoh*EXP(-2*GammaBar*C152+mutwo*C152^2+muthree*C152^3+mufour*C152^4)</f>
        <v>421.99868395455934</v>
      </c>
      <c r="F152">
        <f t="shared" si="9"/>
        <v>-421.99453604789267</v>
      </c>
      <c r="G152">
        <f t="shared" si="10"/>
        <v>178079.3884542762</v>
      </c>
    </row>
    <row r="153" spans="1:7">
      <c r="A153">
        <v>143</v>
      </c>
      <c r="B153">
        <f t="shared" si="8"/>
        <v>2.4576000000000001E-2</v>
      </c>
      <c r="C153" s="28">
        <v>24.576000000000001</v>
      </c>
      <c r="D153" s="28">
        <v>4.8518466666666671E-3</v>
      </c>
      <c r="E153">
        <f>CumOffset+fcoh*EXP(-2*GammaBar*C153+mutwo*C153^2+muthree*C153^3+mufour*C153^4)</f>
        <v>38285.649544717198</v>
      </c>
      <c r="F153">
        <f t="shared" si="9"/>
        <v>-38285.644692870534</v>
      </c>
      <c r="G153">
        <f t="shared" si="10"/>
        <v>1465790589.5487256</v>
      </c>
    </row>
    <row r="154" spans="1:7">
      <c r="A154">
        <v>144</v>
      </c>
      <c r="B154">
        <f t="shared" si="8"/>
        <v>2.6214400000000002E-2</v>
      </c>
      <c r="C154" s="28">
        <v>26.214400000000001</v>
      </c>
      <c r="D154" s="28">
        <v>3.5648633333333333E-3</v>
      </c>
      <c r="E154">
        <f>CumOffset+fcoh*EXP(-2*GammaBar*C154+mutwo*C154^2+muthree*C154^3+mufour*C154^4)</f>
        <v>5941840.8779575666</v>
      </c>
      <c r="F154">
        <f t="shared" si="9"/>
        <v>-5941840.8743927032</v>
      </c>
      <c r="G154">
        <f t="shared" si="10"/>
        <v>35305472976603.844</v>
      </c>
    </row>
    <row r="155" spans="1:7">
      <c r="A155">
        <v>145</v>
      </c>
      <c r="B155">
        <f t="shared" si="8"/>
        <v>2.9491199999999999E-2</v>
      </c>
      <c r="C155" s="28">
        <v>29.491199999999999</v>
      </c>
      <c r="D155" s="28">
        <v>4.8243466666666665E-3</v>
      </c>
      <c r="E155">
        <f>CumOffset+fcoh*EXP(-2*GammaBar*C155+mutwo*C155^2+muthree*C155^3+mufour*C155^4)</f>
        <v>716425831204.08228</v>
      </c>
      <c r="F155">
        <f t="shared" si="9"/>
        <v>-716425831204.07739</v>
      </c>
      <c r="G155">
        <f t="shared" si="10"/>
        <v>5.132659716164532E+23</v>
      </c>
    </row>
    <row r="156" spans="1:7">
      <c r="A156">
        <v>146</v>
      </c>
      <c r="B156">
        <f t="shared" si="8"/>
        <v>3.2767999999999999E-2</v>
      </c>
      <c r="C156" s="28">
        <v>32.768000000000001</v>
      </c>
      <c r="D156" s="28">
        <v>5.4920299999999993E-3</v>
      </c>
      <c r="E156">
        <f>CumOffset+fcoh*EXP(-2*GammaBar*C156+mutwo*C156^2+muthree*C156^3+mufour*C156^4)</f>
        <v>7.3971044902832077E+17</v>
      </c>
      <c r="F156">
        <f t="shared" si="9"/>
        <v>-7.3971044902832077E+17</v>
      </c>
      <c r="G156">
        <f t="shared" si="10"/>
        <v>5.4717154840167993E+35</v>
      </c>
    </row>
    <row r="157" spans="1:7">
      <c r="A157">
        <v>147</v>
      </c>
      <c r="B157">
        <f t="shared" si="8"/>
        <v>3.6044800000000002E-2</v>
      </c>
      <c r="C157" s="28">
        <v>36.044800000000002</v>
      </c>
      <c r="D157" s="28">
        <v>-4.2640133333333329E-4</v>
      </c>
      <c r="E157">
        <f>CumOffset+fcoh*EXP(-2*GammaBar*C157+mutwo*C157^2+muthree*C157^3+mufour*C157^4)</f>
        <v>6.5402231885928958E+24</v>
      </c>
      <c r="F157">
        <f t="shared" si="9"/>
        <v>-6.5402231885928958E+24</v>
      </c>
      <c r="G157">
        <f t="shared" si="10"/>
        <v>4.2774519356608224E+49</v>
      </c>
    </row>
    <row r="158" spans="1:7">
      <c r="A158">
        <v>148</v>
      </c>
      <c r="B158">
        <f t="shared" si="8"/>
        <v>3.9321599999999998E-2</v>
      </c>
      <c r="C158" s="28">
        <v>39.321599999999997</v>
      </c>
      <c r="D158" s="28">
        <v>-8.5999666666666667E-4</v>
      </c>
      <c r="E158">
        <f>CumOffset+fcoh*EXP(-2*GammaBar*C158+mutwo*C158^2+muthree*C158^3+mufour*C158^4)</f>
        <v>4.9518066987304195E+32</v>
      </c>
      <c r="F158">
        <f t="shared" si="9"/>
        <v>-4.9518066987304195E+32</v>
      </c>
      <c r="G158">
        <f t="shared" si="10"/>
        <v>2.4520389581591453E+65</v>
      </c>
    </row>
    <row r="159" spans="1:7">
      <c r="A159">
        <v>149</v>
      </c>
      <c r="B159">
        <f t="shared" si="8"/>
        <v>4.2598399999999995E-2</v>
      </c>
      <c r="C159" s="28">
        <v>42.598399999999998</v>
      </c>
      <c r="D159" s="28">
        <v>-5.7648600000000008E-4</v>
      </c>
      <c r="E159">
        <f>CumOffset+fcoh*EXP(-2*GammaBar*C159+mutwo*C159^2+muthree*C159^3+mufour*C159^4)</f>
        <v>3.210517896764493E+41</v>
      </c>
      <c r="F159">
        <f t="shared" si="9"/>
        <v>-3.210517896764493E+41</v>
      </c>
      <c r="G159">
        <f t="shared" si="10"/>
        <v>1.0307425165445104E+83</v>
      </c>
    </row>
    <row r="160" spans="1:7">
      <c r="A160">
        <v>150</v>
      </c>
      <c r="B160">
        <f t="shared" si="8"/>
        <v>4.5875199999999998E-2</v>
      </c>
      <c r="C160" s="28">
        <v>45.8752</v>
      </c>
      <c r="D160" s="28">
        <v>1.2887975999999999E-3</v>
      </c>
      <c r="E160">
        <f>CumOffset+fcoh*EXP(-2*GammaBar*C160+mutwo*C160^2+muthree*C160^3+mufour*C160^4)</f>
        <v>1.782488783542492E+51</v>
      </c>
      <c r="F160">
        <f t="shared" si="9"/>
        <v>-1.782488783542492E+51</v>
      </c>
      <c r="G160">
        <f t="shared" si="10"/>
        <v>3.1772662634547928E+102</v>
      </c>
    </row>
    <row r="161" spans="1:7">
      <c r="A161">
        <v>151</v>
      </c>
      <c r="B161">
        <f t="shared" si="8"/>
        <v>4.9152000000000001E-2</v>
      </c>
      <c r="C161" s="28">
        <v>49.152000000000001</v>
      </c>
      <c r="D161" s="28">
        <v>1.2509333333333335E-3</v>
      </c>
      <c r="E161">
        <f>CumOffset+fcoh*EXP(-2*GammaBar*C161+mutwo*C161^2+muthree*C161^3+mufour*C161^4)</f>
        <v>8.4745923075305212E+61</v>
      </c>
      <c r="F161">
        <f t="shared" si="9"/>
        <v>-8.4745923075305212E+61</v>
      </c>
      <c r="G161">
        <f t="shared" si="10"/>
        <v>7.1818714778855483E+123</v>
      </c>
    </row>
    <row r="162" spans="1:7">
      <c r="A162">
        <v>152</v>
      </c>
      <c r="B162">
        <f t="shared" si="8"/>
        <v>5.2428800000000005E-2</v>
      </c>
      <c r="C162" s="28">
        <v>52.428800000000003</v>
      </c>
      <c r="D162" s="28">
        <v>1.3205766666666667E-3</v>
      </c>
      <c r="E162">
        <f>CumOffset+fcoh*EXP(-2*GammaBar*C162+mutwo*C162^2+muthree*C162^3+mufour*C162^4)</f>
        <v>3.450254425599642E+73</v>
      </c>
      <c r="F162">
        <f t="shared" si="9"/>
        <v>-3.450254425599642E+73</v>
      </c>
      <c r="G162">
        <f t="shared" si="10"/>
        <v>1.1904255601369916E+147</v>
      </c>
    </row>
    <row r="163" spans="1:7">
      <c r="A163">
        <v>153</v>
      </c>
      <c r="B163">
        <f t="shared" si="8"/>
        <v>5.8982399999999997E-2</v>
      </c>
      <c r="C163" s="28">
        <v>58.982399999999998</v>
      </c>
      <c r="D163" s="28">
        <v>4.2087193333333337E-3</v>
      </c>
      <c r="E163">
        <f>CumOffset+fcoh*EXP(-2*GammaBar*C163+mutwo*C163^2+muthree*C163^3+mufour*C163^4)</f>
        <v>3.5911755100528966E+99</v>
      </c>
      <c r="F163">
        <f t="shared" si="9"/>
        <v>-3.5911755100528966E+99</v>
      </c>
      <c r="G163">
        <f t="shared" si="10"/>
        <v>1.2896541544003681E+199</v>
      </c>
    </row>
    <row r="164" spans="1:7">
      <c r="A164">
        <v>154</v>
      </c>
      <c r="B164">
        <f t="shared" si="8"/>
        <v>6.5535999999999997E-2</v>
      </c>
      <c r="C164" s="28">
        <v>65.536000000000001</v>
      </c>
      <c r="D164" s="28">
        <v>7.3965999999999995E-4</v>
      </c>
      <c r="E164">
        <f>CumOffset+fcoh*EXP(-2*GammaBar*C164+mutwo*C164^2+muthree*C164^3+mufour*C164^4)</f>
        <v>2.0099411101483883E+129</v>
      </c>
      <c r="F164">
        <f t="shared" si="9"/>
        <v>-2.0099411101483883E+129</v>
      </c>
      <c r="G164">
        <f t="shared" si="10"/>
        <v>4.0398632662645355E+258</v>
      </c>
    </row>
    <row r="165" spans="1:7">
      <c r="A165">
        <v>155</v>
      </c>
      <c r="B165">
        <f t="shared" si="8"/>
        <v>7.2089600000000004E-2</v>
      </c>
      <c r="C165" s="28">
        <v>72.089600000000004</v>
      </c>
      <c r="D165" s="28">
        <v>1.5933583333333334E-3</v>
      </c>
      <c r="E165">
        <f>CumOffset+fcoh*EXP(-2*GammaBar*C165+mutwo*C165^2+muthree*C165^3+mufour*C165^4)</f>
        <v>6.0491064710790585E+162</v>
      </c>
      <c r="F165">
        <f t="shared" si="9"/>
        <v>-6.0491064710790585E+162</v>
      </c>
      <c r="G165" t="e">
        <f t="shared" si="10"/>
        <v>#NUM!</v>
      </c>
    </row>
    <row r="166" spans="1:7">
      <c r="A166">
        <v>156</v>
      </c>
      <c r="B166">
        <f t="shared" si="8"/>
        <v>7.8643199999999996E-2</v>
      </c>
      <c r="C166" s="28">
        <v>78.643199999999993</v>
      </c>
      <c r="D166" s="28">
        <v>2.0911803333333334E-3</v>
      </c>
      <c r="E166">
        <f>CumOffset+fcoh*EXP(-2*GammaBar*C166+mutwo*C166^2+muthree*C166^3+mufour*C166^4)</f>
        <v>9.789495642790287E+199</v>
      </c>
      <c r="F166">
        <f t="shared" si="9"/>
        <v>-9.789495642790287E+199</v>
      </c>
      <c r="G166" t="e">
        <f t="shared" si="10"/>
        <v>#NUM!</v>
      </c>
    </row>
    <row r="167" spans="1:7">
      <c r="A167">
        <v>157</v>
      </c>
      <c r="B167">
        <f t="shared" si="8"/>
        <v>8.5196799999999989E-2</v>
      </c>
      <c r="C167" s="28">
        <v>85.196799999999996</v>
      </c>
      <c r="D167" s="28">
        <v>2.30226E-3</v>
      </c>
      <c r="E167">
        <f>CumOffset+fcoh*EXP(-2*GammaBar*C167+mutwo*C167^2+muthree*C167^3+mufour*C167^4)</f>
        <v>8.5190388621340389E+240</v>
      </c>
      <c r="F167">
        <f t="shared" si="9"/>
        <v>-8.5190388621340389E+240</v>
      </c>
      <c r="G167" t="e">
        <f t="shared" si="10"/>
        <v>#NUM!</v>
      </c>
    </row>
    <row r="168" spans="1:7">
      <c r="A168">
        <v>158</v>
      </c>
      <c r="B168">
        <f t="shared" si="8"/>
        <v>9.1750399999999996E-2</v>
      </c>
      <c r="C168" s="28">
        <v>91.750399999999999</v>
      </c>
      <c r="D168" s="28">
        <v>1.1873903333333333E-3</v>
      </c>
      <c r="E168">
        <f>CumOffset+fcoh*EXP(-2*GammaBar*C168+mutwo*C168^2+muthree*C168^3+mufour*C168^4)</f>
        <v>3.9864110190307023E+285</v>
      </c>
      <c r="F168">
        <f t="shared" si="9"/>
        <v>-3.9864110190307023E+285</v>
      </c>
      <c r="G168" t="e">
        <f t="shared" si="10"/>
        <v>#NUM!</v>
      </c>
    </row>
    <row r="169" spans="1:7">
      <c r="A169">
        <v>159</v>
      </c>
      <c r="B169">
        <f t="shared" si="8"/>
        <v>9.8304000000000002E-2</v>
      </c>
      <c r="C169" s="28">
        <v>98.304000000000002</v>
      </c>
      <c r="D169" s="28">
        <v>1.9834033333333335E-3</v>
      </c>
      <c r="E169" t="e">
        <f>CumOffset+fcoh*EXP(-2*GammaBar*C169+mutwo*C169^2+muthree*C169^3+mufour*C169^4)</f>
        <v>#NUM!</v>
      </c>
      <c r="F169" t="e">
        <f t="shared" si="9"/>
        <v>#NUM!</v>
      </c>
      <c r="G169" t="e">
        <f t="shared" si="10"/>
        <v>#NUM!</v>
      </c>
    </row>
    <row r="170" spans="1:7">
      <c r="A170">
        <v>160</v>
      </c>
      <c r="B170">
        <f t="shared" si="8"/>
        <v>0.10485800000000001</v>
      </c>
      <c r="C170" s="28">
        <v>104.858</v>
      </c>
      <c r="D170" s="28">
        <v>2.5012466666666667E-3</v>
      </c>
      <c r="E170" t="e">
        <f>CumOffset+fcoh*EXP(-2*GammaBar*C170+mutwo*C170^2+muthree*C170^3+mufour*C170^4)</f>
        <v>#NUM!</v>
      </c>
      <c r="F170" t="e">
        <f t="shared" si="9"/>
        <v>#NUM!</v>
      </c>
      <c r="G170" t="e">
        <f t="shared" si="10"/>
        <v>#NUM!</v>
      </c>
    </row>
    <row r="171" spans="1:7">
      <c r="A171">
        <v>161</v>
      </c>
      <c r="B171">
        <f t="shared" si="8"/>
        <v>0.117965</v>
      </c>
      <c r="C171" s="28">
        <v>117.965</v>
      </c>
      <c r="D171" s="28">
        <v>1.0871526666666666E-3</v>
      </c>
      <c r="E171" t="e">
        <f>CumOffset+fcoh*EXP(-2*GammaBar*C171+mutwo*C171^2+muthree*C171^3+mufour*C171^4)</f>
        <v>#NUM!</v>
      </c>
      <c r="F171" t="e">
        <f t="shared" si="9"/>
        <v>#NUM!</v>
      </c>
      <c r="G171" t="e">
        <f t="shared" si="10"/>
        <v>#NUM!</v>
      </c>
    </row>
    <row r="172" spans="1:7">
      <c r="A172">
        <v>162</v>
      </c>
      <c r="B172">
        <f t="shared" si="8"/>
        <v>0.13107199999999999</v>
      </c>
      <c r="C172" s="28">
        <v>131.072</v>
      </c>
      <c r="D172" s="28">
        <v>6.635929666666667E-4</v>
      </c>
      <c r="E172" t="e">
        <f>CumOffset+fcoh*EXP(-2*GammaBar*C172+mutwo*C172^2+muthree*C172^3+mufour*C172^4)</f>
        <v>#NUM!</v>
      </c>
      <c r="F172" t="e">
        <f t="shared" si="9"/>
        <v>#NUM!</v>
      </c>
      <c r="G172" t="e">
        <f t="shared" si="10"/>
        <v>#NUM!</v>
      </c>
    </row>
    <row r="173" spans="1:7">
      <c r="A173">
        <v>163</v>
      </c>
      <c r="B173">
        <f t="shared" si="8"/>
        <v>0.144179</v>
      </c>
      <c r="C173" s="28">
        <v>144.179</v>
      </c>
      <c r="D173" s="28">
        <v>1.5630490000000002E-3</v>
      </c>
      <c r="E173" t="e">
        <f>CumOffset+fcoh*EXP(-2*GammaBar*C173+mutwo*C173^2+muthree*C173^3+mufour*C173^4)</f>
        <v>#NUM!</v>
      </c>
      <c r="F173" t="e">
        <f t="shared" si="9"/>
        <v>#NUM!</v>
      </c>
      <c r="G173" t="e">
        <f t="shared" si="10"/>
        <v>#NUM!</v>
      </c>
    </row>
    <row r="174" spans="1:7">
      <c r="A174">
        <v>164</v>
      </c>
      <c r="B174">
        <f t="shared" si="8"/>
        <v>0.15728600000000001</v>
      </c>
      <c r="C174" s="28">
        <v>157.286</v>
      </c>
      <c r="D174" s="28">
        <v>1.625542E-3</v>
      </c>
      <c r="E174" t="e">
        <f>CumOffset+fcoh*EXP(-2*GammaBar*C174+mutwo*C174^2+muthree*C174^3+mufour*C174^4)</f>
        <v>#NUM!</v>
      </c>
      <c r="F174" t="e">
        <f t="shared" si="9"/>
        <v>#NUM!</v>
      </c>
      <c r="G174" t="e">
        <f t="shared" si="10"/>
        <v>#NUM!</v>
      </c>
    </row>
    <row r="175" spans="1:7">
      <c r="A175">
        <v>165</v>
      </c>
      <c r="B175">
        <f t="shared" si="8"/>
        <v>0.17039400000000002</v>
      </c>
      <c r="C175" s="28">
        <v>170.39400000000001</v>
      </c>
      <c r="D175" s="28">
        <v>-1.68502E-3</v>
      </c>
      <c r="E175" t="e">
        <f>CumOffset+fcoh*EXP(-2*GammaBar*C175+mutwo*C175^2+muthree*C175^3+mufour*C175^4)</f>
        <v>#NUM!</v>
      </c>
      <c r="F175" t="e">
        <f t="shared" si="9"/>
        <v>#NUM!</v>
      </c>
      <c r="G175" t="e">
        <f t="shared" si="10"/>
        <v>#NUM!</v>
      </c>
    </row>
    <row r="176" spans="1:7">
      <c r="A176">
        <v>166</v>
      </c>
      <c r="B176">
        <f t="shared" si="8"/>
        <v>0.183501</v>
      </c>
      <c r="C176" s="28">
        <v>183.501</v>
      </c>
      <c r="D176" s="28">
        <v>-6.8448529999999997E-4</v>
      </c>
      <c r="E176" t="e">
        <f>CumOffset+fcoh*EXP(-2*GammaBar*C176+mutwo*C176^2+muthree*C176^3+mufour*C176^4)</f>
        <v>#NUM!</v>
      </c>
      <c r="F176" t="e">
        <f t="shared" si="9"/>
        <v>#NUM!</v>
      </c>
      <c r="G176" t="e">
        <f t="shared" si="10"/>
        <v>#NUM!</v>
      </c>
    </row>
    <row r="177" spans="1:7">
      <c r="A177">
        <v>167</v>
      </c>
      <c r="B177">
        <f t="shared" si="8"/>
        <v>0.196608</v>
      </c>
      <c r="C177" s="28">
        <v>196.608</v>
      </c>
      <c r="D177" s="28">
        <v>7.1168733333333339E-4</v>
      </c>
      <c r="E177" t="e">
        <f>CumOffset+fcoh*EXP(-2*GammaBar*C177+mutwo*C177^2+muthree*C177^3+mufour*C177^4)</f>
        <v>#NUM!</v>
      </c>
      <c r="F177" t="e">
        <f t="shared" si="9"/>
        <v>#NUM!</v>
      </c>
      <c r="G177" t="e">
        <f t="shared" si="10"/>
        <v>#NUM!</v>
      </c>
    </row>
    <row r="178" spans="1:7">
      <c r="A178">
        <v>168</v>
      </c>
      <c r="B178">
        <f t="shared" si="8"/>
        <v>0.20971500000000001</v>
      </c>
      <c r="C178" s="28">
        <v>209.715</v>
      </c>
      <c r="D178" s="28">
        <v>4.393333333333263E-6</v>
      </c>
      <c r="E178" t="e">
        <f>CumOffset+fcoh*EXP(-2*GammaBar*C178+mutwo*C178^2+muthree*C178^3+mufour*C178^4)</f>
        <v>#NUM!</v>
      </c>
      <c r="F178" t="e">
        <f t="shared" si="9"/>
        <v>#NUM!</v>
      </c>
      <c r="G178" t="e">
        <f t="shared" si="10"/>
        <v>#NUM!</v>
      </c>
    </row>
    <row r="179" spans="1:7">
      <c r="A179">
        <v>169</v>
      </c>
      <c r="B179">
        <f t="shared" si="8"/>
        <v>0.23593</v>
      </c>
      <c r="C179" s="28">
        <v>235.93</v>
      </c>
      <c r="D179" s="28">
        <v>2.4313299999999995E-4</v>
      </c>
      <c r="E179" t="e">
        <f>CumOffset+fcoh*EXP(-2*GammaBar*C179+mutwo*C179^2+muthree*C179^3+mufour*C179^4)</f>
        <v>#NUM!</v>
      </c>
      <c r="F179" t="e">
        <f t="shared" si="9"/>
        <v>#NUM!</v>
      </c>
      <c r="G179" t="e">
        <f t="shared" si="10"/>
        <v>#NUM!</v>
      </c>
    </row>
    <row r="180" spans="1:7">
      <c r="A180">
        <v>170</v>
      </c>
      <c r="B180">
        <f t="shared" si="8"/>
        <v>0.26214399999999999</v>
      </c>
      <c r="C180" s="28">
        <v>262.14400000000001</v>
      </c>
      <c r="D180" s="28">
        <v>-5.6312333333333328E-4</v>
      </c>
      <c r="E180" t="e">
        <f>CumOffset+fcoh*EXP(-2*GammaBar*C180+mutwo*C180^2+muthree*C180^3+mufour*C180^4)</f>
        <v>#NUM!</v>
      </c>
      <c r="F180" t="e">
        <f t="shared" si="9"/>
        <v>#NUM!</v>
      </c>
      <c r="G180" t="e">
        <f t="shared" si="10"/>
        <v>#NUM!</v>
      </c>
    </row>
    <row r="181" spans="1:7">
      <c r="A181">
        <v>171</v>
      </c>
      <c r="B181">
        <f t="shared" si="8"/>
        <v>0.288358</v>
      </c>
      <c r="C181" s="28">
        <v>288.358</v>
      </c>
      <c r="D181" s="28">
        <v>1.5468066666666667E-3</v>
      </c>
      <c r="E181" t="e">
        <f>CumOffset+fcoh*EXP(-2*GammaBar*C181+mutwo*C181^2+muthree*C181^3+mufour*C181^4)</f>
        <v>#NUM!</v>
      </c>
      <c r="F181" t="e">
        <f t="shared" si="9"/>
        <v>#NUM!</v>
      </c>
      <c r="G181" t="e">
        <f t="shared" si="10"/>
        <v>#NUM!</v>
      </c>
    </row>
    <row r="182" spans="1:7">
      <c r="A182">
        <v>172</v>
      </c>
      <c r="B182">
        <f t="shared" si="8"/>
        <v>0.31457299999999999</v>
      </c>
      <c r="C182" s="28">
        <v>314.57299999999998</v>
      </c>
      <c r="D182" s="28">
        <v>-1.2673333333333313E-5</v>
      </c>
      <c r="E182" t="e">
        <f>CumOffset+fcoh*EXP(-2*GammaBar*C182+mutwo*C182^2+muthree*C182^3+mufour*C182^4)</f>
        <v>#NUM!</v>
      </c>
      <c r="F182" t="e">
        <f t="shared" si="9"/>
        <v>#NUM!</v>
      </c>
      <c r="G182" t="e">
        <f t="shared" si="10"/>
        <v>#NUM!</v>
      </c>
    </row>
    <row r="183" spans="1:7">
      <c r="A183">
        <v>173</v>
      </c>
      <c r="B183">
        <f t="shared" si="8"/>
        <v>0.34078699999999995</v>
      </c>
      <c r="C183" s="28">
        <v>340.78699999999998</v>
      </c>
      <c r="D183" s="28">
        <v>-1.2215476666666667E-3</v>
      </c>
      <c r="E183" t="e">
        <f>CumOffset+fcoh*EXP(-2*GammaBar*C183+mutwo*C183^2+muthree*C183^3+mufour*C183^4)</f>
        <v>#NUM!</v>
      </c>
      <c r="F183" t="e">
        <f t="shared" si="9"/>
        <v>#NUM!</v>
      </c>
      <c r="G183" t="e">
        <f t="shared" si="10"/>
        <v>#NUM!</v>
      </c>
    </row>
    <row r="184" spans="1:7">
      <c r="A184">
        <v>174</v>
      </c>
      <c r="B184">
        <f t="shared" si="8"/>
        <v>0.36700199999999999</v>
      </c>
      <c r="C184" s="28">
        <v>367.00200000000001</v>
      </c>
      <c r="D184" s="28">
        <v>-3.0513816666666668E-4</v>
      </c>
      <c r="E184" t="e">
        <f>CumOffset+fcoh*EXP(-2*GammaBar*C184+mutwo*C184^2+muthree*C184^3+mufour*C184^4)</f>
        <v>#NUM!</v>
      </c>
      <c r="F184" t="e">
        <f t="shared" si="9"/>
        <v>#NUM!</v>
      </c>
      <c r="G184" t="e">
        <f t="shared" si="10"/>
        <v>#NUM!</v>
      </c>
    </row>
    <row r="185" spans="1:7">
      <c r="A185">
        <v>175</v>
      </c>
      <c r="B185">
        <f t="shared" si="8"/>
        <v>0.39321600000000001</v>
      </c>
      <c r="C185" s="28">
        <v>393.21600000000001</v>
      </c>
      <c r="D185" s="28">
        <v>1.7080983333333331E-3</v>
      </c>
      <c r="E185" t="e">
        <f>CumOffset+fcoh*EXP(-2*GammaBar*C185+mutwo*C185^2+muthree*C185^3+mufour*C185^4)</f>
        <v>#NUM!</v>
      </c>
      <c r="F185" t="e">
        <f t="shared" si="9"/>
        <v>#NUM!</v>
      </c>
      <c r="G185" t="e">
        <f t="shared" si="10"/>
        <v>#NUM!</v>
      </c>
    </row>
    <row r="186" spans="1:7">
      <c r="A186">
        <v>176</v>
      </c>
      <c r="B186">
        <f t="shared" si="8"/>
        <v>0.41943000000000003</v>
      </c>
      <c r="C186" s="28">
        <v>419.43</v>
      </c>
      <c r="D186" s="28">
        <v>6.0704300000000004E-4</v>
      </c>
      <c r="E186" t="e">
        <f>CumOffset+fcoh*EXP(-2*GammaBar*C186+mutwo*C186^2+muthree*C186^3+mufour*C186^4)</f>
        <v>#NUM!</v>
      </c>
      <c r="F186" t="e">
        <f t="shared" si="9"/>
        <v>#NUM!</v>
      </c>
      <c r="G186" t="e">
        <f t="shared" si="10"/>
        <v>#NUM!</v>
      </c>
    </row>
    <row r="187" spans="1:7">
      <c r="A187">
        <v>177</v>
      </c>
      <c r="B187">
        <f t="shared" si="8"/>
        <v>0.47185899999999997</v>
      </c>
      <c r="C187" s="28">
        <v>471.85899999999998</v>
      </c>
      <c r="D187" s="28">
        <v>-1.849106666666666E-4</v>
      </c>
      <c r="E187" t="e">
        <f>CumOffset+fcoh*EXP(-2*GammaBar*C187+mutwo*C187^2+muthree*C187^3+mufour*C187^4)</f>
        <v>#NUM!</v>
      </c>
      <c r="F187" t="e">
        <f t="shared" si="9"/>
        <v>#NUM!</v>
      </c>
      <c r="G187" t="e">
        <f t="shared" si="10"/>
        <v>#NUM!</v>
      </c>
    </row>
    <row r="188" spans="1:7">
      <c r="A188">
        <v>178</v>
      </c>
      <c r="B188">
        <f t="shared" si="8"/>
        <v>0.52428799999999998</v>
      </c>
      <c r="C188" s="28">
        <v>524.28800000000001</v>
      </c>
      <c r="D188" s="28">
        <v>1.0765833333333333E-3</v>
      </c>
      <c r="E188" t="e">
        <f>CumOffset+fcoh*EXP(-2*GammaBar*C188+mutwo*C188^2+muthree*C188^3+mufour*C188^4)</f>
        <v>#NUM!</v>
      </c>
      <c r="F188" t="e">
        <f t="shared" si="9"/>
        <v>#NUM!</v>
      </c>
      <c r="G188" t="e">
        <f t="shared" si="10"/>
        <v>#NUM!</v>
      </c>
    </row>
    <row r="189" spans="1:7">
      <c r="A189">
        <v>179</v>
      </c>
      <c r="B189">
        <f t="shared" si="8"/>
        <v>0.57671700000000004</v>
      </c>
      <c r="C189" s="28">
        <v>576.71699999999998</v>
      </c>
      <c r="D189" s="28">
        <v>3.8972250000000007E-4</v>
      </c>
      <c r="E189" t="e">
        <f>CumOffset+fcoh*EXP(-2*GammaBar*C189+mutwo*C189^2+muthree*C189^3+mufour*C189^4)</f>
        <v>#NUM!</v>
      </c>
      <c r="F189" t="e">
        <f t="shared" si="9"/>
        <v>#NUM!</v>
      </c>
      <c r="G189" t="e">
        <f t="shared" si="10"/>
        <v>#NUM!</v>
      </c>
    </row>
    <row r="190" spans="1:7">
      <c r="A190">
        <v>180</v>
      </c>
      <c r="B190">
        <f t="shared" si="8"/>
        <v>0.62914599999999998</v>
      </c>
      <c r="C190" s="28">
        <v>629.14599999999996</v>
      </c>
      <c r="D190" s="28">
        <v>-3.5170866666666664E-4</v>
      </c>
      <c r="E190" t="e">
        <f>CumOffset+fcoh*EXP(-2*GammaBar*C190+mutwo*C190^2+muthree*C190^3+mufour*C190^4)</f>
        <v>#NUM!</v>
      </c>
      <c r="F190" t="e">
        <f t="shared" si="9"/>
        <v>#NUM!</v>
      </c>
      <c r="G190" t="e">
        <f t="shared" si="10"/>
        <v>#NUM!</v>
      </c>
    </row>
    <row r="191" spans="1:7">
      <c r="A191">
        <v>181</v>
      </c>
      <c r="B191">
        <f t="shared" si="8"/>
        <v>0.6815739999999999</v>
      </c>
      <c r="C191" s="28">
        <v>681.57399999999996</v>
      </c>
      <c r="D191" s="28">
        <v>1.4864366666666668E-3</v>
      </c>
      <c r="E191" t="e">
        <f>CumOffset+fcoh*EXP(-2*GammaBar*C191+mutwo*C191^2+muthree*C191^3+mufour*C191^4)</f>
        <v>#NUM!</v>
      </c>
      <c r="F191" t="e">
        <f t="shared" si="9"/>
        <v>#NUM!</v>
      </c>
      <c r="G191" t="e">
        <f t="shared" si="10"/>
        <v>#NUM!</v>
      </c>
    </row>
    <row r="192" spans="1:7">
      <c r="A192">
        <v>182</v>
      </c>
      <c r="B192">
        <f t="shared" si="8"/>
        <v>0.73400300000000007</v>
      </c>
      <c r="C192" s="28">
        <v>734.00300000000004</v>
      </c>
      <c r="D192" s="28">
        <v>9.2619066666666666E-4</v>
      </c>
      <c r="E192" t="e">
        <f>CumOffset+fcoh*EXP(-2*GammaBar*C192+mutwo*C192^2+muthree*C192^3+mufour*C192^4)</f>
        <v>#NUM!</v>
      </c>
      <c r="F192" t="e">
        <f t="shared" si="9"/>
        <v>#NUM!</v>
      </c>
      <c r="G192" t="e">
        <f t="shared" si="10"/>
        <v>#NUM!</v>
      </c>
    </row>
    <row r="193" spans="1:7">
      <c r="A193">
        <v>183</v>
      </c>
      <c r="B193">
        <f t="shared" si="8"/>
        <v>0.78643200000000002</v>
      </c>
      <c r="C193" s="28">
        <v>786.43200000000002</v>
      </c>
      <c r="D193" s="28">
        <v>-1.0729916666666667E-3</v>
      </c>
      <c r="E193" t="e">
        <f>CumOffset+fcoh*EXP(-2*GammaBar*C193+mutwo*C193^2+muthree*C193^3+mufour*C193^4)</f>
        <v>#NUM!</v>
      </c>
      <c r="F193" t="e">
        <f t="shared" si="9"/>
        <v>#NUM!</v>
      </c>
      <c r="G193" t="e">
        <f t="shared" si="10"/>
        <v>#NUM!</v>
      </c>
    </row>
    <row r="194" spans="1:7">
      <c r="A194">
        <v>184</v>
      </c>
      <c r="B194">
        <f t="shared" si="8"/>
        <v>0.83886099999999997</v>
      </c>
      <c r="C194" s="28">
        <v>838.86099999999999</v>
      </c>
      <c r="D194" s="28">
        <v>-7.6109099999999987E-4</v>
      </c>
      <c r="E194" t="e">
        <f>CumOffset+fcoh*EXP(-2*GammaBar*C194+mutwo*C194^2+muthree*C194^3+mufour*C194^4)</f>
        <v>#NUM!</v>
      </c>
      <c r="F194" t="e">
        <f t="shared" si="9"/>
        <v>#NUM!</v>
      </c>
      <c r="G194" t="e">
        <f t="shared" si="10"/>
        <v>#NUM!</v>
      </c>
    </row>
    <row r="195" spans="1:7">
      <c r="A195">
        <v>185</v>
      </c>
      <c r="B195">
        <f t="shared" si="8"/>
        <v>0.94371799999999995</v>
      </c>
      <c r="C195" s="28">
        <v>943.71799999999996</v>
      </c>
      <c r="D195" s="28">
        <v>-4.3556733333333331E-4</v>
      </c>
      <c r="E195" t="e">
        <f>CumOffset+fcoh*EXP(-2*GammaBar*C195+mutwo*C195^2+muthree*C195^3+mufour*C195^4)</f>
        <v>#NUM!</v>
      </c>
      <c r="F195" t="e">
        <f t="shared" si="9"/>
        <v>#NUM!</v>
      </c>
      <c r="G195" t="e">
        <f t="shared" si="10"/>
        <v>#NUM!</v>
      </c>
    </row>
    <row r="196" spans="1:7">
      <c r="A196">
        <v>186</v>
      </c>
      <c r="B196">
        <f t="shared" si="8"/>
        <v>1.0485799999999998</v>
      </c>
      <c r="C196" s="28">
        <v>1048.58</v>
      </c>
      <c r="D196" s="28">
        <v>-1.217868E-3</v>
      </c>
      <c r="E196" t="e">
        <f>CumOffset+fcoh*EXP(-2*GammaBar*C196+mutwo*C196^2+muthree*C196^3+mufour*C196^4)</f>
        <v>#NUM!</v>
      </c>
      <c r="F196" t="e">
        <f t="shared" si="9"/>
        <v>#NUM!</v>
      </c>
      <c r="G196" t="e">
        <f t="shared" si="10"/>
        <v>#NUM!</v>
      </c>
    </row>
    <row r="197" spans="1:7">
      <c r="A197">
        <v>187</v>
      </c>
      <c r="B197">
        <f t="shared" si="8"/>
        <v>1.15343</v>
      </c>
      <c r="C197" s="28">
        <v>1153.43</v>
      </c>
      <c r="D197" s="28">
        <v>-1.5896366666666665E-3</v>
      </c>
      <c r="E197" t="e">
        <f>CumOffset+fcoh*EXP(-2*GammaBar*C197+mutwo*C197^2+muthree*C197^3+mufour*C197^4)</f>
        <v>#NUM!</v>
      </c>
      <c r="F197" t="e">
        <f t="shared" si="9"/>
        <v>#NUM!</v>
      </c>
      <c r="G197" t="e">
        <f t="shared" si="10"/>
        <v>#NUM!</v>
      </c>
    </row>
    <row r="198" spans="1:7">
      <c r="A198">
        <v>188</v>
      </c>
      <c r="B198">
        <f t="shared" si="8"/>
        <v>1.2582899999999999</v>
      </c>
      <c r="C198" s="28">
        <v>1258.29</v>
      </c>
      <c r="D198" s="28">
        <v>-5.7649866666666669E-4</v>
      </c>
      <c r="E198" t="e">
        <f>CumOffset+fcoh*EXP(-2*GammaBar*C198+mutwo*C198^2+muthree*C198^3+mufour*C198^4)</f>
        <v>#NUM!</v>
      </c>
      <c r="F198" t="e">
        <f t="shared" si="9"/>
        <v>#NUM!</v>
      </c>
      <c r="G198" t="e">
        <f t="shared" si="10"/>
        <v>#NUM!</v>
      </c>
    </row>
    <row r="199" spans="1:7">
      <c r="A199">
        <v>189</v>
      </c>
      <c r="B199">
        <f t="shared" si="8"/>
        <v>1.3631500000000001</v>
      </c>
      <c r="C199" s="28">
        <v>1363.15</v>
      </c>
      <c r="D199" s="28">
        <v>-8.7190533333333323E-4</v>
      </c>
      <c r="E199" t="e">
        <f>CumOffset+fcoh*EXP(-2*GammaBar*C199+mutwo*C199^2+muthree*C199^3+mufour*C199^4)</f>
        <v>#NUM!</v>
      </c>
      <c r="F199" t="e">
        <f t="shared" si="9"/>
        <v>#NUM!</v>
      </c>
      <c r="G199" t="e">
        <f t="shared" si="10"/>
        <v>#NUM!</v>
      </c>
    </row>
    <row r="200" spans="1:7">
      <c r="A200">
        <v>190</v>
      </c>
      <c r="B200">
        <f t="shared" si="8"/>
        <v>1.46801</v>
      </c>
      <c r="C200" s="28">
        <v>1468.01</v>
      </c>
      <c r="D200" s="28">
        <v>-1.4200480000000001E-3</v>
      </c>
      <c r="E200" t="e">
        <f>CumOffset+fcoh*EXP(-2*GammaBar*C200+mutwo*C200^2+muthree*C200^3+mufour*C200^4)</f>
        <v>#NUM!</v>
      </c>
      <c r="F200" t="e">
        <f t="shared" si="9"/>
        <v>#NUM!</v>
      </c>
      <c r="G200" t="e">
        <f t="shared" si="10"/>
        <v>#NUM!</v>
      </c>
    </row>
    <row r="201" spans="1:7">
      <c r="A201">
        <v>191</v>
      </c>
      <c r="B201">
        <f t="shared" si="8"/>
        <v>1.5728599999999999</v>
      </c>
      <c r="C201" s="28">
        <v>1572.86</v>
      </c>
      <c r="D201" s="28">
        <v>-2.7931070000000003E-4</v>
      </c>
      <c r="E201" t="e">
        <f>CumOffset+fcoh*EXP(-2*GammaBar*C201+mutwo*C201^2+muthree*C201^3+mufour*C201^4)</f>
        <v>#NUM!</v>
      </c>
      <c r="F201" t="e">
        <f t="shared" si="9"/>
        <v>#NUM!</v>
      </c>
      <c r="G201" t="e">
        <f t="shared" si="10"/>
        <v>#NUM!</v>
      </c>
    </row>
    <row r="202" spans="1:7">
      <c r="A202">
        <v>192</v>
      </c>
      <c r="B202">
        <f t="shared" si="8"/>
        <v>0</v>
      </c>
      <c r="C202" s="28"/>
      <c r="D202" s="28"/>
      <c r="E202">
        <f>CumOffset+fcoh*EXP(-2*GammaBar*C202+mutwo*C202^2+muthree*C202^3+mufour*C202^4)</f>
        <v>0.5</v>
      </c>
      <c r="F202">
        <f t="shared" si="9"/>
        <v>-0.5</v>
      </c>
      <c r="G202">
        <f t="shared" si="10"/>
        <v>0.25</v>
      </c>
    </row>
    <row r="203" spans="1:7">
      <c r="A203">
        <v>193</v>
      </c>
      <c r="B203">
        <f t="shared" si="8"/>
        <v>0</v>
      </c>
      <c r="C203" s="28"/>
      <c r="D203" s="28"/>
      <c r="E203">
        <f>CumOffset+fcoh*EXP(-2*GammaBar*C203+mutwo*C203^2+muthree*C203^3+mufour*C203^4)</f>
        <v>0.5</v>
      </c>
      <c r="F203">
        <f t="shared" si="9"/>
        <v>-0.5</v>
      </c>
      <c r="G203">
        <f t="shared" si="10"/>
        <v>0.25</v>
      </c>
    </row>
    <row r="204" spans="1:7">
      <c r="A204">
        <v>194</v>
      </c>
      <c r="B204">
        <f t="shared" ref="B204:B267" si="11">C204/1000</f>
        <v>0</v>
      </c>
      <c r="C204" s="28"/>
      <c r="D204" s="28"/>
      <c r="E204">
        <f>CumOffset+fcoh*EXP(-2*GammaBar*C204+mutwo*C204^2+muthree*C204^3+mufour*C204^4)</f>
        <v>0.5</v>
      </c>
      <c r="F204">
        <f t="shared" ref="F204:F267" si="12">D204-E204</f>
        <v>-0.5</v>
      </c>
      <c r="G204">
        <f t="shared" ref="G204:G267" si="13">F204*F204</f>
        <v>0.25</v>
      </c>
    </row>
    <row r="205" spans="1:7">
      <c r="A205">
        <v>195</v>
      </c>
      <c r="B205">
        <f t="shared" si="11"/>
        <v>0</v>
      </c>
      <c r="C205" s="28"/>
      <c r="D205" s="28"/>
      <c r="E205">
        <f>CumOffset+fcoh*EXP(-2*GammaBar*C205+mutwo*C205^2+muthree*C205^3+mufour*C205^4)</f>
        <v>0.5</v>
      </c>
      <c r="F205">
        <f t="shared" si="12"/>
        <v>-0.5</v>
      </c>
      <c r="G205">
        <f t="shared" si="13"/>
        <v>0.25</v>
      </c>
    </row>
    <row r="206" spans="1:7">
      <c r="A206">
        <v>196</v>
      </c>
      <c r="B206">
        <f t="shared" si="11"/>
        <v>0</v>
      </c>
      <c r="C206" s="28"/>
      <c r="D206" s="28"/>
      <c r="E206">
        <f>CumOffset+fcoh*EXP(-2*GammaBar*C206+mutwo*C206^2+muthree*C206^3+mufour*C206^4)</f>
        <v>0.5</v>
      </c>
      <c r="F206">
        <f t="shared" si="12"/>
        <v>-0.5</v>
      </c>
      <c r="G206">
        <f t="shared" si="13"/>
        <v>0.25</v>
      </c>
    </row>
    <row r="207" spans="1:7">
      <c r="A207">
        <v>197</v>
      </c>
      <c r="B207">
        <f t="shared" si="11"/>
        <v>0</v>
      </c>
      <c r="C207" s="28"/>
      <c r="D207" s="28"/>
      <c r="E207">
        <f>CumOffset+fcoh*EXP(-2*GammaBar*C207+mutwo*C207^2+muthree*C207^3+mufour*C207^4)</f>
        <v>0.5</v>
      </c>
      <c r="F207">
        <f t="shared" si="12"/>
        <v>-0.5</v>
      </c>
      <c r="G207">
        <f t="shared" si="13"/>
        <v>0.25</v>
      </c>
    </row>
    <row r="208" spans="1:7">
      <c r="A208">
        <v>198</v>
      </c>
      <c r="B208">
        <f t="shared" si="11"/>
        <v>0</v>
      </c>
      <c r="C208" s="28"/>
      <c r="D208" s="28"/>
      <c r="E208">
        <f>CumOffset+fcoh*EXP(-2*GammaBar*C208+mutwo*C208^2+muthree*C208^3+mufour*C208^4)</f>
        <v>0.5</v>
      </c>
      <c r="F208">
        <f t="shared" si="12"/>
        <v>-0.5</v>
      </c>
      <c r="G208">
        <f t="shared" si="13"/>
        <v>0.25</v>
      </c>
    </row>
    <row r="209" spans="1:7">
      <c r="A209">
        <v>199</v>
      </c>
      <c r="B209">
        <f t="shared" si="11"/>
        <v>0</v>
      </c>
      <c r="C209" s="28"/>
      <c r="D209" s="28"/>
      <c r="E209">
        <f>CumOffset+fcoh*EXP(-2*GammaBar*C209+mutwo*C209^2+muthree*C209^3+mufour*C209^4)</f>
        <v>0.5</v>
      </c>
      <c r="F209">
        <f t="shared" si="12"/>
        <v>-0.5</v>
      </c>
      <c r="G209">
        <f t="shared" si="13"/>
        <v>0.25</v>
      </c>
    </row>
    <row r="210" spans="1:7">
      <c r="A210">
        <v>200</v>
      </c>
      <c r="B210">
        <f t="shared" si="11"/>
        <v>0</v>
      </c>
      <c r="C210" s="28"/>
      <c r="D210" s="28"/>
      <c r="E210">
        <f>CumOffset+fcoh*EXP(-2*GammaBar*C210+mutwo*C210^2+muthree*C210^3+mufour*C210^4)</f>
        <v>0.5</v>
      </c>
      <c r="F210">
        <f t="shared" si="12"/>
        <v>-0.5</v>
      </c>
      <c r="G210">
        <f t="shared" si="13"/>
        <v>0.25</v>
      </c>
    </row>
    <row r="211" spans="1:7">
      <c r="A211">
        <v>201</v>
      </c>
      <c r="B211">
        <f t="shared" si="11"/>
        <v>0</v>
      </c>
      <c r="C211" s="28"/>
      <c r="D211" s="28"/>
      <c r="E211">
        <f>CumOffset+fcoh*EXP(-2*GammaBar*C211+mutwo*C211^2+muthree*C211^3+mufour*C211^4)</f>
        <v>0.5</v>
      </c>
      <c r="F211">
        <f t="shared" si="12"/>
        <v>-0.5</v>
      </c>
      <c r="G211">
        <f t="shared" si="13"/>
        <v>0.25</v>
      </c>
    </row>
    <row r="212" spans="1:7">
      <c r="A212">
        <v>202</v>
      </c>
      <c r="B212">
        <f t="shared" si="11"/>
        <v>0</v>
      </c>
      <c r="C212" s="28"/>
      <c r="D212" s="28"/>
      <c r="E212">
        <f>CumOffset+fcoh*EXP(-2*GammaBar*C212+mutwo*C212^2+muthree*C212^3+mufour*C212^4)</f>
        <v>0.5</v>
      </c>
      <c r="F212">
        <f t="shared" si="12"/>
        <v>-0.5</v>
      </c>
      <c r="G212">
        <f t="shared" si="13"/>
        <v>0.25</v>
      </c>
    </row>
    <row r="213" spans="1:7">
      <c r="A213">
        <v>203</v>
      </c>
      <c r="B213">
        <f t="shared" si="11"/>
        <v>0</v>
      </c>
      <c r="C213" s="28"/>
      <c r="D213" s="28"/>
      <c r="E213">
        <f>CumOffset+fcoh*EXP(-2*GammaBar*C213+mutwo*C213^2+muthree*C213^3+mufour*C213^4)</f>
        <v>0.5</v>
      </c>
      <c r="F213">
        <f t="shared" si="12"/>
        <v>-0.5</v>
      </c>
      <c r="G213">
        <f t="shared" si="13"/>
        <v>0.25</v>
      </c>
    </row>
    <row r="214" spans="1:7">
      <c r="A214">
        <v>204</v>
      </c>
      <c r="B214">
        <f t="shared" si="11"/>
        <v>0</v>
      </c>
      <c r="C214" s="28"/>
      <c r="D214" s="28"/>
      <c r="E214">
        <f>CumOffset+fcoh*EXP(-2*GammaBar*C214+mutwo*C214^2+muthree*C214^3+mufour*C214^4)</f>
        <v>0.5</v>
      </c>
      <c r="F214">
        <f t="shared" si="12"/>
        <v>-0.5</v>
      </c>
      <c r="G214">
        <f t="shared" si="13"/>
        <v>0.25</v>
      </c>
    </row>
    <row r="215" spans="1:7">
      <c r="A215">
        <v>205</v>
      </c>
      <c r="B215">
        <f t="shared" si="11"/>
        <v>0</v>
      </c>
      <c r="C215" s="28"/>
      <c r="D215" s="28"/>
      <c r="E215">
        <f>CumOffset+fcoh*EXP(-2*GammaBar*C215+mutwo*C215^2+muthree*C215^3+mufour*C215^4)</f>
        <v>0.5</v>
      </c>
      <c r="F215">
        <f t="shared" si="12"/>
        <v>-0.5</v>
      </c>
      <c r="G215">
        <f t="shared" si="13"/>
        <v>0.25</v>
      </c>
    </row>
    <row r="216" spans="1:7">
      <c r="A216">
        <v>206</v>
      </c>
      <c r="B216">
        <f t="shared" si="11"/>
        <v>0</v>
      </c>
      <c r="C216" s="28"/>
      <c r="D216" s="28"/>
      <c r="E216">
        <f>CumOffset+fcoh*EXP(-2*GammaBar*C216+mutwo*C216^2+muthree*C216^3+mufour*C216^4)</f>
        <v>0.5</v>
      </c>
      <c r="F216">
        <f t="shared" si="12"/>
        <v>-0.5</v>
      </c>
      <c r="G216">
        <f t="shared" si="13"/>
        <v>0.25</v>
      </c>
    </row>
    <row r="217" spans="1:7">
      <c r="A217">
        <v>207</v>
      </c>
      <c r="B217">
        <f t="shared" si="11"/>
        <v>0</v>
      </c>
      <c r="C217" s="28"/>
      <c r="D217" s="28"/>
      <c r="E217">
        <f>CumOffset+fcoh*EXP(-2*GammaBar*C217+mutwo*C217^2+muthree*C217^3+mufour*C217^4)</f>
        <v>0.5</v>
      </c>
      <c r="F217">
        <f t="shared" si="12"/>
        <v>-0.5</v>
      </c>
      <c r="G217">
        <f t="shared" si="13"/>
        <v>0.25</v>
      </c>
    </row>
    <row r="218" spans="1:7">
      <c r="A218">
        <v>208</v>
      </c>
      <c r="B218">
        <f t="shared" si="11"/>
        <v>0</v>
      </c>
      <c r="C218" s="28"/>
      <c r="D218" s="28"/>
      <c r="E218">
        <f>CumOffset+fcoh*EXP(-2*GammaBar*C218+mutwo*C218^2+muthree*C218^3+mufour*C218^4)</f>
        <v>0.5</v>
      </c>
      <c r="F218">
        <f t="shared" si="12"/>
        <v>-0.5</v>
      </c>
      <c r="G218">
        <f t="shared" si="13"/>
        <v>0.25</v>
      </c>
    </row>
    <row r="219" spans="1:7">
      <c r="A219">
        <v>209</v>
      </c>
      <c r="B219">
        <f t="shared" si="11"/>
        <v>0</v>
      </c>
      <c r="C219" s="28"/>
      <c r="D219" s="28"/>
      <c r="E219">
        <f>CumOffset+fcoh*EXP(-2*GammaBar*C219+mutwo*C219^2+muthree*C219^3+mufour*C219^4)</f>
        <v>0.5</v>
      </c>
      <c r="F219">
        <f t="shared" si="12"/>
        <v>-0.5</v>
      </c>
      <c r="G219">
        <f t="shared" si="13"/>
        <v>0.25</v>
      </c>
    </row>
    <row r="220" spans="1:7">
      <c r="A220">
        <v>210</v>
      </c>
      <c r="B220">
        <f t="shared" si="11"/>
        <v>0</v>
      </c>
      <c r="C220" s="28"/>
      <c r="D220" s="28"/>
      <c r="E220">
        <f>CumOffset+fcoh*EXP(-2*GammaBar*C220+mutwo*C220^2+muthree*C220^3+mufour*C220^4)</f>
        <v>0.5</v>
      </c>
      <c r="F220">
        <f t="shared" si="12"/>
        <v>-0.5</v>
      </c>
      <c r="G220">
        <f t="shared" si="13"/>
        <v>0.25</v>
      </c>
    </row>
    <row r="221" spans="1:7">
      <c r="A221">
        <v>211</v>
      </c>
      <c r="B221">
        <f t="shared" si="11"/>
        <v>0</v>
      </c>
      <c r="C221" s="28"/>
      <c r="D221" s="28"/>
      <c r="E221">
        <f>CumOffset+fcoh*EXP(-2*GammaBar*C221+mutwo*C221^2+muthree*C221^3+mufour*C221^4)</f>
        <v>0.5</v>
      </c>
      <c r="F221">
        <f t="shared" si="12"/>
        <v>-0.5</v>
      </c>
      <c r="G221">
        <f t="shared" si="13"/>
        <v>0.25</v>
      </c>
    </row>
    <row r="222" spans="1:7">
      <c r="A222">
        <v>212</v>
      </c>
      <c r="B222">
        <f t="shared" si="11"/>
        <v>0</v>
      </c>
      <c r="C222" s="28"/>
      <c r="D222" s="28"/>
      <c r="E222">
        <f>CumOffset+fcoh*EXP(-2*GammaBar*C222+mutwo*C222^2+muthree*C222^3+mufour*C222^4)</f>
        <v>0.5</v>
      </c>
      <c r="F222">
        <f t="shared" si="12"/>
        <v>-0.5</v>
      </c>
      <c r="G222">
        <f t="shared" si="13"/>
        <v>0.25</v>
      </c>
    </row>
    <row r="223" spans="1:7">
      <c r="A223">
        <v>213</v>
      </c>
      <c r="B223">
        <f t="shared" si="11"/>
        <v>0</v>
      </c>
      <c r="C223" s="28"/>
      <c r="D223" s="28"/>
      <c r="E223">
        <f>CumOffset+fcoh*EXP(-2*GammaBar*C223+mutwo*C223^2+muthree*C223^3+mufour*C223^4)</f>
        <v>0.5</v>
      </c>
      <c r="F223">
        <f t="shared" si="12"/>
        <v>-0.5</v>
      </c>
      <c r="G223">
        <f t="shared" si="13"/>
        <v>0.25</v>
      </c>
    </row>
    <row r="224" spans="1:7">
      <c r="A224">
        <v>214</v>
      </c>
      <c r="B224">
        <f t="shared" si="11"/>
        <v>0</v>
      </c>
      <c r="C224" s="28"/>
      <c r="D224" s="28"/>
      <c r="E224">
        <f>CumOffset+fcoh*EXP(-2*GammaBar*C224+mutwo*C224^2+muthree*C224^3+mufour*C224^4)</f>
        <v>0.5</v>
      </c>
      <c r="F224">
        <f t="shared" si="12"/>
        <v>-0.5</v>
      </c>
      <c r="G224">
        <f t="shared" si="13"/>
        <v>0.25</v>
      </c>
    </row>
    <row r="225" spans="1:7">
      <c r="A225">
        <v>215</v>
      </c>
      <c r="B225">
        <f t="shared" si="11"/>
        <v>0</v>
      </c>
      <c r="C225" s="28"/>
      <c r="D225" s="28"/>
      <c r="E225">
        <f>CumOffset+fcoh*EXP(-2*GammaBar*C225+mutwo*C225^2+muthree*C225^3+mufour*C225^4)</f>
        <v>0.5</v>
      </c>
      <c r="F225">
        <f t="shared" si="12"/>
        <v>-0.5</v>
      </c>
      <c r="G225">
        <f t="shared" si="13"/>
        <v>0.25</v>
      </c>
    </row>
    <row r="226" spans="1:7">
      <c r="A226">
        <v>216</v>
      </c>
      <c r="B226">
        <f t="shared" si="11"/>
        <v>0</v>
      </c>
      <c r="C226" s="28"/>
      <c r="D226" s="28"/>
      <c r="E226">
        <f>CumOffset+fcoh*EXP(-2*GammaBar*C226+mutwo*C226^2+muthree*C226^3+mufour*C226^4)</f>
        <v>0.5</v>
      </c>
      <c r="F226">
        <f t="shared" si="12"/>
        <v>-0.5</v>
      </c>
      <c r="G226">
        <f t="shared" si="13"/>
        <v>0.25</v>
      </c>
    </row>
    <row r="227" spans="1:7">
      <c r="A227">
        <v>217</v>
      </c>
      <c r="B227">
        <f t="shared" si="11"/>
        <v>0</v>
      </c>
      <c r="C227" s="28"/>
      <c r="D227" s="28"/>
      <c r="E227">
        <f>CumOffset+fcoh*EXP(-2*GammaBar*C227+mutwo*C227^2+muthree*C227^3+mufour*C227^4)</f>
        <v>0.5</v>
      </c>
      <c r="F227">
        <f t="shared" si="12"/>
        <v>-0.5</v>
      </c>
      <c r="G227">
        <f t="shared" si="13"/>
        <v>0.25</v>
      </c>
    </row>
    <row r="228" spans="1:7">
      <c r="A228">
        <v>218</v>
      </c>
      <c r="B228">
        <f t="shared" si="11"/>
        <v>0</v>
      </c>
      <c r="C228" s="28"/>
      <c r="D228" s="28"/>
      <c r="E228">
        <f>CumOffset+fcoh*EXP(-2*GammaBar*C228+mutwo*C228^2+muthree*C228^3+mufour*C228^4)</f>
        <v>0.5</v>
      </c>
      <c r="F228">
        <f t="shared" si="12"/>
        <v>-0.5</v>
      </c>
      <c r="G228">
        <f t="shared" si="13"/>
        <v>0.25</v>
      </c>
    </row>
    <row r="229" spans="1:7">
      <c r="A229">
        <v>219</v>
      </c>
      <c r="B229">
        <f t="shared" si="11"/>
        <v>0</v>
      </c>
      <c r="C229" s="28"/>
      <c r="D229" s="28"/>
      <c r="E229">
        <f>CumOffset+fcoh*EXP(-2*GammaBar*C229+mutwo*C229^2+muthree*C229^3+mufour*C229^4)</f>
        <v>0.5</v>
      </c>
      <c r="F229">
        <f t="shared" si="12"/>
        <v>-0.5</v>
      </c>
      <c r="G229">
        <f t="shared" si="13"/>
        <v>0.25</v>
      </c>
    </row>
    <row r="230" spans="1:7">
      <c r="A230">
        <v>220</v>
      </c>
      <c r="B230">
        <f t="shared" si="11"/>
        <v>0</v>
      </c>
      <c r="C230" s="28"/>
      <c r="D230" s="28"/>
      <c r="E230">
        <f>CumOffset+fcoh*EXP(-2*GammaBar*C230+mutwo*C230^2+muthree*C230^3+mufour*C230^4)</f>
        <v>0.5</v>
      </c>
      <c r="F230">
        <f t="shared" si="12"/>
        <v>-0.5</v>
      </c>
      <c r="G230">
        <f t="shared" si="13"/>
        <v>0.25</v>
      </c>
    </row>
    <row r="231" spans="1:7">
      <c r="A231">
        <v>221</v>
      </c>
      <c r="B231">
        <f t="shared" si="11"/>
        <v>0</v>
      </c>
      <c r="C231" s="28"/>
      <c r="D231" s="28"/>
      <c r="E231">
        <f>CumOffset+fcoh*EXP(-2*GammaBar*C231+mutwo*C231^2+muthree*C231^3+mufour*C231^4)</f>
        <v>0.5</v>
      </c>
      <c r="F231">
        <f t="shared" si="12"/>
        <v>-0.5</v>
      </c>
      <c r="G231">
        <f t="shared" si="13"/>
        <v>0.25</v>
      </c>
    </row>
    <row r="232" spans="1:7">
      <c r="A232">
        <v>222</v>
      </c>
      <c r="B232">
        <f t="shared" si="11"/>
        <v>0</v>
      </c>
      <c r="C232" s="28"/>
      <c r="D232" s="28"/>
      <c r="E232">
        <f>CumOffset+fcoh*EXP(-2*GammaBar*C232+mutwo*C232^2+muthree*C232^3+mufour*C232^4)</f>
        <v>0.5</v>
      </c>
      <c r="F232">
        <f t="shared" si="12"/>
        <v>-0.5</v>
      </c>
      <c r="G232">
        <f t="shared" si="13"/>
        <v>0.25</v>
      </c>
    </row>
    <row r="233" spans="1:7">
      <c r="A233">
        <v>223</v>
      </c>
      <c r="B233">
        <f t="shared" si="11"/>
        <v>0</v>
      </c>
      <c r="C233" s="28"/>
      <c r="D233" s="28"/>
      <c r="E233">
        <f>CumOffset+fcoh*EXP(-2*GammaBar*C233+mutwo*C233^2+muthree*C233^3+mufour*C233^4)</f>
        <v>0.5</v>
      </c>
      <c r="F233">
        <f t="shared" si="12"/>
        <v>-0.5</v>
      </c>
      <c r="G233">
        <f t="shared" si="13"/>
        <v>0.25</v>
      </c>
    </row>
    <row r="234" spans="1:7">
      <c r="A234">
        <v>224</v>
      </c>
      <c r="B234">
        <f t="shared" si="11"/>
        <v>0</v>
      </c>
      <c r="C234" s="28"/>
      <c r="D234" s="28"/>
      <c r="E234">
        <f>CumOffset+fcoh*EXP(-2*GammaBar*C234+mutwo*C234^2+muthree*C234^3+mufour*C234^4)</f>
        <v>0.5</v>
      </c>
      <c r="F234">
        <f t="shared" si="12"/>
        <v>-0.5</v>
      </c>
      <c r="G234">
        <f t="shared" si="13"/>
        <v>0.25</v>
      </c>
    </row>
    <row r="235" spans="1:7">
      <c r="A235">
        <v>225</v>
      </c>
      <c r="B235">
        <f t="shared" si="11"/>
        <v>0</v>
      </c>
      <c r="C235" s="28"/>
      <c r="D235" s="28"/>
      <c r="E235">
        <f>CumOffset+fcoh*EXP(-2*GammaBar*C235+mutwo*C235^2+muthree*C235^3+mufour*C235^4)</f>
        <v>0.5</v>
      </c>
      <c r="F235">
        <f t="shared" si="12"/>
        <v>-0.5</v>
      </c>
      <c r="G235">
        <f t="shared" si="13"/>
        <v>0.25</v>
      </c>
    </row>
    <row r="236" spans="1:7">
      <c r="A236">
        <v>226</v>
      </c>
      <c r="B236">
        <f t="shared" si="11"/>
        <v>0</v>
      </c>
      <c r="C236" s="28"/>
      <c r="D236" s="28"/>
      <c r="E236">
        <f>CumOffset+fcoh*EXP(-2*GammaBar*C236+mutwo*C236^2+muthree*C236^3+mufour*C236^4)</f>
        <v>0.5</v>
      </c>
      <c r="F236">
        <f t="shared" si="12"/>
        <v>-0.5</v>
      </c>
      <c r="G236">
        <f t="shared" si="13"/>
        <v>0.25</v>
      </c>
    </row>
    <row r="237" spans="1:7">
      <c r="A237">
        <v>227</v>
      </c>
      <c r="B237">
        <f t="shared" si="11"/>
        <v>0</v>
      </c>
      <c r="C237" s="28"/>
      <c r="D237" s="28"/>
      <c r="E237">
        <f>CumOffset+fcoh*EXP(-2*GammaBar*C237+mutwo*C237^2+muthree*C237^3+mufour*C237^4)</f>
        <v>0.5</v>
      </c>
      <c r="F237">
        <f t="shared" si="12"/>
        <v>-0.5</v>
      </c>
      <c r="G237">
        <f t="shared" si="13"/>
        <v>0.25</v>
      </c>
    </row>
    <row r="238" spans="1:7">
      <c r="A238">
        <v>228</v>
      </c>
      <c r="B238">
        <f t="shared" si="11"/>
        <v>0</v>
      </c>
      <c r="C238" s="28"/>
      <c r="D238" s="28"/>
      <c r="E238">
        <f>CumOffset+fcoh*EXP(-2*GammaBar*C238+mutwo*C238^2+muthree*C238^3+mufour*C238^4)</f>
        <v>0.5</v>
      </c>
      <c r="F238">
        <f t="shared" si="12"/>
        <v>-0.5</v>
      </c>
      <c r="G238">
        <f t="shared" si="13"/>
        <v>0.25</v>
      </c>
    </row>
    <row r="239" spans="1:7">
      <c r="A239">
        <v>229</v>
      </c>
      <c r="B239">
        <f t="shared" si="11"/>
        <v>0</v>
      </c>
      <c r="C239" s="28"/>
      <c r="D239" s="28"/>
      <c r="E239">
        <f>CumOffset+fcoh*EXP(-2*GammaBar*C239+mutwo*C239^2+muthree*C239^3+mufour*C239^4)</f>
        <v>0.5</v>
      </c>
      <c r="F239">
        <f t="shared" si="12"/>
        <v>-0.5</v>
      </c>
      <c r="G239">
        <f t="shared" si="13"/>
        <v>0.25</v>
      </c>
    </row>
    <row r="240" spans="1:7">
      <c r="A240">
        <v>230</v>
      </c>
      <c r="B240">
        <f t="shared" si="11"/>
        <v>0</v>
      </c>
      <c r="C240" s="28"/>
      <c r="D240" s="28"/>
      <c r="E240">
        <f>CumOffset+fcoh*EXP(-2*GammaBar*C240+mutwo*C240^2+muthree*C240^3+mufour*C240^4)</f>
        <v>0.5</v>
      </c>
      <c r="F240">
        <f t="shared" si="12"/>
        <v>-0.5</v>
      </c>
      <c r="G240">
        <f t="shared" si="13"/>
        <v>0.25</v>
      </c>
    </row>
    <row r="241" spans="1:7">
      <c r="A241">
        <v>231</v>
      </c>
      <c r="B241">
        <f t="shared" si="11"/>
        <v>0</v>
      </c>
      <c r="C241" s="28"/>
      <c r="D241" s="28"/>
      <c r="E241">
        <f>CumOffset+fcoh*EXP(-2*GammaBar*C241+mutwo*C241^2+muthree*C241^3+mufour*C241^4)</f>
        <v>0.5</v>
      </c>
      <c r="F241">
        <f t="shared" si="12"/>
        <v>-0.5</v>
      </c>
      <c r="G241">
        <f t="shared" si="13"/>
        <v>0.25</v>
      </c>
    </row>
    <row r="242" spans="1:7">
      <c r="A242">
        <v>232</v>
      </c>
      <c r="B242">
        <f t="shared" si="11"/>
        <v>0</v>
      </c>
      <c r="C242" s="28"/>
      <c r="D242" s="28"/>
      <c r="E242">
        <f>CumOffset+fcoh*EXP(-2*GammaBar*C242+mutwo*C242^2+muthree*C242^3+mufour*C242^4)</f>
        <v>0.5</v>
      </c>
      <c r="F242">
        <f t="shared" si="12"/>
        <v>-0.5</v>
      </c>
      <c r="G242">
        <f t="shared" si="13"/>
        <v>0.25</v>
      </c>
    </row>
    <row r="243" spans="1:7">
      <c r="A243">
        <v>233</v>
      </c>
      <c r="B243">
        <f t="shared" si="11"/>
        <v>0</v>
      </c>
      <c r="C243" s="28"/>
      <c r="D243" s="28"/>
      <c r="E243">
        <f>CumOffset+fcoh*EXP(-2*GammaBar*C243+mutwo*C243^2+muthree*C243^3+mufour*C243^4)</f>
        <v>0.5</v>
      </c>
      <c r="F243">
        <f t="shared" si="12"/>
        <v>-0.5</v>
      </c>
      <c r="G243">
        <f t="shared" si="13"/>
        <v>0.25</v>
      </c>
    </row>
    <row r="244" spans="1:7">
      <c r="A244">
        <v>234</v>
      </c>
      <c r="B244">
        <f t="shared" si="11"/>
        <v>0</v>
      </c>
      <c r="C244" s="28"/>
      <c r="D244" s="28"/>
      <c r="E244">
        <f>CumOffset+fcoh*EXP(-2*GammaBar*C244+mutwo*C244^2+muthree*C244^3+mufour*C244^4)</f>
        <v>0.5</v>
      </c>
      <c r="F244">
        <f t="shared" si="12"/>
        <v>-0.5</v>
      </c>
      <c r="G244">
        <f t="shared" si="13"/>
        <v>0.25</v>
      </c>
    </row>
    <row r="245" spans="1:7">
      <c r="A245">
        <v>235</v>
      </c>
      <c r="B245">
        <f t="shared" si="11"/>
        <v>0</v>
      </c>
      <c r="C245" s="28"/>
      <c r="D245" s="28"/>
      <c r="E245">
        <f>CumOffset+fcoh*EXP(-2*GammaBar*C245+mutwo*C245^2+muthree*C245^3+mufour*C245^4)</f>
        <v>0.5</v>
      </c>
      <c r="F245">
        <f t="shared" si="12"/>
        <v>-0.5</v>
      </c>
      <c r="G245">
        <f t="shared" si="13"/>
        <v>0.25</v>
      </c>
    </row>
    <row r="246" spans="1:7">
      <c r="A246">
        <v>236</v>
      </c>
      <c r="B246">
        <f t="shared" si="11"/>
        <v>0</v>
      </c>
      <c r="C246" s="28"/>
      <c r="D246" s="28"/>
      <c r="E246">
        <f>CumOffset+fcoh*EXP(-2*GammaBar*C246+mutwo*C246^2+muthree*C246^3+mufour*C246^4)</f>
        <v>0.5</v>
      </c>
      <c r="F246">
        <f t="shared" si="12"/>
        <v>-0.5</v>
      </c>
      <c r="G246">
        <f t="shared" si="13"/>
        <v>0.25</v>
      </c>
    </row>
    <row r="247" spans="1:7">
      <c r="A247">
        <v>237</v>
      </c>
      <c r="B247">
        <f t="shared" si="11"/>
        <v>0</v>
      </c>
      <c r="C247" s="28"/>
      <c r="D247" s="28"/>
      <c r="E247">
        <f>CumOffset+fcoh*EXP(-2*GammaBar*C247+mutwo*C247^2+muthree*C247^3+mufour*C247^4)</f>
        <v>0.5</v>
      </c>
      <c r="F247">
        <f t="shared" si="12"/>
        <v>-0.5</v>
      </c>
      <c r="G247">
        <f t="shared" si="13"/>
        <v>0.25</v>
      </c>
    </row>
    <row r="248" spans="1:7">
      <c r="A248">
        <v>238</v>
      </c>
      <c r="B248">
        <f t="shared" si="11"/>
        <v>0</v>
      </c>
      <c r="C248" s="28"/>
      <c r="D248" s="28"/>
      <c r="E248">
        <f>CumOffset+fcoh*EXP(-2*GammaBar*C248+mutwo*C248^2+muthree*C248^3+mufour*C248^4)</f>
        <v>0.5</v>
      </c>
      <c r="F248">
        <f t="shared" si="12"/>
        <v>-0.5</v>
      </c>
      <c r="G248">
        <f t="shared" si="13"/>
        <v>0.25</v>
      </c>
    </row>
    <row r="249" spans="1:7">
      <c r="A249">
        <v>239</v>
      </c>
      <c r="B249">
        <f t="shared" si="11"/>
        <v>0</v>
      </c>
      <c r="C249" s="28"/>
      <c r="D249" s="28"/>
      <c r="E249">
        <f>CumOffset+fcoh*EXP(-2*GammaBar*C249+mutwo*C249^2+muthree*C249^3+mufour*C249^4)</f>
        <v>0.5</v>
      </c>
      <c r="F249">
        <f t="shared" si="12"/>
        <v>-0.5</v>
      </c>
      <c r="G249">
        <f t="shared" si="13"/>
        <v>0.25</v>
      </c>
    </row>
    <row r="250" spans="1:7">
      <c r="A250">
        <v>240</v>
      </c>
      <c r="B250">
        <f t="shared" si="11"/>
        <v>0</v>
      </c>
      <c r="C250" s="28"/>
      <c r="D250" s="28"/>
      <c r="E250">
        <f>CumOffset+fcoh*EXP(-2*GammaBar*C250+mutwo*C250^2+muthree*C250^3+mufour*C250^4)</f>
        <v>0.5</v>
      </c>
      <c r="F250">
        <f t="shared" si="12"/>
        <v>-0.5</v>
      </c>
      <c r="G250">
        <f t="shared" si="13"/>
        <v>0.25</v>
      </c>
    </row>
    <row r="251" spans="1:7">
      <c r="A251">
        <v>241</v>
      </c>
      <c r="B251">
        <f t="shared" si="11"/>
        <v>0</v>
      </c>
      <c r="C251" s="28"/>
      <c r="D251" s="28"/>
      <c r="E251">
        <f>CumOffset+fcoh*EXP(-2*GammaBar*C251+mutwo*C251^2+muthree*C251^3+mufour*C251^4)</f>
        <v>0.5</v>
      </c>
      <c r="F251">
        <f t="shared" si="12"/>
        <v>-0.5</v>
      </c>
      <c r="G251">
        <f t="shared" si="13"/>
        <v>0.25</v>
      </c>
    </row>
    <row r="252" spans="1:7">
      <c r="A252">
        <v>242</v>
      </c>
      <c r="B252">
        <f t="shared" si="11"/>
        <v>0</v>
      </c>
      <c r="C252" s="28"/>
      <c r="D252" s="28"/>
      <c r="E252">
        <f>CumOffset+fcoh*EXP(-2*GammaBar*C252+mutwo*C252^2+muthree*C252^3+mufour*C252^4)</f>
        <v>0.5</v>
      </c>
      <c r="F252">
        <f t="shared" si="12"/>
        <v>-0.5</v>
      </c>
      <c r="G252">
        <f t="shared" si="13"/>
        <v>0.25</v>
      </c>
    </row>
    <row r="253" spans="1:7">
      <c r="A253">
        <v>243</v>
      </c>
      <c r="B253">
        <f t="shared" si="11"/>
        <v>0</v>
      </c>
      <c r="C253" s="28"/>
      <c r="D253" s="28"/>
      <c r="E253">
        <f>CumOffset+fcoh*EXP(-2*GammaBar*C253+mutwo*C253^2+muthree*C253^3+mufour*C253^4)</f>
        <v>0.5</v>
      </c>
      <c r="F253">
        <f t="shared" si="12"/>
        <v>-0.5</v>
      </c>
      <c r="G253">
        <f t="shared" si="13"/>
        <v>0.25</v>
      </c>
    </row>
    <row r="254" spans="1:7">
      <c r="A254">
        <v>244</v>
      </c>
      <c r="B254">
        <f t="shared" si="11"/>
        <v>0</v>
      </c>
      <c r="C254" s="28"/>
      <c r="D254" s="28"/>
      <c r="E254">
        <f>CumOffset+fcoh*EXP(-2*GammaBar*C254+mutwo*C254^2+muthree*C254^3+mufour*C254^4)</f>
        <v>0.5</v>
      </c>
      <c r="F254">
        <f t="shared" si="12"/>
        <v>-0.5</v>
      </c>
      <c r="G254">
        <f t="shared" si="13"/>
        <v>0.25</v>
      </c>
    </row>
    <row r="255" spans="1:7">
      <c r="A255">
        <v>245</v>
      </c>
      <c r="B255">
        <f t="shared" si="11"/>
        <v>0</v>
      </c>
      <c r="C255" s="28"/>
      <c r="D255" s="28"/>
      <c r="E255">
        <f>CumOffset+fcoh*EXP(-2*GammaBar*C255+mutwo*C255^2+muthree*C255^3+mufour*C255^4)</f>
        <v>0.5</v>
      </c>
      <c r="F255">
        <f t="shared" si="12"/>
        <v>-0.5</v>
      </c>
      <c r="G255">
        <f t="shared" si="13"/>
        <v>0.25</v>
      </c>
    </row>
    <row r="256" spans="1:7">
      <c r="A256">
        <v>246</v>
      </c>
      <c r="B256">
        <f t="shared" si="11"/>
        <v>0</v>
      </c>
      <c r="C256" s="28"/>
      <c r="D256" s="28"/>
      <c r="E256">
        <f>CumOffset+fcoh*EXP(-2*GammaBar*C256+mutwo*C256^2+muthree*C256^3+mufour*C256^4)</f>
        <v>0.5</v>
      </c>
      <c r="F256">
        <f t="shared" si="12"/>
        <v>-0.5</v>
      </c>
      <c r="G256">
        <f t="shared" si="13"/>
        <v>0.25</v>
      </c>
    </row>
    <row r="257" spans="1:7">
      <c r="A257">
        <v>247</v>
      </c>
      <c r="B257">
        <f t="shared" si="11"/>
        <v>0</v>
      </c>
      <c r="C257" s="28"/>
      <c r="D257" s="28"/>
      <c r="E257">
        <f>CumOffset+fcoh*EXP(-2*GammaBar*C257+mutwo*C257^2+muthree*C257^3+mufour*C257^4)</f>
        <v>0.5</v>
      </c>
      <c r="F257">
        <f t="shared" si="12"/>
        <v>-0.5</v>
      </c>
      <c r="G257">
        <f t="shared" si="13"/>
        <v>0.25</v>
      </c>
    </row>
    <row r="258" spans="1:7">
      <c r="A258">
        <v>248</v>
      </c>
      <c r="B258">
        <f t="shared" si="11"/>
        <v>0</v>
      </c>
      <c r="C258" s="28"/>
      <c r="D258" s="28"/>
      <c r="E258">
        <f>CumOffset+fcoh*EXP(-2*GammaBar*C258+mutwo*C258^2+muthree*C258^3+mufour*C258^4)</f>
        <v>0.5</v>
      </c>
      <c r="F258">
        <f t="shared" si="12"/>
        <v>-0.5</v>
      </c>
      <c r="G258">
        <f t="shared" si="13"/>
        <v>0.25</v>
      </c>
    </row>
    <row r="259" spans="1:7">
      <c r="A259">
        <v>249</v>
      </c>
      <c r="B259">
        <f t="shared" si="11"/>
        <v>0</v>
      </c>
      <c r="C259" s="28"/>
      <c r="D259" s="28"/>
      <c r="E259">
        <f>CumOffset+fcoh*EXP(-2*GammaBar*C259+mutwo*C259^2+muthree*C259^3+mufour*C259^4)</f>
        <v>0.5</v>
      </c>
      <c r="F259">
        <f t="shared" si="12"/>
        <v>-0.5</v>
      </c>
      <c r="G259">
        <f t="shared" si="13"/>
        <v>0.25</v>
      </c>
    </row>
    <row r="260" spans="1:7">
      <c r="A260">
        <v>250</v>
      </c>
      <c r="B260">
        <f t="shared" si="11"/>
        <v>0</v>
      </c>
      <c r="C260" s="28"/>
      <c r="D260" s="28"/>
      <c r="E260">
        <f>CumOffset+fcoh*EXP(-2*GammaBar*C260+mutwo*C260^2+muthree*C260^3+mufour*C260^4)</f>
        <v>0.5</v>
      </c>
      <c r="F260">
        <f t="shared" si="12"/>
        <v>-0.5</v>
      </c>
      <c r="G260">
        <f t="shared" si="13"/>
        <v>0.25</v>
      </c>
    </row>
    <row r="261" spans="1:7">
      <c r="A261">
        <v>251</v>
      </c>
      <c r="B261">
        <f t="shared" si="11"/>
        <v>0</v>
      </c>
      <c r="C261" s="28"/>
      <c r="D261" s="28"/>
      <c r="E261">
        <f>CumOffset+fcoh*EXP(-2*GammaBar*C261+mutwo*C261^2+muthree*C261^3+mufour*C261^4)</f>
        <v>0.5</v>
      </c>
      <c r="F261">
        <f t="shared" si="12"/>
        <v>-0.5</v>
      </c>
      <c r="G261">
        <f t="shared" si="13"/>
        <v>0.25</v>
      </c>
    </row>
    <row r="262" spans="1:7">
      <c r="A262">
        <v>252</v>
      </c>
      <c r="B262">
        <f t="shared" si="11"/>
        <v>0</v>
      </c>
      <c r="C262" s="28"/>
      <c r="D262" s="28"/>
      <c r="E262">
        <f>CumOffset+fcoh*EXP(-2*GammaBar*C262+mutwo*C262^2+muthree*C262^3+mufour*C262^4)</f>
        <v>0.5</v>
      </c>
      <c r="F262">
        <f t="shared" si="12"/>
        <v>-0.5</v>
      </c>
      <c r="G262">
        <f t="shared" si="13"/>
        <v>0.25</v>
      </c>
    </row>
    <row r="263" spans="1:7">
      <c r="A263">
        <v>253</v>
      </c>
      <c r="B263">
        <f t="shared" si="11"/>
        <v>0</v>
      </c>
      <c r="C263" s="28"/>
      <c r="D263" s="28"/>
      <c r="E263">
        <f>CumOffset+fcoh*EXP(-2*GammaBar*C263+mutwo*C263^2+muthree*C263^3+mufour*C263^4)</f>
        <v>0.5</v>
      </c>
      <c r="F263">
        <f t="shared" si="12"/>
        <v>-0.5</v>
      </c>
      <c r="G263">
        <f t="shared" si="13"/>
        <v>0.25</v>
      </c>
    </row>
    <row r="264" spans="1:7">
      <c r="A264">
        <v>254</v>
      </c>
      <c r="B264">
        <f t="shared" si="11"/>
        <v>0</v>
      </c>
      <c r="C264" s="28"/>
      <c r="D264" s="28"/>
      <c r="E264">
        <f>CumOffset+fcoh*EXP(-2*GammaBar*C264+mutwo*C264^2+muthree*C264^3+mufour*C264^4)</f>
        <v>0.5</v>
      </c>
      <c r="F264">
        <f t="shared" si="12"/>
        <v>-0.5</v>
      </c>
      <c r="G264">
        <f t="shared" si="13"/>
        <v>0.25</v>
      </c>
    </row>
    <row r="265" spans="1:7">
      <c r="A265">
        <v>255</v>
      </c>
      <c r="B265">
        <f t="shared" si="11"/>
        <v>0</v>
      </c>
      <c r="C265" s="28"/>
      <c r="D265" s="28"/>
      <c r="E265">
        <f>CumOffset+fcoh*EXP(-2*GammaBar*C265+mutwo*C265^2+muthree*C265^3+mufour*C265^4)</f>
        <v>0.5</v>
      </c>
      <c r="F265">
        <f t="shared" si="12"/>
        <v>-0.5</v>
      </c>
      <c r="G265">
        <f t="shared" si="13"/>
        <v>0.25</v>
      </c>
    </row>
    <row r="266" spans="1:7">
      <c r="A266">
        <v>256</v>
      </c>
      <c r="B266">
        <f t="shared" si="11"/>
        <v>0</v>
      </c>
      <c r="C266" s="28"/>
      <c r="D266" s="28"/>
      <c r="E266">
        <f>CumOffset+fcoh*EXP(-2*GammaBar*C266+mutwo*C266^2+muthree*C266^3+mufour*C266^4)</f>
        <v>0.5</v>
      </c>
      <c r="F266">
        <f t="shared" si="12"/>
        <v>-0.5</v>
      </c>
      <c r="G266">
        <f t="shared" si="13"/>
        <v>0.25</v>
      </c>
    </row>
    <row r="267" spans="1:7">
      <c r="A267">
        <v>257</v>
      </c>
      <c r="B267">
        <f t="shared" si="11"/>
        <v>0</v>
      </c>
      <c r="C267" s="28"/>
      <c r="D267" s="28"/>
      <c r="E267">
        <f>CumOffset+fcoh*EXP(-2*GammaBar*C267+mutwo*C267^2+muthree*C267^3+mufour*C267^4)</f>
        <v>0.5</v>
      </c>
      <c r="F267">
        <f t="shared" si="12"/>
        <v>-0.5</v>
      </c>
      <c r="G267">
        <f t="shared" si="13"/>
        <v>0.25</v>
      </c>
    </row>
    <row r="268" spans="1:7">
      <c r="A268">
        <v>258</v>
      </c>
      <c r="B268">
        <f t="shared" ref="B268:B331" si="14">C268/1000</f>
        <v>0</v>
      </c>
      <c r="C268" s="28"/>
      <c r="D268" s="28"/>
      <c r="E268">
        <f>CumOffset+fcoh*EXP(-2*GammaBar*C268+mutwo*C268^2+muthree*C268^3+mufour*C268^4)</f>
        <v>0.5</v>
      </c>
      <c r="F268">
        <f t="shared" ref="F268:F331" si="15">D268-E268</f>
        <v>-0.5</v>
      </c>
      <c r="G268">
        <f t="shared" ref="G268:G331" si="16">F268*F268</f>
        <v>0.25</v>
      </c>
    </row>
    <row r="269" spans="1:7">
      <c r="A269">
        <v>259</v>
      </c>
      <c r="B269">
        <f t="shared" si="14"/>
        <v>0</v>
      </c>
      <c r="C269" s="28"/>
      <c r="D269" s="28"/>
      <c r="E269">
        <f>CumOffset+fcoh*EXP(-2*GammaBar*C269+mutwo*C269^2+muthree*C269^3+mufour*C269^4)</f>
        <v>0.5</v>
      </c>
      <c r="F269">
        <f t="shared" si="15"/>
        <v>-0.5</v>
      </c>
      <c r="G269">
        <f t="shared" si="16"/>
        <v>0.25</v>
      </c>
    </row>
    <row r="270" spans="1:7">
      <c r="A270">
        <v>260</v>
      </c>
      <c r="B270">
        <f t="shared" si="14"/>
        <v>0</v>
      </c>
      <c r="C270" s="28"/>
      <c r="D270" s="28"/>
      <c r="E270">
        <f>CumOffset+fcoh*EXP(-2*GammaBar*C270+mutwo*C270^2+muthree*C270^3+mufour*C270^4)</f>
        <v>0.5</v>
      </c>
      <c r="F270">
        <f t="shared" si="15"/>
        <v>-0.5</v>
      </c>
      <c r="G270">
        <f t="shared" si="16"/>
        <v>0.25</v>
      </c>
    </row>
    <row r="271" spans="1:7">
      <c r="A271">
        <v>261</v>
      </c>
      <c r="B271">
        <f t="shared" si="14"/>
        <v>0</v>
      </c>
      <c r="C271" s="28"/>
      <c r="D271" s="28"/>
      <c r="E271">
        <f>CumOffset+fcoh*EXP(-2*GammaBar*C271+mutwo*C271^2+muthree*C271^3+mufour*C271^4)</f>
        <v>0.5</v>
      </c>
      <c r="F271">
        <f t="shared" si="15"/>
        <v>-0.5</v>
      </c>
      <c r="G271">
        <f t="shared" si="16"/>
        <v>0.25</v>
      </c>
    </row>
    <row r="272" spans="1:7">
      <c r="A272">
        <v>262</v>
      </c>
      <c r="B272">
        <f t="shared" si="14"/>
        <v>0</v>
      </c>
      <c r="C272" s="28"/>
      <c r="D272" s="28"/>
      <c r="E272">
        <f>CumOffset+fcoh*EXP(-2*GammaBar*C272+mutwo*C272^2+muthree*C272^3+mufour*C272^4)</f>
        <v>0.5</v>
      </c>
      <c r="F272">
        <f t="shared" si="15"/>
        <v>-0.5</v>
      </c>
      <c r="G272">
        <f t="shared" si="16"/>
        <v>0.25</v>
      </c>
    </row>
    <row r="273" spans="1:7">
      <c r="A273">
        <v>263</v>
      </c>
      <c r="B273">
        <f t="shared" si="14"/>
        <v>0</v>
      </c>
      <c r="C273" s="28"/>
      <c r="D273" s="28"/>
      <c r="E273">
        <f>CumOffset+fcoh*EXP(-2*GammaBar*C273+mutwo*C273^2+muthree*C273^3+mufour*C273^4)</f>
        <v>0.5</v>
      </c>
      <c r="F273">
        <f t="shared" si="15"/>
        <v>-0.5</v>
      </c>
      <c r="G273">
        <f t="shared" si="16"/>
        <v>0.25</v>
      </c>
    </row>
    <row r="274" spans="1:7">
      <c r="A274">
        <v>264</v>
      </c>
      <c r="B274">
        <f t="shared" si="14"/>
        <v>0</v>
      </c>
      <c r="C274" s="28"/>
      <c r="D274" s="28"/>
      <c r="E274">
        <f>CumOffset+fcoh*EXP(-2*GammaBar*C274+mutwo*C274^2+muthree*C274^3+mufour*C274^4)</f>
        <v>0.5</v>
      </c>
      <c r="F274">
        <f t="shared" si="15"/>
        <v>-0.5</v>
      </c>
      <c r="G274">
        <f t="shared" si="16"/>
        <v>0.25</v>
      </c>
    </row>
    <row r="275" spans="1:7">
      <c r="A275">
        <v>265</v>
      </c>
      <c r="B275">
        <f t="shared" si="14"/>
        <v>0</v>
      </c>
      <c r="C275" s="28"/>
      <c r="D275" s="28"/>
      <c r="E275">
        <f>CumOffset+fcoh*EXP(-2*GammaBar*C275+mutwo*C275^2+muthree*C275^3+mufour*C275^4)</f>
        <v>0.5</v>
      </c>
      <c r="F275">
        <f t="shared" si="15"/>
        <v>-0.5</v>
      </c>
      <c r="G275">
        <f t="shared" si="16"/>
        <v>0.25</v>
      </c>
    </row>
    <row r="276" spans="1:7">
      <c r="A276">
        <v>266</v>
      </c>
      <c r="B276">
        <f t="shared" si="14"/>
        <v>0</v>
      </c>
      <c r="C276" s="28"/>
      <c r="D276" s="28"/>
      <c r="E276">
        <f>CumOffset+fcoh*EXP(-2*GammaBar*C276+mutwo*C276^2+muthree*C276^3+mufour*C276^4)</f>
        <v>0.5</v>
      </c>
      <c r="F276">
        <f t="shared" si="15"/>
        <v>-0.5</v>
      </c>
      <c r="G276">
        <f t="shared" si="16"/>
        <v>0.25</v>
      </c>
    </row>
    <row r="277" spans="1:7">
      <c r="A277">
        <v>267</v>
      </c>
      <c r="B277">
        <f t="shared" si="14"/>
        <v>0</v>
      </c>
      <c r="C277" s="28"/>
      <c r="D277" s="28"/>
      <c r="E277">
        <f>CumOffset+fcoh*EXP(-2*GammaBar*C277+mutwo*C277^2+muthree*C277^3+mufour*C277^4)</f>
        <v>0.5</v>
      </c>
      <c r="F277">
        <f t="shared" si="15"/>
        <v>-0.5</v>
      </c>
      <c r="G277">
        <f t="shared" si="16"/>
        <v>0.25</v>
      </c>
    </row>
    <row r="278" spans="1:7">
      <c r="A278">
        <v>268</v>
      </c>
      <c r="B278">
        <f t="shared" si="14"/>
        <v>0</v>
      </c>
      <c r="C278" s="28"/>
      <c r="D278" s="28"/>
      <c r="E278">
        <f>CumOffset+fcoh*EXP(-2*GammaBar*C278+mutwo*C278^2+muthree*C278^3+mufour*C278^4)</f>
        <v>0.5</v>
      </c>
      <c r="F278">
        <f t="shared" si="15"/>
        <v>-0.5</v>
      </c>
      <c r="G278">
        <f t="shared" si="16"/>
        <v>0.25</v>
      </c>
    </row>
    <row r="279" spans="1:7">
      <c r="A279">
        <v>269</v>
      </c>
      <c r="B279">
        <f t="shared" si="14"/>
        <v>0</v>
      </c>
      <c r="C279" s="28"/>
      <c r="D279" s="28"/>
      <c r="E279">
        <f>CumOffset+fcoh*EXP(-2*GammaBar*C279+mutwo*C279^2+muthree*C279^3+mufour*C279^4)</f>
        <v>0.5</v>
      </c>
      <c r="F279">
        <f t="shared" si="15"/>
        <v>-0.5</v>
      </c>
      <c r="G279">
        <f t="shared" si="16"/>
        <v>0.25</v>
      </c>
    </row>
    <row r="280" spans="1:7">
      <c r="A280">
        <v>270</v>
      </c>
      <c r="B280">
        <f t="shared" si="14"/>
        <v>0</v>
      </c>
      <c r="C280" s="28"/>
      <c r="D280" s="28"/>
      <c r="E280">
        <f>CumOffset+fcoh*EXP(-2*GammaBar*C280+mutwo*C280^2+muthree*C280^3+mufour*C280^4)</f>
        <v>0.5</v>
      </c>
      <c r="F280">
        <f t="shared" si="15"/>
        <v>-0.5</v>
      </c>
      <c r="G280">
        <f t="shared" si="16"/>
        <v>0.25</v>
      </c>
    </row>
    <row r="281" spans="1:7">
      <c r="A281">
        <v>271</v>
      </c>
      <c r="B281">
        <f t="shared" si="14"/>
        <v>0</v>
      </c>
      <c r="C281" s="28"/>
      <c r="D281" s="28"/>
      <c r="E281">
        <f>CumOffset+fcoh*EXP(-2*GammaBar*C281+mutwo*C281^2+muthree*C281^3+mufour*C281^4)</f>
        <v>0.5</v>
      </c>
      <c r="F281">
        <f t="shared" si="15"/>
        <v>-0.5</v>
      </c>
      <c r="G281">
        <f t="shared" si="16"/>
        <v>0.25</v>
      </c>
    </row>
    <row r="282" spans="1:7">
      <c r="A282">
        <v>272</v>
      </c>
      <c r="B282">
        <f t="shared" si="14"/>
        <v>0</v>
      </c>
      <c r="C282" s="28"/>
      <c r="D282" s="28"/>
      <c r="E282">
        <f>CumOffset+fcoh*EXP(-2*GammaBar*C282+mutwo*C282^2+muthree*C282^3+mufour*C282^4)</f>
        <v>0.5</v>
      </c>
      <c r="F282">
        <f t="shared" si="15"/>
        <v>-0.5</v>
      </c>
      <c r="G282">
        <f t="shared" si="16"/>
        <v>0.25</v>
      </c>
    </row>
    <row r="283" spans="1:7">
      <c r="A283">
        <v>273</v>
      </c>
      <c r="B283">
        <f t="shared" si="14"/>
        <v>0</v>
      </c>
      <c r="C283" s="28"/>
      <c r="D283" s="28"/>
      <c r="E283">
        <f>CumOffset+fcoh*EXP(-2*GammaBar*C283+mutwo*C283^2+muthree*C283^3+mufour*C283^4)</f>
        <v>0.5</v>
      </c>
      <c r="F283">
        <f t="shared" si="15"/>
        <v>-0.5</v>
      </c>
      <c r="G283">
        <f t="shared" si="16"/>
        <v>0.25</v>
      </c>
    </row>
    <row r="284" spans="1:7">
      <c r="A284">
        <v>274</v>
      </c>
      <c r="B284">
        <f t="shared" si="14"/>
        <v>0</v>
      </c>
      <c r="C284" s="28"/>
      <c r="D284" s="28"/>
      <c r="E284">
        <f>CumOffset+fcoh*EXP(-2*GammaBar*C284+mutwo*C284^2+muthree*C284^3+mufour*C284^4)</f>
        <v>0.5</v>
      </c>
      <c r="F284">
        <f t="shared" si="15"/>
        <v>-0.5</v>
      </c>
      <c r="G284">
        <f t="shared" si="16"/>
        <v>0.25</v>
      </c>
    </row>
    <row r="285" spans="1:7">
      <c r="A285">
        <v>275</v>
      </c>
      <c r="B285">
        <f t="shared" si="14"/>
        <v>0</v>
      </c>
      <c r="C285" s="28"/>
      <c r="D285" s="28"/>
      <c r="E285">
        <f>CumOffset+fcoh*EXP(-2*GammaBar*C285+mutwo*C285^2+muthree*C285^3+mufour*C285^4)</f>
        <v>0.5</v>
      </c>
      <c r="F285">
        <f t="shared" si="15"/>
        <v>-0.5</v>
      </c>
      <c r="G285">
        <f t="shared" si="16"/>
        <v>0.25</v>
      </c>
    </row>
    <row r="286" spans="1:7">
      <c r="A286">
        <v>276</v>
      </c>
      <c r="B286">
        <f t="shared" si="14"/>
        <v>0</v>
      </c>
      <c r="C286" s="28"/>
      <c r="D286" s="28"/>
      <c r="E286">
        <f>CumOffset+fcoh*EXP(-2*GammaBar*C286+mutwo*C286^2+muthree*C286^3+mufour*C286^4)</f>
        <v>0.5</v>
      </c>
      <c r="F286">
        <f t="shared" si="15"/>
        <v>-0.5</v>
      </c>
      <c r="G286">
        <f t="shared" si="16"/>
        <v>0.25</v>
      </c>
    </row>
    <row r="287" spans="1:7">
      <c r="A287">
        <v>277</v>
      </c>
      <c r="B287">
        <f t="shared" si="14"/>
        <v>0</v>
      </c>
      <c r="C287" s="28"/>
      <c r="D287" s="28"/>
      <c r="E287">
        <f>CumOffset+fcoh*EXP(-2*GammaBar*C287+mutwo*C287^2+muthree*C287^3+mufour*C287^4)</f>
        <v>0.5</v>
      </c>
      <c r="F287">
        <f t="shared" si="15"/>
        <v>-0.5</v>
      </c>
      <c r="G287">
        <f t="shared" si="16"/>
        <v>0.25</v>
      </c>
    </row>
    <row r="288" spans="1:7">
      <c r="A288">
        <v>278</v>
      </c>
      <c r="B288">
        <f t="shared" si="14"/>
        <v>0</v>
      </c>
      <c r="C288" s="28"/>
      <c r="D288" s="28"/>
      <c r="E288">
        <f>CumOffset+fcoh*EXP(-2*GammaBar*C288+mutwo*C288^2+muthree*C288^3+mufour*C288^4)</f>
        <v>0.5</v>
      </c>
      <c r="F288">
        <f t="shared" si="15"/>
        <v>-0.5</v>
      </c>
      <c r="G288">
        <f t="shared" si="16"/>
        <v>0.25</v>
      </c>
    </row>
    <row r="289" spans="1:7">
      <c r="A289">
        <v>279</v>
      </c>
      <c r="B289">
        <f t="shared" si="14"/>
        <v>0</v>
      </c>
      <c r="C289" s="28"/>
      <c r="D289" s="28"/>
      <c r="E289">
        <f>CumOffset+fcoh*EXP(-2*GammaBar*C289+mutwo*C289^2+muthree*C289^3+mufour*C289^4)</f>
        <v>0.5</v>
      </c>
      <c r="F289">
        <f t="shared" si="15"/>
        <v>-0.5</v>
      </c>
      <c r="G289">
        <f t="shared" si="16"/>
        <v>0.25</v>
      </c>
    </row>
    <row r="290" spans="1:7">
      <c r="A290">
        <v>280</v>
      </c>
      <c r="B290">
        <f t="shared" si="14"/>
        <v>0</v>
      </c>
      <c r="C290" s="28"/>
      <c r="D290" s="28"/>
      <c r="E290">
        <f>CumOffset+fcoh*EXP(-2*GammaBar*C290+mutwo*C290^2+muthree*C290^3+mufour*C290^4)</f>
        <v>0.5</v>
      </c>
      <c r="F290">
        <f t="shared" si="15"/>
        <v>-0.5</v>
      </c>
      <c r="G290">
        <f t="shared" si="16"/>
        <v>0.25</v>
      </c>
    </row>
    <row r="291" spans="1:7">
      <c r="A291">
        <v>281</v>
      </c>
      <c r="B291">
        <f t="shared" si="14"/>
        <v>0</v>
      </c>
      <c r="C291" s="28"/>
      <c r="D291" s="28"/>
      <c r="E291">
        <f>CumOffset+fcoh*EXP(-2*GammaBar*C291+mutwo*C291^2+muthree*C291^3+mufour*C291^4)</f>
        <v>0.5</v>
      </c>
      <c r="F291">
        <f t="shared" si="15"/>
        <v>-0.5</v>
      </c>
      <c r="G291">
        <f t="shared" si="16"/>
        <v>0.25</v>
      </c>
    </row>
    <row r="292" spans="1:7">
      <c r="A292">
        <v>282</v>
      </c>
      <c r="B292">
        <f t="shared" si="14"/>
        <v>0</v>
      </c>
      <c r="C292" s="28"/>
      <c r="D292" s="28"/>
      <c r="E292">
        <f>CumOffset+fcoh*EXP(-2*GammaBar*C292+mutwo*C292^2+muthree*C292^3+mufour*C292^4)</f>
        <v>0.5</v>
      </c>
      <c r="F292">
        <f t="shared" si="15"/>
        <v>-0.5</v>
      </c>
      <c r="G292">
        <f t="shared" si="16"/>
        <v>0.25</v>
      </c>
    </row>
    <row r="293" spans="1:7">
      <c r="A293">
        <v>283</v>
      </c>
      <c r="B293">
        <f t="shared" si="14"/>
        <v>0</v>
      </c>
      <c r="C293" s="28"/>
      <c r="D293" s="28"/>
      <c r="E293">
        <f>CumOffset+fcoh*EXP(-2*GammaBar*C293+mutwo*C293^2+muthree*C293^3+mufour*C293^4)</f>
        <v>0.5</v>
      </c>
      <c r="F293">
        <f t="shared" si="15"/>
        <v>-0.5</v>
      </c>
      <c r="G293">
        <f t="shared" si="16"/>
        <v>0.25</v>
      </c>
    </row>
    <row r="294" spans="1:7">
      <c r="A294">
        <v>284</v>
      </c>
      <c r="B294">
        <f t="shared" si="14"/>
        <v>0</v>
      </c>
      <c r="C294" s="28"/>
      <c r="D294" s="28"/>
      <c r="E294">
        <f>CumOffset+fcoh*EXP(-2*GammaBar*C294+mutwo*C294^2+muthree*C294^3+mufour*C294^4)</f>
        <v>0.5</v>
      </c>
      <c r="F294">
        <f t="shared" si="15"/>
        <v>-0.5</v>
      </c>
      <c r="G294">
        <f t="shared" si="16"/>
        <v>0.25</v>
      </c>
    </row>
    <row r="295" spans="1:7">
      <c r="A295">
        <v>285</v>
      </c>
      <c r="B295">
        <f t="shared" si="14"/>
        <v>0</v>
      </c>
      <c r="C295" s="28"/>
      <c r="D295" s="28"/>
      <c r="E295">
        <f>CumOffset+fcoh*EXP(-2*GammaBar*C295+mutwo*C295^2+muthree*C295^3+mufour*C295^4)</f>
        <v>0.5</v>
      </c>
      <c r="F295">
        <f t="shared" si="15"/>
        <v>-0.5</v>
      </c>
      <c r="G295">
        <f t="shared" si="16"/>
        <v>0.25</v>
      </c>
    </row>
    <row r="296" spans="1:7">
      <c r="A296">
        <v>286</v>
      </c>
      <c r="B296">
        <f t="shared" si="14"/>
        <v>0</v>
      </c>
      <c r="C296" s="28"/>
      <c r="D296" s="28"/>
      <c r="E296">
        <f>CumOffset+fcoh*EXP(-2*GammaBar*C296+mutwo*C296^2+muthree*C296^3+mufour*C296^4)</f>
        <v>0.5</v>
      </c>
      <c r="F296">
        <f t="shared" si="15"/>
        <v>-0.5</v>
      </c>
      <c r="G296">
        <f t="shared" si="16"/>
        <v>0.25</v>
      </c>
    </row>
    <row r="297" spans="1:7">
      <c r="A297">
        <v>287</v>
      </c>
      <c r="B297">
        <f t="shared" si="14"/>
        <v>0</v>
      </c>
      <c r="C297" s="28"/>
      <c r="D297" s="28"/>
      <c r="E297">
        <f>CumOffset+fcoh*EXP(-2*GammaBar*C297+mutwo*C297^2+muthree*C297^3+mufour*C297^4)</f>
        <v>0.5</v>
      </c>
      <c r="F297">
        <f t="shared" si="15"/>
        <v>-0.5</v>
      </c>
      <c r="G297">
        <f t="shared" si="16"/>
        <v>0.25</v>
      </c>
    </row>
    <row r="298" spans="1:7">
      <c r="A298">
        <v>288</v>
      </c>
      <c r="B298">
        <f t="shared" si="14"/>
        <v>0</v>
      </c>
      <c r="C298" s="28"/>
      <c r="D298" s="28"/>
      <c r="E298">
        <f>CumOffset+fcoh*EXP(-2*GammaBar*C298+mutwo*C298^2+muthree*C298^3+mufour*C298^4)</f>
        <v>0.5</v>
      </c>
      <c r="F298">
        <f t="shared" si="15"/>
        <v>-0.5</v>
      </c>
      <c r="G298">
        <f t="shared" si="16"/>
        <v>0.25</v>
      </c>
    </row>
    <row r="299" spans="1:7">
      <c r="A299">
        <v>289</v>
      </c>
      <c r="B299">
        <f t="shared" si="14"/>
        <v>0</v>
      </c>
      <c r="C299" s="28"/>
      <c r="D299" s="28"/>
      <c r="E299">
        <f>CumOffset+fcoh*EXP(-2*GammaBar*C299+mutwo*C299^2+muthree*C299^3+mufour*C299^4)</f>
        <v>0.5</v>
      </c>
      <c r="F299">
        <f t="shared" si="15"/>
        <v>-0.5</v>
      </c>
      <c r="G299">
        <f t="shared" si="16"/>
        <v>0.25</v>
      </c>
    </row>
    <row r="300" spans="1:7">
      <c r="A300">
        <v>290</v>
      </c>
      <c r="B300">
        <f t="shared" si="14"/>
        <v>0</v>
      </c>
      <c r="C300" s="28"/>
      <c r="D300" s="28"/>
      <c r="E300">
        <f>CumOffset+fcoh*EXP(-2*GammaBar*C300+mutwo*C300^2+muthree*C300^3+mufour*C300^4)</f>
        <v>0.5</v>
      </c>
      <c r="F300">
        <f t="shared" si="15"/>
        <v>-0.5</v>
      </c>
      <c r="G300">
        <f t="shared" si="16"/>
        <v>0.25</v>
      </c>
    </row>
    <row r="301" spans="1:7">
      <c r="A301">
        <v>291</v>
      </c>
      <c r="B301">
        <f t="shared" si="14"/>
        <v>0</v>
      </c>
      <c r="C301" s="28"/>
      <c r="D301" s="28"/>
      <c r="E301">
        <f>CumOffset+fcoh*EXP(-2*GammaBar*C301+mutwo*C301^2+muthree*C301^3+mufour*C301^4)</f>
        <v>0.5</v>
      </c>
      <c r="F301">
        <f t="shared" si="15"/>
        <v>-0.5</v>
      </c>
      <c r="G301">
        <f t="shared" si="16"/>
        <v>0.25</v>
      </c>
    </row>
    <row r="302" spans="1:7">
      <c r="A302">
        <v>292</v>
      </c>
      <c r="B302">
        <f t="shared" si="14"/>
        <v>0</v>
      </c>
      <c r="C302" s="28"/>
      <c r="D302" s="28"/>
      <c r="E302">
        <f>CumOffset+fcoh*EXP(-2*GammaBar*C302+mutwo*C302^2+muthree*C302^3+mufour*C302^4)</f>
        <v>0.5</v>
      </c>
      <c r="F302">
        <f t="shared" si="15"/>
        <v>-0.5</v>
      </c>
      <c r="G302">
        <f t="shared" si="16"/>
        <v>0.25</v>
      </c>
    </row>
    <row r="303" spans="1:7">
      <c r="A303">
        <v>293</v>
      </c>
      <c r="B303">
        <f t="shared" si="14"/>
        <v>0</v>
      </c>
      <c r="C303" s="28"/>
      <c r="D303" s="28"/>
      <c r="E303">
        <f>CumOffset+fcoh*EXP(-2*GammaBar*C303+mutwo*C303^2+muthree*C303^3+mufour*C303^4)</f>
        <v>0.5</v>
      </c>
      <c r="F303">
        <f t="shared" si="15"/>
        <v>-0.5</v>
      </c>
      <c r="G303">
        <f t="shared" si="16"/>
        <v>0.25</v>
      </c>
    </row>
    <row r="304" spans="1:7">
      <c r="A304">
        <v>294</v>
      </c>
      <c r="B304">
        <f t="shared" si="14"/>
        <v>0</v>
      </c>
      <c r="C304" s="28"/>
      <c r="D304" s="28"/>
      <c r="E304">
        <f>CumOffset+fcoh*EXP(-2*GammaBar*C304+mutwo*C304^2+muthree*C304^3+mufour*C304^4)</f>
        <v>0.5</v>
      </c>
      <c r="F304">
        <f t="shared" si="15"/>
        <v>-0.5</v>
      </c>
      <c r="G304">
        <f t="shared" si="16"/>
        <v>0.25</v>
      </c>
    </row>
    <row r="305" spans="1:7">
      <c r="A305">
        <v>295</v>
      </c>
      <c r="B305">
        <f t="shared" si="14"/>
        <v>0</v>
      </c>
      <c r="C305" s="28"/>
      <c r="D305" s="28"/>
      <c r="E305">
        <f>CumOffset+fcoh*EXP(-2*GammaBar*C305+mutwo*C305^2+muthree*C305^3+mufour*C305^4)</f>
        <v>0.5</v>
      </c>
      <c r="F305">
        <f t="shared" si="15"/>
        <v>-0.5</v>
      </c>
      <c r="G305">
        <f t="shared" si="16"/>
        <v>0.25</v>
      </c>
    </row>
    <row r="306" spans="1:7">
      <c r="A306">
        <v>296</v>
      </c>
      <c r="B306">
        <f t="shared" si="14"/>
        <v>0</v>
      </c>
      <c r="C306" s="28"/>
      <c r="D306" s="28"/>
      <c r="E306">
        <f>CumOffset+fcoh*EXP(-2*GammaBar*C306+mutwo*C306^2+muthree*C306^3+mufour*C306^4)</f>
        <v>0.5</v>
      </c>
      <c r="F306">
        <f t="shared" si="15"/>
        <v>-0.5</v>
      </c>
      <c r="G306">
        <f t="shared" si="16"/>
        <v>0.25</v>
      </c>
    </row>
    <row r="307" spans="1:7">
      <c r="A307">
        <v>297</v>
      </c>
      <c r="B307">
        <f t="shared" si="14"/>
        <v>0</v>
      </c>
      <c r="C307" s="28"/>
      <c r="D307" s="28"/>
      <c r="E307">
        <f>CumOffset+fcoh*EXP(-2*GammaBar*C307+mutwo*C307^2+muthree*C307^3+mufour*C307^4)</f>
        <v>0.5</v>
      </c>
      <c r="F307">
        <f t="shared" si="15"/>
        <v>-0.5</v>
      </c>
      <c r="G307">
        <f t="shared" si="16"/>
        <v>0.25</v>
      </c>
    </row>
    <row r="308" spans="1:7">
      <c r="A308">
        <v>298</v>
      </c>
      <c r="B308">
        <f t="shared" si="14"/>
        <v>0</v>
      </c>
      <c r="C308" s="28"/>
      <c r="D308" s="28"/>
      <c r="E308">
        <f>CumOffset+fcoh*EXP(-2*GammaBar*C308+mutwo*C308^2+muthree*C308^3+mufour*C308^4)</f>
        <v>0.5</v>
      </c>
      <c r="F308">
        <f t="shared" si="15"/>
        <v>-0.5</v>
      </c>
      <c r="G308">
        <f t="shared" si="16"/>
        <v>0.25</v>
      </c>
    </row>
    <row r="309" spans="1:7">
      <c r="A309">
        <v>299</v>
      </c>
      <c r="B309">
        <f t="shared" si="14"/>
        <v>0</v>
      </c>
      <c r="C309" s="28"/>
      <c r="D309" s="28"/>
      <c r="E309">
        <f>CumOffset+fcoh*EXP(-2*GammaBar*C309+mutwo*C309^2+muthree*C309^3+mufour*C309^4)</f>
        <v>0.5</v>
      </c>
      <c r="F309">
        <f t="shared" si="15"/>
        <v>-0.5</v>
      </c>
      <c r="G309">
        <f t="shared" si="16"/>
        <v>0.25</v>
      </c>
    </row>
    <row r="310" spans="1:7">
      <c r="A310">
        <v>300</v>
      </c>
      <c r="B310">
        <f t="shared" si="14"/>
        <v>0</v>
      </c>
      <c r="C310" s="28"/>
      <c r="D310" s="28"/>
      <c r="E310">
        <f>CumOffset+fcoh*EXP(-2*GammaBar*C310+mutwo*C310^2+muthree*C310^3+mufour*C310^4)</f>
        <v>0.5</v>
      </c>
      <c r="F310">
        <f t="shared" si="15"/>
        <v>-0.5</v>
      </c>
      <c r="G310">
        <f t="shared" si="16"/>
        <v>0.25</v>
      </c>
    </row>
    <row r="311" spans="1:7">
      <c r="A311">
        <v>301</v>
      </c>
      <c r="B311">
        <f t="shared" si="14"/>
        <v>0</v>
      </c>
      <c r="C311" s="28"/>
      <c r="D311" s="28"/>
      <c r="E311">
        <f>CumOffset+fcoh*EXP(-2*GammaBar*C311+mutwo*C311^2+muthree*C311^3+mufour*C311^4)</f>
        <v>0.5</v>
      </c>
      <c r="F311">
        <f t="shared" si="15"/>
        <v>-0.5</v>
      </c>
      <c r="G311">
        <f t="shared" si="16"/>
        <v>0.25</v>
      </c>
    </row>
    <row r="312" spans="1:7">
      <c r="A312">
        <v>302</v>
      </c>
      <c r="B312">
        <f t="shared" si="14"/>
        <v>0</v>
      </c>
      <c r="C312" s="28"/>
      <c r="D312" s="28"/>
      <c r="E312">
        <f>CumOffset+fcoh*EXP(-2*GammaBar*C312+mutwo*C312^2+muthree*C312^3+mufour*C312^4)</f>
        <v>0.5</v>
      </c>
      <c r="F312">
        <f t="shared" si="15"/>
        <v>-0.5</v>
      </c>
      <c r="G312">
        <f t="shared" si="16"/>
        <v>0.25</v>
      </c>
    </row>
    <row r="313" spans="1:7">
      <c r="A313">
        <v>303</v>
      </c>
      <c r="B313">
        <f t="shared" si="14"/>
        <v>0</v>
      </c>
      <c r="C313" s="28"/>
      <c r="D313" s="28"/>
      <c r="E313">
        <f>CumOffset+fcoh*EXP(-2*GammaBar*C313+mutwo*C313^2+muthree*C313^3+mufour*C313^4)</f>
        <v>0.5</v>
      </c>
      <c r="F313">
        <f t="shared" si="15"/>
        <v>-0.5</v>
      </c>
      <c r="G313">
        <f t="shared" si="16"/>
        <v>0.25</v>
      </c>
    </row>
    <row r="314" spans="1:7">
      <c r="A314">
        <v>304</v>
      </c>
      <c r="B314">
        <f t="shared" si="14"/>
        <v>0</v>
      </c>
      <c r="C314" s="28"/>
      <c r="D314" s="28"/>
      <c r="E314">
        <f>CumOffset+fcoh*EXP(-2*GammaBar*C314+mutwo*C314^2+muthree*C314^3+mufour*C314^4)</f>
        <v>0.5</v>
      </c>
      <c r="F314">
        <f t="shared" si="15"/>
        <v>-0.5</v>
      </c>
      <c r="G314">
        <f t="shared" si="16"/>
        <v>0.25</v>
      </c>
    </row>
    <row r="315" spans="1:7">
      <c r="A315">
        <v>305</v>
      </c>
      <c r="B315">
        <f t="shared" si="14"/>
        <v>0</v>
      </c>
      <c r="C315" s="28"/>
      <c r="D315" s="28"/>
      <c r="E315">
        <f>CumOffset+fcoh*EXP(-2*GammaBar*C315+mutwo*C315^2+muthree*C315^3+mufour*C315^4)</f>
        <v>0.5</v>
      </c>
      <c r="F315">
        <f t="shared" si="15"/>
        <v>-0.5</v>
      </c>
      <c r="G315">
        <f t="shared" si="16"/>
        <v>0.25</v>
      </c>
    </row>
    <row r="316" spans="1:7">
      <c r="A316">
        <v>306</v>
      </c>
      <c r="B316">
        <f t="shared" si="14"/>
        <v>0</v>
      </c>
      <c r="C316" s="28"/>
      <c r="D316" s="28"/>
      <c r="E316">
        <f>CumOffset+fcoh*EXP(-2*GammaBar*C316+mutwo*C316^2+muthree*C316^3+mufour*C316^4)</f>
        <v>0.5</v>
      </c>
      <c r="F316">
        <f t="shared" si="15"/>
        <v>-0.5</v>
      </c>
      <c r="G316">
        <f t="shared" si="16"/>
        <v>0.25</v>
      </c>
    </row>
    <row r="317" spans="1:7">
      <c r="A317">
        <v>307</v>
      </c>
      <c r="B317">
        <f t="shared" si="14"/>
        <v>0</v>
      </c>
      <c r="C317" s="28"/>
      <c r="D317" s="28"/>
      <c r="E317">
        <f>CumOffset+fcoh*EXP(-2*GammaBar*C317+mutwo*C317^2+muthree*C317^3+mufour*C317^4)</f>
        <v>0.5</v>
      </c>
      <c r="F317">
        <f t="shared" si="15"/>
        <v>-0.5</v>
      </c>
      <c r="G317">
        <f t="shared" si="16"/>
        <v>0.25</v>
      </c>
    </row>
    <row r="318" spans="1:7">
      <c r="A318">
        <v>308</v>
      </c>
      <c r="B318">
        <f t="shared" si="14"/>
        <v>0</v>
      </c>
      <c r="C318" s="28"/>
      <c r="D318" s="28"/>
      <c r="E318">
        <f>CumOffset+fcoh*EXP(-2*GammaBar*C318+mutwo*C318^2+muthree*C318^3+mufour*C318^4)</f>
        <v>0.5</v>
      </c>
      <c r="F318">
        <f t="shared" si="15"/>
        <v>-0.5</v>
      </c>
      <c r="G318">
        <f t="shared" si="16"/>
        <v>0.25</v>
      </c>
    </row>
    <row r="319" spans="1:7">
      <c r="A319">
        <v>309</v>
      </c>
      <c r="B319">
        <f t="shared" si="14"/>
        <v>0</v>
      </c>
      <c r="C319" s="28"/>
      <c r="D319" s="28"/>
      <c r="E319">
        <f>CumOffset+fcoh*EXP(-2*GammaBar*C319+mutwo*C319^2+muthree*C319^3+mufour*C319^4)</f>
        <v>0.5</v>
      </c>
      <c r="F319">
        <f t="shared" si="15"/>
        <v>-0.5</v>
      </c>
      <c r="G319">
        <f t="shared" si="16"/>
        <v>0.25</v>
      </c>
    </row>
    <row r="320" spans="1:7">
      <c r="A320">
        <v>310</v>
      </c>
      <c r="B320">
        <f t="shared" si="14"/>
        <v>0</v>
      </c>
      <c r="C320" s="28"/>
      <c r="D320" s="28"/>
      <c r="E320">
        <f>CumOffset+fcoh*EXP(-2*GammaBar*C320+mutwo*C320^2+muthree*C320^3+mufour*C320^4)</f>
        <v>0.5</v>
      </c>
      <c r="F320">
        <f t="shared" si="15"/>
        <v>-0.5</v>
      </c>
      <c r="G320">
        <f t="shared" si="16"/>
        <v>0.25</v>
      </c>
    </row>
    <row r="321" spans="1:7">
      <c r="A321">
        <v>311</v>
      </c>
      <c r="B321">
        <f t="shared" si="14"/>
        <v>0</v>
      </c>
      <c r="C321" s="28"/>
      <c r="D321" s="28"/>
      <c r="E321">
        <f>CumOffset+fcoh*EXP(-2*GammaBar*C321+mutwo*C321^2+muthree*C321^3+mufour*C321^4)</f>
        <v>0.5</v>
      </c>
      <c r="F321">
        <f t="shared" si="15"/>
        <v>-0.5</v>
      </c>
      <c r="G321">
        <f t="shared" si="16"/>
        <v>0.25</v>
      </c>
    </row>
    <row r="322" spans="1:7">
      <c r="A322">
        <v>312</v>
      </c>
      <c r="B322">
        <f t="shared" si="14"/>
        <v>0</v>
      </c>
      <c r="C322" s="28"/>
      <c r="D322" s="28"/>
      <c r="E322">
        <f>CumOffset+fcoh*EXP(-2*GammaBar*C322+mutwo*C322^2+muthree*C322^3+mufour*C322^4)</f>
        <v>0.5</v>
      </c>
      <c r="F322">
        <f t="shared" si="15"/>
        <v>-0.5</v>
      </c>
      <c r="G322">
        <f t="shared" si="16"/>
        <v>0.25</v>
      </c>
    </row>
    <row r="323" spans="1:7">
      <c r="A323">
        <v>313</v>
      </c>
      <c r="B323">
        <f t="shared" si="14"/>
        <v>0</v>
      </c>
      <c r="C323" s="28"/>
      <c r="D323" s="28"/>
      <c r="E323">
        <f>CumOffset+fcoh*EXP(-2*GammaBar*C323+mutwo*C323^2+muthree*C323^3+mufour*C323^4)</f>
        <v>0.5</v>
      </c>
      <c r="F323">
        <f t="shared" si="15"/>
        <v>-0.5</v>
      </c>
      <c r="G323">
        <f t="shared" si="16"/>
        <v>0.25</v>
      </c>
    </row>
    <row r="324" spans="1:7">
      <c r="A324">
        <v>314</v>
      </c>
      <c r="B324">
        <f t="shared" si="14"/>
        <v>0</v>
      </c>
      <c r="C324" s="28"/>
      <c r="D324" s="28"/>
      <c r="E324">
        <f>CumOffset+fcoh*EXP(-2*GammaBar*C324+mutwo*C324^2+muthree*C324^3+mufour*C324^4)</f>
        <v>0.5</v>
      </c>
      <c r="F324">
        <f t="shared" si="15"/>
        <v>-0.5</v>
      </c>
      <c r="G324">
        <f t="shared" si="16"/>
        <v>0.25</v>
      </c>
    </row>
    <row r="325" spans="1:7">
      <c r="A325">
        <v>315</v>
      </c>
      <c r="B325">
        <f t="shared" si="14"/>
        <v>0</v>
      </c>
      <c r="C325" s="28"/>
      <c r="D325" s="28"/>
      <c r="E325">
        <f>CumOffset+fcoh*EXP(-2*GammaBar*C325+mutwo*C325^2+muthree*C325^3+mufour*C325^4)</f>
        <v>0.5</v>
      </c>
      <c r="F325">
        <f t="shared" si="15"/>
        <v>-0.5</v>
      </c>
      <c r="G325">
        <f t="shared" si="16"/>
        <v>0.25</v>
      </c>
    </row>
    <row r="326" spans="1:7">
      <c r="A326">
        <v>316</v>
      </c>
      <c r="B326">
        <f t="shared" si="14"/>
        <v>0</v>
      </c>
      <c r="C326" s="28"/>
      <c r="D326" s="28"/>
      <c r="E326">
        <f>CumOffset+fcoh*EXP(-2*GammaBar*C326+mutwo*C326^2+muthree*C326^3+mufour*C326^4)</f>
        <v>0.5</v>
      </c>
      <c r="F326">
        <f t="shared" si="15"/>
        <v>-0.5</v>
      </c>
      <c r="G326">
        <f t="shared" si="16"/>
        <v>0.25</v>
      </c>
    </row>
    <row r="327" spans="1:7">
      <c r="A327">
        <v>317</v>
      </c>
      <c r="B327">
        <f t="shared" si="14"/>
        <v>0</v>
      </c>
      <c r="C327" s="28"/>
      <c r="D327" s="28"/>
      <c r="E327">
        <f>CumOffset+fcoh*EXP(-2*GammaBar*C327+mutwo*C327^2+muthree*C327^3+mufour*C327^4)</f>
        <v>0.5</v>
      </c>
      <c r="F327">
        <f t="shared" si="15"/>
        <v>-0.5</v>
      </c>
      <c r="G327">
        <f t="shared" si="16"/>
        <v>0.25</v>
      </c>
    </row>
    <row r="328" spans="1:7">
      <c r="A328">
        <v>318</v>
      </c>
      <c r="B328">
        <f t="shared" si="14"/>
        <v>0</v>
      </c>
      <c r="C328" s="28"/>
      <c r="D328" s="28"/>
      <c r="E328">
        <f>CumOffset+fcoh*EXP(-2*GammaBar*C328+mutwo*C328^2+muthree*C328^3+mufour*C328^4)</f>
        <v>0.5</v>
      </c>
      <c r="F328">
        <f t="shared" si="15"/>
        <v>-0.5</v>
      </c>
      <c r="G328">
        <f t="shared" si="16"/>
        <v>0.25</v>
      </c>
    </row>
    <row r="329" spans="1:7">
      <c r="A329">
        <v>319</v>
      </c>
      <c r="B329">
        <f t="shared" si="14"/>
        <v>0</v>
      </c>
      <c r="C329" s="28"/>
      <c r="D329" s="28"/>
      <c r="E329">
        <f>CumOffset+fcoh*EXP(-2*GammaBar*C329+mutwo*C329^2+muthree*C329^3+mufour*C329^4)</f>
        <v>0.5</v>
      </c>
      <c r="F329">
        <f t="shared" si="15"/>
        <v>-0.5</v>
      </c>
      <c r="G329">
        <f t="shared" si="16"/>
        <v>0.25</v>
      </c>
    </row>
    <row r="330" spans="1:7">
      <c r="A330">
        <v>320</v>
      </c>
      <c r="B330">
        <f t="shared" si="14"/>
        <v>0</v>
      </c>
      <c r="C330" s="28"/>
      <c r="D330" s="28"/>
      <c r="E330">
        <f>CumOffset+fcoh*EXP(-2*GammaBar*C330+mutwo*C330^2+muthree*C330^3+mufour*C330^4)</f>
        <v>0.5</v>
      </c>
      <c r="F330">
        <f t="shared" si="15"/>
        <v>-0.5</v>
      </c>
      <c r="G330">
        <f t="shared" si="16"/>
        <v>0.25</v>
      </c>
    </row>
    <row r="331" spans="1:7">
      <c r="A331">
        <v>321</v>
      </c>
      <c r="B331">
        <f t="shared" si="14"/>
        <v>0</v>
      </c>
      <c r="C331" s="28"/>
      <c r="D331" s="28"/>
      <c r="E331">
        <f>CumOffset+fcoh*EXP(-2*GammaBar*C331+mutwo*C331^2+muthree*C331^3+mufour*C331^4)</f>
        <v>0.5</v>
      </c>
      <c r="F331">
        <f t="shared" si="15"/>
        <v>-0.5</v>
      </c>
      <c r="G331">
        <f t="shared" si="16"/>
        <v>0.25</v>
      </c>
    </row>
    <row r="332" spans="1:7">
      <c r="A332">
        <v>322</v>
      </c>
      <c r="B332">
        <f t="shared" ref="B332:B395" si="17">C332/1000</f>
        <v>0</v>
      </c>
      <c r="C332" s="28"/>
      <c r="D332" s="28"/>
      <c r="E332">
        <f>CumOffset+fcoh*EXP(-2*GammaBar*C332+mutwo*C332^2+muthree*C332^3+mufour*C332^4)</f>
        <v>0.5</v>
      </c>
      <c r="F332">
        <f t="shared" ref="F332:F395" si="18">D332-E332</f>
        <v>-0.5</v>
      </c>
      <c r="G332">
        <f t="shared" ref="G332:G395" si="19">F332*F332</f>
        <v>0.25</v>
      </c>
    </row>
    <row r="333" spans="1:7">
      <c r="A333">
        <v>323</v>
      </c>
      <c r="B333">
        <f t="shared" si="17"/>
        <v>0</v>
      </c>
      <c r="C333" s="28"/>
      <c r="D333" s="28"/>
      <c r="E333">
        <f>CumOffset+fcoh*EXP(-2*GammaBar*C333+mutwo*C333^2+muthree*C333^3+mufour*C333^4)</f>
        <v>0.5</v>
      </c>
      <c r="F333">
        <f t="shared" si="18"/>
        <v>-0.5</v>
      </c>
      <c r="G333">
        <f t="shared" si="19"/>
        <v>0.25</v>
      </c>
    </row>
    <row r="334" spans="1:7">
      <c r="A334">
        <v>324</v>
      </c>
      <c r="B334">
        <f t="shared" si="17"/>
        <v>0</v>
      </c>
      <c r="C334" s="28"/>
      <c r="D334" s="28"/>
      <c r="E334">
        <f>CumOffset+fcoh*EXP(-2*GammaBar*C334+mutwo*C334^2+muthree*C334^3+mufour*C334^4)</f>
        <v>0.5</v>
      </c>
      <c r="F334">
        <f t="shared" si="18"/>
        <v>-0.5</v>
      </c>
      <c r="G334">
        <f t="shared" si="19"/>
        <v>0.25</v>
      </c>
    </row>
    <row r="335" spans="1:7">
      <c r="A335">
        <v>325</v>
      </c>
      <c r="B335">
        <f t="shared" si="17"/>
        <v>0</v>
      </c>
      <c r="C335" s="28"/>
      <c r="D335" s="28"/>
      <c r="E335">
        <f>CumOffset+fcoh*EXP(-2*GammaBar*C335+mutwo*C335^2+muthree*C335^3+mufour*C335^4)</f>
        <v>0.5</v>
      </c>
      <c r="F335">
        <f t="shared" si="18"/>
        <v>-0.5</v>
      </c>
      <c r="G335">
        <f t="shared" si="19"/>
        <v>0.25</v>
      </c>
    </row>
    <row r="336" spans="1:7">
      <c r="A336">
        <v>326</v>
      </c>
      <c r="B336">
        <f t="shared" si="17"/>
        <v>0</v>
      </c>
      <c r="C336" s="28"/>
      <c r="D336" s="28"/>
      <c r="E336">
        <f>CumOffset+fcoh*EXP(-2*GammaBar*C336+mutwo*C336^2+muthree*C336^3+mufour*C336^4)</f>
        <v>0.5</v>
      </c>
      <c r="F336">
        <f t="shared" si="18"/>
        <v>-0.5</v>
      </c>
      <c r="G336">
        <f t="shared" si="19"/>
        <v>0.25</v>
      </c>
    </row>
    <row r="337" spans="1:7">
      <c r="A337">
        <v>327</v>
      </c>
      <c r="B337">
        <f t="shared" si="17"/>
        <v>0</v>
      </c>
      <c r="C337" s="28"/>
      <c r="D337" s="28"/>
      <c r="E337">
        <f>CumOffset+fcoh*EXP(-2*GammaBar*C337+mutwo*C337^2+muthree*C337^3+mufour*C337^4)</f>
        <v>0.5</v>
      </c>
      <c r="F337">
        <f t="shared" si="18"/>
        <v>-0.5</v>
      </c>
      <c r="G337">
        <f t="shared" si="19"/>
        <v>0.25</v>
      </c>
    </row>
    <row r="338" spans="1:7">
      <c r="A338">
        <v>328</v>
      </c>
      <c r="B338">
        <f t="shared" si="17"/>
        <v>0</v>
      </c>
      <c r="C338" s="28"/>
      <c r="D338" s="28"/>
      <c r="E338">
        <f>CumOffset+fcoh*EXP(-2*GammaBar*C338+mutwo*C338^2+muthree*C338^3+mufour*C338^4)</f>
        <v>0.5</v>
      </c>
      <c r="F338">
        <f t="shared" si="18"/>
        <v>-0.5</v>
      </c>
      <c r="G338">
        <f t="shared" si="19"/>
        <v>0.25</v>
      </c>
    </row>
    <row r="339" spans="1:7">
      <c r="A339">
        <v>329</v>
      </c>
      <c r="B339">
        <f t="shared" si="17"/>
        <v>0</v>
      </c>
      <c r="C339" s="28"/>
      <c r="D339" s="28"/>
      <c r="E339">
        <f>CumOffset+fcoh*EXP(-2*GammaBar*C339+mutwo*C339^2+muthree*C339^3+mufour*C339^4)</f>
        <v>0.5</v>
      </c>
      <c r="F339">
        <f t="shared" si="18"/>
        <v>-0.5</v>
      </c>
      <c r="G339">
        <f t="shared" si="19"/>
        <v>0.25</v>
      </c>
    </row>
    <row r="340" spans="1:7">
      <c r="A340">
        <v>330</v>
      </c>
      <c r="B340">
        <f t="shared" si="17"/>
        <v>0</v>
      </c>
      <c r="C340" s="28"/>
      <c r="D340" s="28"/>
      <c r="E340">
        <f>CumOffset+fcoh*EXP(-2*GammaBar*C340+mutwo*C340^2+muthree*C340^3+mufour*C340^4)</f>
        <v>0.5</v>
      </c>
      <c r="F340">
        <f t="shared" si="18"/>
        <v>-0.5</v>
      </c>
      <c r="G340">
        <f t="shared" si="19"/>
        <v>0.25</v>
      </c>
    </row>
    <row r="341" spans="1:7">
      <c r="A341">
        <v>331</v>
      </c>
      <c r="B341">
        <f t="shared" si="17"/>
        <v>0</v>
      </c>
      <c r="C341" s="28"/>
      <c r="D341" s="28"/>
      <c r="E341">
        <f>CumOffset+fcoh*EXP(-2*GammaBar*C341+mutwo*C341^2+muthree*C341^3+mufour*C341^4)</f>
        <v>0.5</v>
      </c>
      <c r="F341">
        <f t="shared" si="18"/>
        <v>-0.5</v>
      </c>
      <c r="G341">
        <f t="shared" si="19"/>
        <v>0.25</v>
      </c>
    </row>
    <row r="342" spans="1:7">
      <c r="A342">
        <v>332</v>
      </c>
      <c r="B342">
        <f t="shared" si="17"/>
        <v>0</v>
      </c>
      <c r="C342" s="28"/>
      <c r="D342" s="28"/>
      <c r="E342">
        <f>CumOffset+fcoh*EXP(-2*GammaBar*C342+mutwo*C342^2+muthree*C342^3+mufour*C342^4)</f>
        <v>0.5</v>
      </c>
      <c r="F342">
        <f t="shared" si="18"/>
        <v>-0.5</v>
      </c>
      <c r="G342">
        <f t="shared" si="19"/>
        <v>0.25</v>
      </c>
    </row>
    <row r="343" spans="1:7">
      <c r="A343">
        <v>333</v>
      </c>
      <c r="B343">
        <f t="shared" si="17"/>
        <v>0</v>
      </c>
      <c r="C343" s="28"/>
      <c r="D343" s="28"/>
      <c r="E343">
        <f>CumOffset+fcoh*EXP(-2*GammaBar*C343+mutwo*C343^2+muthree*C343^3+mufour*C343^4)</f>
        <v>0.5</v>
      </c>
      <c r="F343">
        <f t="shared" si="18"/>
        <v>-0.5</v>
      </c>
      <c r="G343">
        <f t="shared" si="19"/>
        <v>0.25</v>
      </c>
    </row>
    <row r="344" spans="1:7">
      <c r="A344">
        <v>334</v>
      </c>
      <c r="B344">
        <f t="shared" si="17"/>
        <v>0</v>
      </c>
      <c r="C344" s="28"/>
      <c r="D344" s="28"/>
      <c r="E344">
        <f>CumOffset+fcoh*EXP(-2*GammaBar*C344+mutwo*C344^2+muthree*C344^3+mufour*C344^4)</f>
        <v>0.5</v>
      </c>
      <c r="F344">
        <f t="shared" si="18"/>
        <v>-0.5</v>
      </c>
      <c r="G344">
        <f t="shared" si="19"/>
        <v>0.25</v>
      </c>
    </row>
    <row r="345" spans="1:7">
      <c r="A345">
        <v>335</v>
      </c>
      <c r="B345">
        <f t="shared" si="17"/>
        <v>0</v>
      </c>
      <c r="C345" s="28"/>
      <c r="D345" s="28"/>
      <c r="E345">
        <f>CumOffset+fcoh*EXP(-2*GammaBar*C345+mutwo*C345^2+muthree*C345^3+mufour*C345^4)</f>
        <v>0.5</v>
      </c>
      <c r="F345">
        <f t="shared" si="18"/>
        <v>-0.5</v>
      </c>
      <c r="G345">
        <f t="shared" si="19"/>
        <v>0.25</v>
      </c>
    </row>
    <row r="346" spans="1:7">
      <c r="A346">
        <v>336</v>
      </c>
      <c r="B346">
        <f t="shared" si="17"/>
        <v>0</v>
      </c>
      <c r="C346" s="28"/>
      <c r="D346" s="28"/>
      <c r="E346">
        <f>CumOffset+fcoh*EXP(-2*GammaBar*C346+mutwo*C346^2+muthree*C346^3+mufour*C346^4)</f>
        <v>0.5</v>
      </c>
      <c r="F346">
        <f t="shared" si="18"/>
        <v>-0.5</v>
      </c>
      <c r="G346">
        <f t="shared" si="19"/>
        <v>0.25</v>
      </c>
    </row>
    <row r="347" spans="1:7">
      <c r="A347">
        <v>337</v>
      </c>
      <c r="B347">
        <f t="shared" si="17"/>
        <v>0</v>
      </c>
      <c r="C347" s="28"/>
      <c r="D347" s="28"/>
      <c r="E347">
        <f>CumOffset+fcoh*EXP(-2*GammaBar*C347+mutwo*C347^2+muthree*C347^3+mufour*C347^4)</f>
        <v>0.5</v>
      </c>
      <c r="F347">
        <f t="shared" si="18"/>
        <v>-0.5</v>
      </c>
      <c r="G347">
        <f t="shared" si="19"/>
        <v>0.25</v>
      </c>
    </row>
    <row r="348" spans="1:7">
      <c r="A348">
        <v>338</v>
      </c>
      <c r="B348">
        <f t="shared" si="17"/>
        <v>0</v>
      </c>
      <c r="C348" s="28"/>
      <c r="D348" s="28"/>
      <c r="E348">
        <f>CumOffset+fcoh*EXP(-2*GammaBar*C348+mutwo*C348^2+muthree*C348^3+mufour*C348^4)</f>
        <v>0.5</v>
      </c>
      <c r="F348">
        <f t="shared" si="18"/>
        <v>-0.5</v>
      </c>
      <c r="G348">
        <f t="shared" si="19"/>
        <v>0.25</v>
      </c>
    </row>
    <row r="349" spans="1:7">
      <c r="A349">
        <v>339</v>
      </c>
      <c r="B349">
        <f t="shared" si="17"/>
        <v>0</v>
      </c>
      <c r="C349" s="28"/>
      <c r="D349" s="28"/>
      <c r="E349">
        <f>CumOffset+fcoh*EXP(-2*GammaBar*C349+mutwo*C349^2+muthree*C349^3+mufour*C349^4)</f>
        <v>0.5</v>
      </c>
      <c r="F349">
        <f t="shared" si="18"/>
        <v>-0.5</v>
      </c>
      <c r="G349">
        <f t="shared" si="19"/>
        <v>0.25</v>
      </c>
    </row>
    <row r="350" spans="1:7">
      <c r="A350">
        <v>340</v>
      </c>
      <c r="B350">
        <f t="shared" si="17"/>
        <v>0</v>
      </c>
      <c r="C350" s="28"/>
      <c r="D350" s="28"/>
      <c r="E350">
        <f>CumOffset+fcoh*EXP(-2*GammaBar*C350+mutwo*C350^2+muthree*C350^3+mufour*C350^4)</f>
        <v>0.5</v>
      </c>
      <c r="F350">
        <f t="shared" si="18"/>
        <v>-0.5</v>
      </c>
      <c r="G350">
        <f t="shared" si="19"/>
        <v>0.25</v>
      </c>
    </row>
    <row r="351" spans="1:7">
      <c r="A351">
        <v>341</v>
      </c>
      <c r="B351">
        <f t="shared" si="17"/>
        <v>0</v>
      </c>
      <c r="C351" s="28"/>
      <c r="D351" s="28"/>
      <c r="E351">
        <f>CumOffset+fcoh*EXP(-2*GammaBar*C351+mutwo*C351^2+muthree*C351^3+mufour*C351^4)</f>
        <v>0.5</v>
      </c>
      <c r="F351">
        <f t="shared" si="18"/>
        <v>-0.5</v>
      </c>
      <c r="G351">
        <f t="shared" si="19"/>
        <v>0.25</v>
      </c>
    </row>
    <row r="352" spans="1:7">
      <c r="A352">
        <v>342</v>
      </c>
      <c r="B352">
        <f t="shared" si="17"/>
        <v>0</v>
      </c>
      <c r="C352" s="28"/>
      <c r="D352" s="28"/>
      <c r="E352">
        <f>CumOffset+fcoh*EXP(-2*GammaBar*C352+mutwo*C352^2+muthree*C352^3+mufour*C352^4)</f>
        <v>0.5</v>
      </c>
      <c r="F352">
        <f t="shared" si="18"/>
        <v>-0.5</v>
      </c>
      <c r="G352">
        <f t="shared" si="19"/>
        <v>0.25</v>
      </c>
    </row>
    <row r="353" spans="1:7">
      <c r="A353">
        <v>343</v>
      </c>
      <c r="B353">
        <f t="shared" si="17"/>
        <v>0</v>
      </c>
      <c r="C353" s="28"/>
      <c r="D353" s="28"/>
      <c r="E353">
        <f>CumOffset+fcoh*EXP(-2*GammaBar*C353+mutwo*C353^2+muthree*C353^3+mufour*C353^4)</f>
        <v>0.5</v>
      </c>
      <c r="F353">
        <f t="shared" si="18"/>
        <v>-0.5</v>
      </c>
      <c r="G353">
        <f t="shared" si="19"/>
        <v>0.25</v>
      </c>
    </row>
    <row r="354" spans="1:7">
      <c r="A354">
        <v>344</v>
      </c>
      <c r="B354">
        <f t="shared" si="17"/>
        <v>0</v>
      </c>
      <c r="C354" s="28"/>
      <c r="D354" s="28"/>
      <c r="E354">
        <f>CumOffset+fcoh*EXP(-2*GammaBar*C354+mutwo*C354^2+muthree*C354^3+mufour*C354^4)</f>
        <v>0.5</v>
      </c>
      <c r="F354">
        <f t="shared" si="18"/>
        <v>-0.5</v>
      </c>
      <c r="G354">
        <f t="shared" si="19"/>
        <v>0.25</v>
      </c>
    </row>
    <row r="355" spans="1:7">
      <c r="A355">
        <v>345</v>
      </c>
      <c r="B355">
        <f t="shared" si="17"/>
        <v>0</v>
      </c>
      <c r="C355" s="28"/>
      <c r="D355" s="28"/>
      <c r="E355">
        <f>CumOffset+fcoh*EXP(-2*GammaBar*C355+mutwo*C355^2+muthree*C355^3+mufour*C355^4)</f>
        <v>0.5</v>
      </c>
      <c r="F355">
        <f t="shared" si="18"/>
        <v>-0.5</v>
      </c>
      <c r="G355">
        <f t="shared" si="19"/>
        <v>0.25</v>
      </c>
    </row>
    <row r="356" spans="1:7">
      <c r="A356">
        <v>346</v>
      </c>
      <c r="B356">
        <f t="shared" si="17"/>
        <v>0</v>
      </c>
      <c r="C356" s="28"/>
      <c r="D356" s="28"/>
      <c r="E356">
        <f>CumOffset+fcoh*EXP(-2*GammaBar*C356+mutwo*C356^2+muthree*C356^3+mufour*C356^4)</f>
        <v>0.5</v>
      </c>
      <c r="F356">
        <f t="shared" si="18"/>
        <v>-0.5</v>
      </c>
      <c r="G356">
        <f t="shared" si="19"/>
        <v>0.25</v>
      </c>
    </row>
    <row r="357" spans="1:7">
      <c r="A357">
        <v>347</v>
      </c>
      <c r="B357">
        <f t="shared" si="17"/>
        <v>0</v>
      </c>
      <c r="C357" s="28"/>
      <c r="D357" s="28"/>
      <c r="E357">
        <f>CumOffset+fcoh*EXP(-2*GammaBar*C357+mutwo*C357^2+muthree*C357^3+mufour*C357^4)</f>
        <v>0.5</v>
      </c>
      <c r="F357">
        <f t="shared" si="18"/>
        <v>-0.5</v>
      </c>
      <c r="G357">
        <f t="shared" si="19"/>
        <v>0.25</v>
      </c>
    </row>
    <row r="358" spans="1:7">
      <c r="A358">
        <v>348</v>
      </c>
      <c r="B358">
        <f t="shared" si="17"/>
        <v>0</v>
      </c>
      <c r="C358" s="28"/>
      <c r="D358" s="28"/>
      <c r="E358">
        <f>CumOffset+fcoh*EXP(-2*GammaBar*C358+mutwo*C358^2+muthree*C358^3+mufour*C358^4)</f>
        <v>0.5</v>
      </c>
      <c r="F358">
        <f t="shared" si="18"/>
        <v>-0.5</v>
      </c>
      <c r="G358">
        <f t="shared" si="19"/>
        <v>0.25</v>
      </c>
    </row>
    <row r="359" spans="1:7">
      <c r="A359">
        <v>349</v>
      </c>
      <c r="B359">
        <f t="shared" si="17"/>
        <v>0</v>
      </c>
      <c r="C359" s="28"/>
      <c r="D359" s="28"/>
      <c r="E359">
        <f>CumOffset+fcoh*EXP(-2*GammaBar*C359+mutwo*C359^2+muthree*C359^3+mufour*C359^4)</f>
        <v>0.5</v>
      </c>
      <c r="F359">
        <f t="shared" si="18"/>
        <v>-0.5</v>
      </c>
      <c r="G359">
        <f t="shared" si="19"/>
        <v>0.25</v>
      </c>
    </row>
    <row r="360" spans="1:7">
      <c r="A360">
        <v>350</v>
      </c>
      <c r="B360">
        <f t="shared" si="17"/>
        <v>0</v>
      </c>
      <c r="C360" s="28"/>
      <c r="D360" s="28"/>
      <c r="E360">
        <f>CumOffset+fcoh*EXP(-2*GammaBar*C360+mutwo*C360^2+muthree*C360^3+mufour*C360^4)</f>
        <v>0.5</v>
      </c>
      <c r="F360">
        <f t="shared" si="18"/>
        <v>-0.5</v>
      </c>
      <c r="G360">
        <f t="shared" si="19"/>
        <v>0.25</v>
      </c>
    </row>
    <row r="361" spans="1:7">
      <c r="A361">
        <v>351</v>
      </c>
      <c r="B361">
        <f t="shared" si="17"/>
        <v>0</v>
      </c>
      <c r="C361" s="28"/>
      <c r="D361" s="28"/>
      <c r="E361">
        <f>CumOffset+fcoh*EXP(-2*GammaBar*C361+mutwo*C361^2+muthree*C361^3+mufour*C361^4)</f>
        <v>0.5</v>
      </c>
      <c r="F361">
        <f t="shared" si="18"/>
        <v>-0.5</v>
      </c>
      <c r="G361">
        <f t="shared" si="19"/>
        <v>0.25</v>
      </c>
    </row>
    <row r="362" spans="1:7">
      <c r="A362">
        <v>352</v>
      </c>
      <c r="B362">
        <f t="shared" si="17"/>
        <v>0</v>
      </c>
      <c r="C362" s="28"/>
      <c r="D362" s="28"/>
      <c r="E362">
        <f>CumOffset+fcoh*EXP(-2*GammaBar*C362+mutwo*C362^2+muthree*C362^3+mufour*C362^4)</f>
        <v>0.5</v>
      </c>
      <c r="F362">
        <f t="shared" si="18"/>
        <v>-0.5</v>
      </c>
      <c r="G362">
        <f t="shared" si="19"/>
        <v>0.25</v>
      </c>
    </row>
    <row r="363" spans="1:7">
      <c r="A363">
        <v>353</v>
      </c>
      <c r="B363">
        <f t="shared" si="17"/>
        <v>0</v>
      </c>
      <c r="C363" s="28"/>
      <c r="D363" s="28"/>
      <c r="E363">
        <f>CumOffset+fcoh*EXP(-2*GammaBar*C363+mutwo*C363^2+muthree*C363^3+mufour*C363^4)</f>
        <v>0.5</v>
      </c>
      <c r="F363">
        <f t="shared" si="18"/>
        <v>-0.5</v>
      </c>
      <c r="G363">
        <f t="shared" si="19"/>
        <v>0.25</v>
      </c>
    </row>
    <row r="364" spans="1:7">
      <c r="A364">
        <v>354</v>
      </c>
      <c r="B364">
        <f t="shared" si="17"/>
        <v>0</v>
      </c>
      <c r="C364" s="28"/>
      <c r="D364" s="28"/>
      <c r="E364">
        <f>CumOffset+fcoh*EXP(-2*GammaBar*C364+mutwo*C364^2+muthree*C364^3+mufour*C364^4)</f>
        <v>0.5</v>
      </c>
      <c r="F364">
        <f t="shared" si="18"/>
        <v>-0.5</v>
      </c>
      <c r="G364">
        <f t="shared" si="19"/>
        <v>0.25</v>
      </c>
    </row>
    <row r="365" spans="1:7">
      <c r="A365">
        <v>355</v>
      </c>
      <c r="B365">
        <f t="shared" si="17"/>
        <v>0</v>
      </c>
      <c r="C365" s="28"/>
      <c r="D365" s="28"/>
      <c r="E365">
        <f>CumOffset+fcoh*EXP(-2*GammaBar*C365+mutwo*C365^2+muthree*C365^3+mufour*C365^4)</f>
        <v>0.5</v>
      </c>
      <c r="F365">
        <f t="shared" si="18"/>
        <v>-0.5</v>
      </c>
      <c r="G365">
        <f t="shared" si="19"/>
        <v>0.25</v>
      </c>
    </row>
    <row r="366" spans="1:7">
      <c r="A366">
        <v>356</v>
      </c>
      <c r="B366">
        <f t="shared" si="17"/>
        <v>0</v>
      </c>
      <c r="C366" s="28"/>
      <c r="D366" s="28"/>
      <c r="E366">
        <f>CumOffset+fcoh*EXP(-2*GammaBar*C366+mutwo*C366^2+muthree*C366^3+mufour*C366^4)</f>
        <v>0.5</v>
      </c>
      <c r="F366">
        <f t="shared" si="18"/>
        <v>-0.5</v>
      </c>
      <c r="G366">
        <f t="shared" si="19"/>
        <v>0.25</v>
      </c>
    </row>
    <row r="367" spans="1:7">
      <c r="A367">
        <v>357</v>
      </c>
      <c r="B367">
        <f t="shared" si="17"/>
        <v>0</v>
      </c>
      <c r="C367" s="28"/>
      <c r="D367" s="28"/>
      <c r="E367">
        <f>CumOffset+fcoh*EXP(-2*GammaBar*C367+mutwo*C367^2+muthree*C367^3+mufour*C367^4)</f>
        <v>0.5</v>
      </c>
      <c r="F367">
        <f t="shared" si="18"/>
        <v>-0.5</v>
      </c>
      <c r="G367">
        <f t="shared" si="19"/>
        <v>0.25</v>
      </c>
    </row>
    <row r="368" spans="1:7">
      <c r="A368">
        <v>358</v>
      </c>
      <c r="B368">
        <f t="shared" si="17"/>
        <v>0</v>
      </c>
      <c r="C368" s="28"/>
      <c r="D368" s="28"/>
      <c r="E368">
        <f>CumOffset+fcoh*EXP(-2*GammaBar*C368+mutwo*C368^2+muthree*C368^3+mufour*C368^4)</f>
        <v>0.5</v>
      </c>
      <c r="F368">
        <f t="shared" si="18"/>
        <v>-0.5</v>
      </c>
      <c r="G368">
        <f t="shared" si="19"/>
        <v>0.25</v>
      </c>
    </row>
    <row r="369" spans="1:7">
      <c r="A369">
        <v>359</v>
      </c>
      <c r="B369">
        <f t="shared" si="17"/>
        <v>0</v>
      </c>
      <c r="C369" s="28"/>
      <c r="D369" s="28"/>
      <c r="E369">
        <f>CumOffset+fcoh*EXP(-2*GammaBar*C369+mutwo*C369^2+muthree*C369^3+mufour*C369^4)</f>
        <v>0.5</v>
      </c>
      <c r="F369">
        <f t="shared" si="18"/>
        <v>-0.5</v>
      </c>
      <c r="G369">
        <f t="shared" si="19"/>
        <v>0.25</v>
      </c>
    </row>
    <row r="370" spans="1:7">
      <c r="A370">
        <v>360</v>
      </c>
      <c r="B370">
        <f t="shared" si="17"/>
        <v>0</v>
      </c>
      <c r="C370" s="28"/>
      <c r="D370" s="28"/>
      <c r="E370">
        <f>CumOffset+fcoh*EXP(-2*GammaBar*C370+mutwo*C370^2+muthree*C370^3+mufour*C370^4)</f>
        <v>0.5</v>
      </c>
      <c r="F370">
        <f t="shared" si="18"/>
        <v>-0.5</v>
      </c>
      <c r="G370">
        <f t="shared" si="19"/>
        <v>0.25</v>
      </c>
    </row>
    <row r="371" spans="1:7">
      <c r="A371">
        <v>361</v>
      </c>
      <c r="B371">
        <f t="shared" si="17"/>
        <v>0</v>
      </c>
      <c r="C371" s="28"/>
      <c r="D371" s="28"/>
      <c r="E371">
        <f>CumOffset+fcoh*EXP(-2*GammaBar*C371+mutwo*C371^2+muthree*C371^3+mufour*C371^4)</f>
        <v>0.5</v>
      </c>
      <c r="F371">
        <f t="shared" si="18"/>
        <v>-0.5</v>
      </c>
      <c r="G371">
        <f t="shared" si="19"/>
        <v>0.25</v>
      </c>
    </row>
    <row r="372" spans="1:7">
      <c r="A372">
        <v>362</v>
      </c>
      <c r="B372">
        <f t="shared" si="17"/>
        <v>0</v>
      </c>
      <c r="C372" s="28"/>
      <c r="D372" s="28"/>
      <c r="E372">
        <f>CumOffset+fcoh*EXP(-2*GammaBar*C372+mutwo*C372^2+muthree*C372^3+mufour*C372^4)</f>
        <v>0.5</v>
      </c>
      <c r="F372">
        <f t="shared" si="18"/>
        <v>-0.5</v>
      </c>
      <c r="G372">
        <f t="shared" si="19"/>
        <v>0.25</v>
      </c>
    </row>
    <row r="373" spans="1:7">
      <c r="A373">
        <v>363</v>
      </c>
      <c r="B373">
        <f t="shared" si="17"/>
        <v>0</v>
      </c>
      <c r="C373" s="28"/>
      <c r="D373" s="28"/>
      <c r="E373">
        <f>CumOffset+fcoh*EXP(-2*GammaBar*C373+mutwo*C373^2+muthree*C373^3+mufour*C373^4)</f>
        <v>0.5</v>
      </c>
      <c r="F373">
        <f t="shared" si="18"/>
        <v>-0.5</v>
      </c>
      <c r="G373">
        <f t="shared" si="19"/>
        <v>0.25</v>
      </c>
    </row>
    <row r="374" spans="1:7">
      <c r="A374">
        <v>364</v>
      </c>
      <c r="B374">
        <f t="shared" si="17"/>
        <v>0</v>
      </c>
      <c r="C374" s="28"/>
      <c r="D374" s="28"/>
      <c r="E374">
        <f>CumOffset+fcoh*EXP(-2*GammaBar*C374+mutwo*C374^2+muthree*C374^3+mufour*C374^4)</f>
        <v>0.5</v>
      </c>
      <c r="F374">
        <f t="shared" si="18"/>
        <v>-0.5</v>
      </c>
      <c r="G374">
        <f t="shared" si="19"/>
        <v>0.25</v>
      </c>
    </row>
    <row r="375" spans="1:7">
      <c r="A375">
        <v>365</v>
      </c>
      <c r="B375">
        <f t="shared" si="17"/>
        <v>0</v>
      </c>
      <c r="C375" s="28"/>
      <c r="D375" s="28"/>
      <c r="E375">
        <f>CumOffset+fcoh*EXP(-2*GammaBar*C375+mutwo*C375^2+muthree*C375^3+mufour*C375^4)</f>
        <v>0.5</v>
      </c>
      <c r="F375">
        <f t="shared" si="18"/>
        <v>-0.5</v>
      </c>
      <c r="G375">
        <f t="shared" si="19"/>
        <v>0.25</v>
      </c>
    </row>
    <row r="376" spans="1:7">
      <c r="A376">
        <v>366</v>
      </c>
      <c r="B376">
        <f t="shared" si="17"/>
        <v>0</v>
      </c>
      <c r="C376" s="28"/>
      <c r="D376" s="28"/>
      <c r="E376">
        <f>CumOffset+fcoh*EXP(-2*GammaBar*C376+mutwo*C376^2+muthree*C376^3+mufour*C376^4)</f>
        <v>0.5</v>
      </c>
      <c r="F376">
        <f t="shared" si="18"/>
        <v>-0.5</v>
      </c>
      <c r="G376">
        <f t="shared" si="19"/>
        <v>0.25</v>
      </c>
    </row>
    <row r="377" spans="1:7">
      <c r="A377">
        <v>367</v>
      </c>
      <c r="B377">
        <f t="shared" si="17"/>
        <v>0</v>
      </c>
      <c r="C377" s="28"/>
      <c r="D377" s="28"/>
      <c r="E377">
        <f>CumOffset+fcoh*EXP(-2*GammaBar*C377+mutwo*C377^2+muthree*C377^3+mufour*C377^4)</f>
        <v>0.5</v>
      </c>
      <c r="F377">
        <f t="shared" si="18"/>
        <v>-0.5</v>
      </c>
      <c r="G377">
        <f t="shared" si="19"/>
        <v>0.25</v>
      </c>
    </row>
    <row r="378" spans="1:7">
      <c r="A378">
        <v>368</v>
      </c>
      <c r="B378">
        <f t="shared" si="17"/>
        <v>0</v>
      </c>
      <c r="C378" s="28"/>
      <c r="D378" s="28"/>
      <c r="E378">
        <f>CumOffset+fcoh*EXP(-2*GammaBar*C378+mutwo*C378^2+muthree*C378^3+mufour*C378^4)</f>
        <v>0.5</v>
      </c>
      <c r="F378">
        <f t="shared" si="18"/>
        <v>-0.5</v>
      </c>
      <c r="G378">
        <f t="shared" si="19"/>
        <v>0.25</v>
      </c>
    </row>
    <row r="379" spans="1:7">
      <c r="A379">
        <v>369</v>
      </c>
      <c r="B379">
        <f t="shared" si="17"/>
        <v>0</v>
      </c>
      <c r="C379" s="28"/>
      <c r="D379" s="28"/>
      <c r="E379">
        <f>CumOffset+fcoh*EXP(-2*GammaBar*C379+mutwo*C379^2+muthree*C379^3+mufour*C379^4)</f>
        <v>0.5</v>
      </c>
      <c r="F379">
        <f t="shared" si="18"/>
        <v>-0.5</v>
      </c>
      <c r="G379">
        <f t="shared" si="19"/>
        <v>0.25</v>
      </c>
    </row>
    <row r="380" spans="1:7">
      <c r="A380">
        <v>370</v>
      </c>
      <c r="B380">
        <f t="shared" si="17"/>
        <v>0</v>
      </c>
      <c r="C380" s="28"/>
      <c r="D380" s="28"/>
      <c r="E380">
        <f>CumOffset+fcoh*EXP(-2*GammaBar*C380+mutwo*C380^2+muthree*C380^3+mufour*C380^4)</f>
        <v>0.5</v>
      </c>
      <c r="F380">
        <f t="shared" si="18"/>
        <v>-0.5</v>
      </c>
      <c r="G380">
        <f t="shared" si="19"/>
        <v>0.25</v>
      </c>
    </row>
    <row r="381" spans="1:7">
      <c r="A381">
        <v>371</v>
      </c>
      <c r="B381">
        <f t="shared" si="17"/>
        <v>0</v>
      </c>
      <c r="C381" s="28"/>
      <c r="D381" s="28"/>
      <c r="E381">
        <f>CumOffset+fcoh*EXP(-2*GammaBar*C381+mutwo*C381^2+muthree*C381^3+mufour*C381^4)</f>
        <v>0.5</v>
      </c>
      <c r="F381">
        <f t="shared" si="18"/>
        <v>-0.5</v>
      </c>
      <c r="G381">
        <f t="shared" si="19"/>
        <v>0.25</v>
      </c>
    </row>
    <row r="382" spans="1:7">
      <c r="A382">
        <v>372</v>
      </c>
      <c r="B382">
        <f t="shared" si="17"/>
        <v>0</v>
      </c>
      <c r="C382" s="28"/>
      <c r="D382" s="28"/>
      <c r="E382">
        <f>CumOffset+fcoh*EXP(-2*GammaBar*C382+mutwo*C382^2+muthree*C382^3+mufour*C382^4)</f>
        <v>0.5</v>
      </c>
      <c r="F382">
        <f t="shared" si="18"/>
        <v>-0.5</v>
      </c>
      <c r="G382">
        <f t="shared" si="19"/>
        <v>0.25</v>
      </c>
    </row>
    <row r="383" spans="1:7">
      <c r="A383">
        <v>373</v>
      </c>
      <c r="B383">
        <f t="shared" si="17"/>
        <v>0</v>
      </c>
      <c r="C383" s="28"/>
      <c r="D383" s="28"/>
      <c r="E383">
        <f>CumOffset+fcoh*EXP(-2*GammaBar*C383+mutwo*C383^2+muthree*C383^3+mufour*C383^4)</f>
        <v>0.5</v>
      </c>
      <c r="F383">
        <f t="shared" si="18"/>
        <v>-0.5</v>
      </c>
      <c r="G383">
        <f t="shared" si="19"/>
        <v>0.25</v>
      </c>
    </row>
    <row r="384" spans="1:7">
      <c r="A384">
        <v>374</v>
      </c>
      <c r="B384">
        <f t="shared" si="17"/>
        <v>0</v>
      </c>
      <c r="C384" s="28"/>
      <c r="D384" s="28"/>
      <c r="E384">
        <f>CumOffset+fcoh*EXP(-2*GammaBar*C384+mutwo*C384^2+muthree*C384^3+mufour*C384^4)</f>
        <v>0.5</v>
      </c>
      <c r="F384">
        <f t="shared" si="18"/>
        <v>-0.5</v>
      </c>
      <c r="G384">
        <f t="shared" si="19"/>
        <v>0.25</v>
      </c>
    </row>
    <row r="385" spans="1:7">
      <c r="A385">
        <v>375</v>
      </c>
      <c r="B385">
        <f t="shared" si="17"/>
        <v>0</v>
      </c>
      <c r="C385" s="28"/>
      <c r="D385" s="28"/>
      <c r="E385">
        <f>CumOffset+fcoh*EXP(-2*GammaBar*C385+mutwo*C385^2+muthree*C385^3+mufour*C385^4)</f>
        <v>0.5</v>
      </c>
      <c r="F385">
        <f t="shared" si="18"/>
        <v>-0.5</v>
      </c>
      <c r="G385">
        <f t="shared" si="19"/>
        <v>0.25</v>
      </c>
    </row>
    <row r="386" spans="1:7">
      <c r="A386">
        <v>376</v>
      </c>
      <c r="B386">
        <f t="shared" si="17"/>
        <v>0</v>
      </c>
      <c r="C386" s="28"/>
      <c r="D386" s="28"/>
      <c r="E386">
        <f>CumOffset+fcoh*EXP(-2*GammaBar*C386+mutwo*C386^2+muthree*C386^3+mufour*C386^4)</f>
        <v>0.5</v>
      </c>
      <c r="F386">
        <f t="shared" si="18"/>
        <v>-0.5</v>
      </c>
      <c r="G386">
        <f t="shared" si="19"/>
        <v>0.25</v>
      </c>
    </row>
    <row r="387" spans="1:7">
      <c r="A387">
        <v>377</v>
      </c>
      <c r="B387">
        <f t="shared" si="17"/>
        <v>0</v>
      </c>
      <c r="C387" s="28"/>
      <c r="D387" s="28"/>
      <c r="E387">
        <f>CumOffset+fcoh*EXP(-2*GammaBar*C387+mutwo*C387^2+muthree*C387^3+mufour*C387^4)</f>
        <v>0.5</v>
      </c>
      <c r="F387">
        <f t="shared" si="18"/>
        <v>-0.5</v>
      </c>
      <c r="G387">
        <f t="shared" si="19"/>
        <v>0.25</v>
      </c>
    </row>
    <row r="388" spans="1:7">
      <c r="A388">
        <v>378</v>
      </c>
      <c r="B388">
        <f t="shared" si="17"/>
        <v>0</v>
      </c>
      <c r="C388" s="28"/>
      <c r="D388" s="28"/>
      <c r="E388">
        <f>CumOffset+fcoh*EXP(-2*GammaBar*C388+mutwo*C388^2+muthree*C388^3+mufour*C388^4)</f>
        <v>0.5</v>
      </c>
      <c r="F388">
        <f t="shared" si="18"/>
        <v>-0.5</v>
      </c>
      <c r="G388">
        <f t="shared" si="19"/>
        <v>0.25</v>
      </c>
    </row>
    <row r="389" spans="1:7">
      <c r="A389">
        <v>379</v>
      </c>
      <c r="B389">
        <f t="shared" si="17"/>
        <v>0</v>
      </c>
      <c r="C389" s="28"/>
      <c r="D389" s="28"/>
      <c r="E389">
        <f>CumOffset+fcoh*EXP(-2*GammaBar*C389+mutwo*C389^2+muthree*C389^3+mufour*C389^4)</f>
        <v>0.5</v>
      </c>
      <c r="F389">
        <f t="shared" si="18"/>
        <v>-0.5</v>
      </c>
      <c r="G389">
        <f t="shared" si="19"/>
        <v>0.25</v>
      </c>
    </row>
    <row r="390" spans="1:7">
      <c r="A390">
        <v>380</v>
      </c>
      <c r="B390">
        <f t="shared" si="17"/>
        <v>0</v>
      </c>
      <c r="C390" s="28"/>
      <c r="D390" s="28"/>
      <c r="E390">
        <f>CumOffset+fcoh*EXP(-2*GammaBar*C390+mutwo*C390^2+muthree*C390^3+mufour*C390^4)</f>
        <v>0.5</v>
      </c>
      <c r="F390">
        <f t="shared" si="18"/>
        <v>-0.5</v>
      </c>
      <c r="G390">
        <f t="shared" si="19"/>
        <v>0.25</v>
      </c>
    </row>
    <row r="391" spans="1:7">
      <c r="A391">
        <v>381</v>
      </c>
      <c r="B391">
        <f t="shared" si="17"/>
        <v>0</v>
      </c>
      <c r="C391" s="28"/>
      <c r="D391" s="28"/>
      <c r="E391">
        <f>CumOffset+fcoh*EXP(-2*GammaBar*C391+mutwo*C391^2+muthree*C391^3+mufour*C391^4)</f>
        <v>0.5</v>
      </c>
      <c r="F391">
        <f t="shared" si="18"/>
        <v>-0.5</v>
      </c>
      <c r="G391">
        <f t="shared" si="19"/>
        <v>0.25</v>
      </c>
    </row>
    <row r="392" spans="1:7">
      <c r="A392">
        <v>382</v>
      </c>
      <c r="B392">
        <f t="shared" si="17"/>
        <v>0</v>
      </c>
      <c r="C392" s="28"/>
      <c r="D392" s="28"/>
      <c r="E392">
        <f>CumOffset+fcoh*EXP(-2*GammaBar*C392+mutwo*C392^2+muthree*C392^3+mufour*C392^4)</f>
        <v>0.5</v>
      </c>
      <c r="F392">
        <f t="shared" si="18"/>
        <v>-0.5</v>
      </c>
      <c r="G392">
        <f t="shared" si="19"/>
        <v>0.25</v>
      </c>
    </row>
    <row r="393" spans="1:7">
      <c r="A393">
        <v>383</v>
      </c>
      <c r="B393">
        <f t="shared" si="17"/>
        <v>0</v>
      </c>
      <c r="C393" s="28"/>
      <c r="D393" s="28"/>
      <c r="E393">
        <f>CumOffset+fcoh*EXP(-2*GammaBar*C393+mutwo*C393^2+muthree*C393^3+mufour*C393^4)</f>
        <v>0.5</v>
      </c>
      <c r="F393">
        <f t="shared" si="18"/>
        <v>-0.5</v>
      </c>
      <c r="G393">
        <f t="shared" si="19"/>
        <v>0.25</v>
      </c>
    </row>
    <row r="394" spans="1:7">
      <c r="A394">
        <v>384</v>
      </c>
      <c r="B394">
        <f t="shared" si="17"/>
        <v>0</v>
      </c>
      <c r="C394" s="28"/>
      <c r="D394" s="28"/>
      <c r="E394">
        <f>CumOffset+fcoh*EXP(-2*GammaBar*C394+mutwo*C394^2+muthree*C394^3+mufour*C394^4)</f>
        <v>0.5</v>
      </c>
      <c r="F394">
        <f t="shared" si="18"/>
        <v>-0.5</v>
      </c>
      <c r="G394">
        <f t="shared" si="19"/>
        <v>0.25</v>
      </c>
    </row>
    <row r="395" spans="1:7">
      <c r="A395">
        <v>385</v>
      </c>
      <c r="B395">
        <f t="shared" si="17"/>
        <v>0</v>
      </c>
      <c r="C395" s="28"/>
      <c r="D395" s="28"/>
      <c r="E395">
        <f>CumOffset+fcoh*EXP(-2*GammaBar*C395+mutwo*C395^2+muthree*C395^3+mufour*C395^4)</f>
        <v>0.5</v>
      </c>
      <c r="F395">
        <f t="shared" si="18"/>
        <v>-0.5</v>
      </c>
      <c r="G395">
        <f t="shared" si="19"/>
        <v>0.25</v>
      </c>
    </row>
    <row r="396" spans="1:7">
      <c r="A396">
        <v>386</v>
      </c>
      <c r="B396">
        <f t="shared" ref="B396:B459" si="20">C396/1000</f>
        <v>0</v>
      </c>
      <c r="C396" s="28"/>
      <c r="D396" s="28"/>
      <c r="E396">
        <f>CumOffset+fcoh*EXP(-2*GammaBar*C396+mutwo*C396^2+muthree*C396^3+mufour*C396^4)</f>
        <v>0.5</v>
      </c>
      <c r="F396">
        <f t="shared" ref="F396:F459" si="21">D396-E396</f>
        <v>-0.5</v>
      </c>
      <c r="G396">
        <f t="shared" ref="G396:G459" si="22">F396*F396</f>
        <v>0.25</v>
      </c>
    </row>
    <row r="397" spans="1:7">
      <c r="A397">
        <v>387</v>
      </c>
      <c r="B397">
        <f t="shared" si="20"/>
        <v>0</v>
      </c>
      <c r="C397" s="28"/>
      <c r="D397" s="28"/>
      <c r="E397">
        <f>CumOffset+fcoh*EXP(-2*GammaBar*C397+mutwo*C397^2+muthree*C397^3+mufour*C397^4)</f>
        <v>0.5</v>
      </c>
      <c r="F397">
        <f t="shared" si="21"/>
        <v>-0.5</v>
      </c>
      <c r="G397">
        <f t="shared" si="22"/>
        <v>0.25</v>
      </c>
    </row>
    <row r="398" spans="1:7">
      <c r="A398">
        <v>388</v>
      </c>
      <c r="B398">
        <f t="shared" si="20"/>
        <v>0</v>
      </c>
      <c r="C398" s="28"/>
      <c r="D398" s="28"/>
      <c r="E398">
        <f>CumOffset+fcoh*EXP(-2*GammaBar*C398+mutwo*C398^2+muthree*C398^3+mufour*C398^4)</f>
        <v>0.5</v>
      </c>
      <c r="F398">
        <f t="shared" si="21"/>
        <v>-0.5</v>
      </c>
      <c r="G398">
        <f t="shared" si="22"/>
        <v>0.25</v>
      </c>
    </row>
    <row r="399" spans="1:7">
      <c r="A399">
        <v>389</v>
      </c>
      <c r="B399">
        <f t="shared" si="20"/>
        <v>0</v>
      </c>
      <c r="C399" s="28"/>
      <c r="D399" s="28"/>
      <c r="E399">
        <f>CumOffset+fcoh*EXP(-2*GammaBar*C399+mutwo*C399^2+muthree*C399^3+mufour*C399^4)</f>
        <v>0.5</v>
      </c>
      <c r="F399">
        <f t="shared" si="21"/>
        <v>-0.5</v>
      </c>
      <c r="G399">
        <f t="shared" si="22"/>
        <v>0.25</v>
      </c>
    </row>
    <row r="400" spans="1:7">
      <c r="A400">
        <v>390</v>
      </c>
      <c r="B400">
        <f t="shared" si="20"/>
        <v>0</v>
      </c>
      <c r="C400" s="28"/>
      <c r="D400" s="28"/>
      <c r="E400">
        <f>CumOffset+fcoh*EXP(-2*GammaBar*C400+mutwo*C400^2+muthree*C400^3+mufour*C400^4)</f>
        <v>0.5</v>
      </c>
      <c r="F400">
        <f t="shared" si="21"/>
        <v>-0.5</v>
      </c>
      <c r="G400">
        <f t="shared" si="22"/>
        <v>0.25</v>
      </c>
    </row>
    <row r="401" spans="1:7">
      <c r="A401">
        <v>391</v>
      </c>
      <c r="B401">
        <f t="shared" si="20"/>
        <v>0</v>
      </c>
      <c r="C401" s="28"/>
      <c r="D401" s="28"/>
      <c r="E401">
        <f>CumOffset+fcoh*EXP(-2*GammaBar*C401+mutwo*C401^2+muthree*C401^3+mufour*C401^4)</f>
        <v>0.5</v>
      </c>
      <c r="F401">
        <f t="shared" si="21"/>
        <v>-0.5</v>
      </c>
      <c r="G401">
        <f t="shared" si="22"/>
        <v>0.25</v>
      </c>
    </row>
    <row r="402" spans="1:7">
      <c r="A402">
        <v>392</v>
      </c>
      <c r="B402">
        <f t="shared" si="20"/>
        <v>0</v>
      </c>
      <c r="C402" s="28"/>
      <c r="D402" s="28"/>
      <c r="E402">
        <f>CumOffset+fcoh*EXP(-2*GammaBar*C402+mutwo*C402^2+muthree*C402^3+mufour*C402^4)</f>
        <v>0.5</v>
      </c>
      <c r="F402">
        <f t="shared" si="21"/>
        <v>-0.5</v>
      </c>
      <c r="G402">
        <f t="shared" si="22"/>
        <v>0.25</v>
      </c>
    </row>
    <row r="403" spans="1:7">
      <c r="A403">
        <v>393</v>
      </c>
      <c r="B403">
        <f t="shared" si="20"/>
        <v>0</v>
      </c>
      <c r="C403" s="28"/>
      <c r="D403" s="28"/>
      <c r="E403">
        <f>CumOffset+fcoh*EXP(-2*GammaBar*C403+mutwo*C403^2+muthree*C403^3+mufour*C403^4)</f>
        <v>0.5</v>
      </c>
      <c r="F403">
        <f t="shared" si="21"/>
        <v>-0.5</v>
      </c>
      <c r="G403">
        <f t="shared" si="22"/>
        <v>0.25</v>
      </c>
    </row>
    <row r="404" spans="1:7">
      <c r="A404">
        <v>394</v>
      </c>
      <c r="B404">
        <f t="shared" si="20"/>
        <v>0</v>
      </c>
      <c r="C404" s="28"/>
      <c r="D404" s="28"/>
      <c r="E404">
        <f>CumOffset+fcoh*EXP(-2*GammaBar*C404+mutwo*C404^2+muthree*C404^3+mufour*C404^4)</f>
        <v>0.5</v>
      </c>
      <c r="F404">
        <f t="shared" si="21"/>
        <v>-0.5</v>
      </c>
      <c r="G404">
        <f t="shared" si="22"/>
        <v>0.25</v>
      </c>
    </row>
    <row r="405" spans="1:7">
      <c r="A405">
        <v>395</v>
      </c>
      <c r="B405">
        <f t="shared" si="20"/>
        <v>0</v>
      </c>
      <c r="C405" s="28"/>
      <c r="D405" s="28"/>
      <c r="E405">
        <f>CumOffset+fcoh*EXP(-2*GammaBar*C405+mutwo*C405^2+muthree*C405^3+mufour*C405^4)</f>
        <v>0.5</v>
      </c>
      <c r="F405">
        <f t="shared" si="21"/>
        <v>-0.5</v>
      </c>
      <c r="G405">
        <f t="shared" si="22"/>
        <v>0.25</v>
      </c>
    </row>
    <row r="406" spans="1:7">
      <c r="A406">
        <v>396</v>
      </c>
      <c r="B406">
        <f t="shared" si="20"/>
        <v>0</v>
      </c>
      <c r="C406" s="28"/>
      <c r="D406" s="28"/>
      <c r="E406">
        <f>CumOffset+fcoh*EXP(-2*GammaBar*C406+mutwo*C406^2+muthree*C406^3+mufour*C406^4)</f>
        <v>0.5</v>
      </c>
      <c r="F406">
        <f t="shared" si="21"/>
        <v>-0.5</v>
      </c>
      <c r="G406">
        <f t="shared" si="22"/>
        <v>0.25</v>
      </c>
    </row>
    <row r="407" spans="1:7">
      <c r="A407">
        <v>397</v>
      </c>
      <c r="B407">
        <f t="shared" si="20"/>
        <v>0</v>
      </c>
      <c r="C407" s="28"/>
      <c r="D407" s="28"/>
      <c r="E407">
        <f>CumOffset+fcoh*EXP(-2*GammaBar*C407+mutwo*C407^2+muthree*C407^3+mufour*C407^4)</f>
        <v>0.5</v>
      </c>
      <c r="F407">
        <f t="shared" si="21"/>
        <v>-0.5</v>
      </c>
      <c r="G407">
        <f t="shared" si="22"/>
        <v>0.25</v>
      </c>
    </row>
    <row r="408" spans="1:7">
      <c r="A408">
        <v>398</v>
      </c>
      <c r="B408">
        <f t="shared" si="20"/>
        <v>0</v>
      </c>
      <c r="C408" s="28"/>
      <c r="D408" s="28"/>
      <c r="E408">
        <f>CumOffset+fcoh*EXP(-2*GammaBar*C408+mutwo*C408^2+muthree*C408^3+mufour*C408^4)</f>
        <v>0.5</v>
      </c>
      <c r="F408">
        <f t="shared" si="21"/>
        <v>-0.5</v>
      </c>
      <c r="G408">
        <f t="shared" si="22"/>
        <v>0.25</v>
      </c>
    </row>
    <row r="409" spans="1:7">
      <c r="A409">
        <v>399</v>
      </c>
      <c r="B409">
        <f t="shared" si="20"/>
        <v>0</v>
      </c>
      <c r="C409" s="28"/>
      <c r="D409" s="28"/>
      <c r="E409">
        <f>CumOffset+fcoh*EXP(-2*GammaBar*C409+mutwo*C409^2+muthree*C409^3+mufour*C409^4)</f>
        <v>0.5</v>
      </c>
      <c r="F409">
        <f t="shared" si="21"/>
        <v>-0.5</v>
      </c>
      <c r="G409">
        <f t="shared" si="22"/>
        <v>0.25</v>
      </c>
    </row>
    <row r="410" spans="1:7">
      <c r="A410">
        <v>400</v>
      </c>
      <c r="B410">
        <f t="shared" si="20"/>
        <v>0</v>
      </c>
      <c r="C410" s="28"/>
      <c r="D410" s="28"/>
      <c r="E410">
        <f>CumOffset+fcoh*EXP(-2*GammaBar*C410+mutwo*C410^2+muthree*C410^3+mufour*C410^4)</f>
        <v>0.5</v>
      </c>
      <c r="F410">
        <f t="shared" si="21"/>
        <v>-0.5</v>
      </c>
      <c r="G410">
        <f t="shared" si="22"/>
        <v>0.25</v>
      </c>
    </row>
    <row r="411" spans="1:7">
      <c r="A411">
        <v>401</v>
      </c>
      <c r="B411">
        <f t="shared" si="20"/>
        <v>0</v>
      </c>
      <c r="C411" s="28"/>
      <c r="D411" s="28"/>
      <c r="E411">
        <f>CumOffset+fcoh*EXP(-2*GammaBar*C411+mutwo*C411^2+muthree*C411^3+mufour*C411^4)</f>
        <v>0.5</v>
      </c>
      <c r="F411">
        <f t="shared" si="21"/>
        <v>-0.5</v>
      </c>
      <c r="G411">
        <f t="shared" si="22"/>
        <v>0.25</v>
      </c>
    </row>
    <row r="412" spans="1:7">
      <c r="A412">
        <v>402</v>
      </c>
      <c r="B412">
        <f t="shared" si="20"/>
        <v>0</v>
      </c>
      <c r="C412" s="28"/>
      <c r="D412" s="28"/>
      <c r="E412">
        <f>CumOffset+fcoh*EXP(-2*GammaBar*C412+mutwo*C412^2+muthree*C412^3+mufour*C412^4)</f>
        <v>0.5</v>
      </c>
      <c r="F412">
        <f t="shared" si="21"/>
        <v>-0.5</v>
      </c>
      <c r="G412">
        <f t="shared" si="22"/>
        <v>0.25</v>
      </c>
    </row>
    <row r="413" spans="1:7">
      <c r="A413">
        <v>403</v>
      </c>
      <c r="B413">
        <f t="shared" si="20"/>
        <v>0</v>
      </c>
      <c r="C413" s="28"/>
      <c r="D413" s="28"/>
      <c r="E413">
        <f>CumOffset+fcoh*EXP(-2*GammaBar*C413+mutwo*C413^2+muthree*C413^3+mufour*C413^4)</f>
        <v>0.5</v>
      </c>
      <c r="F413">
        <f t="shared" si="21"/>
        <v>-0.5</v>
      </c>
      <c r="G413">
        <f t="shared" si="22"/>
        <v>0.25</v>
      </c>
    </row>
    <row r="414" spans="1:7">
      <c r="A414">
        <v>404</v>
      </c>
      <c r="B414">
        <f t="shared" si="20"/>
        <v>0</v>
      </c>
      <c r="C414" s="28"/>
      <c r="D414" s="28"/>
      <c r="E414">
        <f>CumOffset+fcoh*EXP(-2*GammaBar*C414+mutwo*C414^2+muthree*C414^3+mufour*C414^4)</f>
        <v>0.5</v>
      </c>
      <c r="F414">
        <f t="shared" si="21"/>
        <v>-0.5</v>
      </c>
      <c r="G414">
        <f t="shared" si="22"/>
        <v>0.25</v>
      </c>
    </row>
    <row r="415" spans="1:7">
      <c r="A415">
        <v>405</v>
      </c>
      <c r="B415">
        <f t="shared" si="20"/>
        <v>0</v>
      </c>
      <c r="C415" s="28"/>
      <c r="D415" s="28"/>
      <c r="E415">
        <f>CumOffset+fcoh*EXP(-2*GammaBar*C415+mutwo*C415^2+muthree*C415^3+mufour*C415^4)</f>
        <v>0.5</v>
      </c>
      <c r="F415">
        <f t="shared" si="21"/>
        <v>-0.5</v>
      </c>
      <c r="G415">
        <f t="shared" si="22"/>
        <v>0.25</v>
      </c>
    </row>
    <row r="416" spans="1:7">
      <c r="A416">
        <v>406</v>
      </c>
      <c r="B416">
        <f t="shared" si="20"/>
        <v>0</v>
      </c>
      <c r="C416" s="28"/>
      <c r="D416" s="28"/>
      <c r="E416">
        <f>CumOffset+fcoh*EXP(-2*GammaBar*C416+mutwo*C416^2+muthree*C416^3+mufour*C416^4)</f>
        <v>0.5</v>
      </c>
      <c r="F416">
        <f t="shared" si="21"/>
        <v>-0.5</v>
      </c>
      <c r="G416">
        <f t="shared" si="22"/>
        <v>0.25</v>
      </c>
    </row>
    <row r="417" spans="1:7">
      <c r="A417">
        <v>407</v>
      </c>
      <c r="B417">
        <f t="shared" si="20"/>
        <v>0</v>
      </c>
      <c r="C417" s="28"/>
      <c r="D417" s="28"/>
      <c r="E417">
        <f>CumOffset+fcoh*EXP(-2*GammaBar*C417+mutwo*C417^2+muthree*C417^3+mufour*C417^4)</f>
        <v>0.5</v>
      </c>
      <c r="F417">
        <f t="shared" si="21"/>
        <v>-0.5</v>
      </c>
      <c r="G417">
        <f t="shared" si="22"/>
        <v>0.25</v>
      </c>
    </row>
    <row r="418" spans="1:7">
      <c r="A418">
        <v>408</v>
      </c>
      <c r="B418">
        <f t="shared" si="20"/>
        <v>0</v>
      </c>
      <c r="C418" s="28"/>
      <c r="D418" s="28"/>
      <c r="E418">
        <f>CumOffset+fcoh*EXP(-2*GammaBar*C418+mutwo*C418^2+muthree*C418^3+mufour*C418^4)</f>
        <v>0.5</v>
      </c>
      <c r="F418">
        <f t="shared" si="21"/>
        <v>-0.5</v>
      </c>
      <c r="G418">
        <f t="shared" si="22"/>
        <v>0.25</v>
      </c>
    </row>
    <row r="419" spans="1:7">
      <c r="A419">
        <v>409</v>
      </c>
      <c r="B419">
        <f t="shared" si="20"/>
        <v>0</v>
      </c>
      <c r="C419" s="28"/>
      <c r="D419" s="28"/>
      <c r="E419">
        <f>CumOffset+fcoh*EXP(-2*GammaBar*C419+mutwo*C419^2+muthree*C419^3+mufour*C419^4)</f>
        <v>0.5</v>
      </c>
      <c r="F419">
        <f t="shared" si="21"/>
        <v>-0.5</v>
      </c>
      <c r="G419">
        <f t="shared" si="22"/>
        <v>0.25</v>
      </c>
    </row>
    <row r="420" spans="1:7">
      <c r="A420">
        <v>410</v>
      </c>
      <c r="B420">
        <f t="shared" si="20"/>
        <v>0</v>
      </c>
      <c r="C420" s="28"/>
      <c r="D420" s="28"/>
      <c r="E420">
        <f>CumOffset+fcoh*EXP(-2*GammaBar*C420+mutwo*C420^2+muthree*C420^3+mufour*C420^4)</f>
        <v>0.5</v>
      </c>
      <c r="F420">
        <f t="shared" si="21"/>
        <v>-0.5</v>
      </c>
      <c r="G420">
        <f t="shared" si="22"/>
        <v>0.25</v>
      </c>
    </row>
    <row r="421" spans="1:7">
      <c r="A421">
        <v>411</v>
      </c>
      <c r="B421">
        <f t="shared" si="20"/>
        <v>0</v>
      </c>
      <c r="C421" s="28"/>
      <c r="D421" s="28"/>
      <c r="E421">
        <f>CumOffset+fcoh*EXP(-2*GammaBar*C421+mutwo*C421^2+muthree*C421^3+mufour*C421^4)</f>
        <v>0.5</v>
      </c>
      <c r="F421">
        <f t="shared" si="21"/>
        <v>-0.5</v>
      </c>
      <c r="G421">
        <f t="shared" si="22"/>
        <v>0.25</v>
      </c>
    </row>
    <row r="422" spans="1:7">
      <c r="A422">
        <v>412</v>
      </c>
      <c r="B422">
        <f t="shared" si="20"/>
        <v>0</v>
      </c>
      <c r="C422" s="28"/>
      <c r="D422" s="28"/>
      <c r="E422">
        <f>CumOffset+fcoh*EXP(-2*GammaBar*C422+mutwo*C422^2+muthree*C422^3+mufour*C422^4)</f>
        <v>0.5</v>
      </c>
      <c r="F422">
        <f t="shared" si="21"/>
        <v>-0.5</v>
      </c>
      <c r="G422">
        <f t="shared" si="22"/>
        <v>0.25</v>
      </c>
    </row>
    <row r="423" spans="1:7">
      <c r="A423">
        <v>413</v>
      </c>
      <c r="B423">
        <f t="shared" si="20"/>
        <v>0</v>
      </c>
      <c r="C423" s="28"/>
      <c r="D423" s="28"/>
      <c r="E423">
        <f>CumOffset+fcoh*EXP(-2*GammaBar*C423+mutwo*C423^2+muthree*C423^3+mufour*C423^4)</f>
        <v>0.5</v>
      </c>
      <c r="F423">
        <f t="shared" si="21"/>
        <v>-0.5</v>
      </c>
      <c r="G423">
        <f t="shared" si="22"/>
        <v>0.25</v>
      </c>
    </row>
    <row r="424" spans="1:7">
      <c r="A424">
        <v>414</v>
      </c>
      <c r="B424">
        <f t="shared" si="20"/>
        <v>0</v>
      </c>
      <c r="C424" s="28"/>
      <c r="D424" s="28"/>
      <c r="E424">
        <f>CumOffset+fcoh*EXP(-2*GammaBar*C424+mutwo*C424^2+muthree*C424^3+mufour*C424^4)</f>
        <v>0.5</v>
      </c>
      <c r="F424">
        <f t="shared" si="21"/>
        <v>-0.5</v>
      </c>
      <c r="G424">
        <f t="shared" si="22"/>
        <v>0.25</v>
      </c>
    </row>
    <row r="425" spans="1:7">
      <c r="A425">
        <v>415</v>
      </c>
      <c r="B425">
        <f t="shared" si="20"/>
        <v>0</v>
      </c>
      <c r="C425" s="28"/>
      <c r="D425" s="28"/>
      <c r="E425">
        <f>CumOffset+fcoh*EXP(-2*GammaBar*C425+mutwo*C425^2+muthree*C425^3+mufour*C425^4)</f>
        <v>0.5</v>
      </c>
      <c r="F425">
        <f t="shared" si="21"/>
        <v>-0.5</v>
      </c>
      <c r="G425">
        <f t="shared" si="22"/>
        <v>0.25</v>
      </c>
    </row>
    <row r="426" spans="1:7">
      <c r="A426">
        <v>416</v>
      </c>
      <c r="B426">
        <f t="shared" si="20"/>
        <v>0</v>
      </c>
      <c r="C426" s="28"/>
      <c r="D426" s="28"/>
      <c r="E426">
        <f>CumOffset+fcoh*EXP(-2*GammaBar*C426+mutwo*C426^2+muthree*C426^3+mufour*C426^4)</f>
        <v>0.5</v>
      </c>
      <c r="F426">
        <f t="shared" si="21"/>
        <v>-0.5</v>
      </c>
      <c r="G426">
        <f t="shared" si="22"/>
        <v>0.25</v>
      </c>
    </row>
    <row r="427" spans="1:7">
      <c r="A427">
        <v>417</v>
      </c>
      <c r="B427">
        <f t="shared" si="20"/>
        <v>0</v>
      </c>
      <c r="C427" s="28"/>
      <c r="D427" s="28"/>
      <c r="E427">
        <f>CumOffset+fcoh*EXP(-2*GammaBar*C427+mutwo*C427^2+muthree*C427^3+mufour*C427^4)</f>
        <v>0.5</v>
      </c>
      <c r="F427">
        <f t="shared" si="21"/>
        <v>-0.5</v>
      </c>
      <c r="G427">
        <f t="shared" si="22"/>
        <v>0.25</v>
      </c>
    </row>
    <row r="428" spans="1:7">
      <c r="A428">
        <v>418</v>
      </c>
      <c r="B428">
        <f t="shared" si="20"/>
        <v>0</v>
      </c>
      <c r="C428" s="28"/>
      <c r="D428" s="28"/>
      <c r="E428">
        <f>CumOffset+fcoh*EXP(-2*GammaBar*C428+mutwo*C428^2+muthree*C428^3+mufour*C428^4)</f>
        <v>0.5</v>
      </c>
      <c r="F428">
        <f t="shared" si="21"/>
        <v>-0.5</v>
      </c>
      <c r="G428">
        <f t="shared" si="22"/>
        <v>0.25</v>
      </c>
    </row>
    <row r="429" spans="1:7">
      <c r="A429">
        <v>419</v>
      </c>
      <c r="B429">
        <f t="shared" si="20"/>
        <v>0</v>
      </c>
      <c r="C429" s="28"/>
      <c r="D429" s="28"/>
      <c r="E429">
        <f>CumOffset+fcoh*EXP(-2*GammaBar*C429+mutwo*C429^2+muthree*C429^3+mufour*C429^4)</f>
        <v>0.5</v>
      </c>
      <c r="F429">
        <f t="shared" si="21"/>
        <v>-0.5</v>
      </c>
      <c r="G429">
        <f t="shared" si="22"/>
        <v>0.25</v>
      </c>
    </row>
    <row r="430" spans="1:7">
      <c r="A430">
        <v>420</v>
      </c>
      <c r="B430">
        <f t="shared" si="20"/>
        <v>0</v>
      </c>
      <c r="C430" s="28"/>
      <c r="D430" s="28"/>
      <c r="E430">
        <f>CumOffset+fcoh*EXP(-2*GammaBar*C430+mutwo*C430^2+muthree*C430^3+mufour*C430^4)</f>
        <v>0.5</v>
      </c>
      <c r="F430">
        <f t="shared" si="21"/>
        <v>-0.5</v>
      </c>
      <c r="G430">
        <f t="shared" si="22"/>
        <v>0.25</v>
      </c>
    </row>
    <row r="431" spans="1:7">
      <c r="A431">
        <v>421</v>
      </c>
      <c r="B431">
        <f t="shared" si="20"/>
        <v>0</v>
      </c>
      <c r="C431" s="28"/>
      <c r="D431" s="28"/>
      <c r="E431">
        <f>CumOffset+fcoh*EXP(-2*GammaBar*C431+mutwo*C431^2+muthree*C431^3+mufour*C431^4)</f>
        <v>0.5</v>
      </c>
      <c r="F431">
        <f t="shared" si="21"/>
        <v>-0.5</v>
      </c>
      <c r="G431">
        <f t="shared" si="22"/>
        <v>0.25</v>
      </c>
    </row>
    <row r="432" spans="1:7">
      <c r="A432">
        <v>422</v>
      </c>
      <c r="B432">
        <f t="shared" si="20"/>
        <v>0</v>
      </c>
      <c r="C432" s="28"/>
      <c r="D432" s="28"/>
      <c r="E432">
        <f>CumOffset+fcoh*EXP(-2*GammaBar*C432+mutwo*C432^2+muthree*C432^3+mufour*C432^4)</f>
        <v>0.5</v>
      </c>
      <c r="F432">
        <f t="shared" si="21"/>
        <v>-0.5</v>
      </c>
      <c r="G432">
        <f t="shared" si="22"/>
        <v>0.25</v>
      </c>
    </row>
    <row r="433" spans="1:7">
      <c r="A433">
        <v>423</v>
      </c>
      <c r="B433">
        <f t="shared" si="20"/>
        <v>0</v>
      </c>
      <c r="C433" s="28"/>
      <c r="D433" s="28"/>
      <c r="E433">
        <f>CumOffset+fcoh*EXP(-2*GammaBar*C433+mutwo*C433^2+muthree*C433^3+mufour*C433^4)</f>
        <v>0.5</v>
      </c>
      <c r="F433">
        <f t="shared" si="21"/>
        <v>-0.5</v>
      </c>
      <c r="G433">
        <f t="shared" si="22"/>
        <v>0.25</v>
      </c>
    </row>
    <row r="434" spans="1:7">
      <c r="A434">
        <v>424</v>
      </c>
      <c r="B434">
        <f t="shared" si="20"/>
        <v>0</v>
      </c>
      <c r="C434" s="28"/>
      <c r="D434" s="28"/>
      <c r="E434">
        <f>CumOffset+fcoh*EXP(-2*GammaBar*C434+mutwo*C434^2+muthree*C434^3+mufour*C434^4)</f>
        <v>0.5</v>
      </c>
      <c r="F434">
        <f t="shared" si="21"/>
        <v>-0.5</v>
      </c>
      <c r="G434">
        <f t="shared" si="22"/>
        <v>0.25</v>
      </c>
    </row>
    <row r="435" spans="1:7">
      <c r="A435">
        <v>425</v>
      </c>
      <c r="B435">
        <f t="shared" si="20"/>
        <v>0</v>
      </c>
      <c r="C435" s="28"/>
      <c r="D435" s="28"/>
      <c r="E435">
        <f>CumOffset+fcoh*EXP(-2*GammaBar*C435+mutwo*C435^2+muthree*C435^3+mufour*C435^4)</f>
        <v>0.5</v>
      </c>
      <c r="F435">
        <f t="shared" si="21"/>
        <v>-0.5</v>
      </c>
      <c r="G435">
        <f t="shared" si="22"/>
        <v>0.25</v>
      </c>
    </row>
    <row r="436" spans="1:7">
      <c r="A436">
        <v>426</v>
      </c>
      <c r="B436">
        <f t="shared" si="20"/>
        <v>0</v>
      </c>
      <c r="C436" s="28"/>
      <c r="D436" s="28"/>
      <c r="E436">
        <f>CumOffset+fcoh*EXP(-2*GammaBar*C436+mutwo*C436^2+muthree*C436^3+mufour*C436^4)</f>
        <v>0.5</v>
      </c>
      <c r="F436">
        <f t="shared" si="21"/>
        <v>-0.5</v>
      </c>
      <c r="G436">
        <f t="shared" si="22"/>
        <v>0.25</v>
      </c>
    </row>
    <row r="437" spans="1:7">
      <c r="A437">
        <v>427</v>
      </c>
      <c r="B437">
        <f t="shared" si="20"/>
        <v>0</v>
      </c>
      <c r="C437" s="28"/>
      <c r="D437" s="28"/>
      <c r="E437">
        <f>CumOffset+fcoh*EXP(-2*GammaBar*C437+mutwo*C437^2+muthree*C437^3+mufour*C437^4)</f>
        <v>0.5</v>
      </c>
      <c r="F437">
        <f t="shared" si="21"/>
        <v>-0.5</v>
      </c>
      <c r="G437">
        <f t="shared" si="22"/>
        <v>0.25</v>
      </c>
    </row>
    <row r="438" spans="1:7">
      <c r="A438">
        <v>428</v>
      </c>
      <c r="B438">
        <f t="shared" si="20"/>
        <v>0</v>
      </c>
      <c r="C438" s="28"/>
      <c r="D438" s="28"/>
      <c r="E438">
        <f>CumOffset+fcoh*EXP(-2*GammaBar*C438+mutwo*C438^2+muthree*C438^3+mufour*C438^4)</f>
        <v>0.5</v>
      </c>
      <c r="F438">
        <f t="shared" si="21"/>
        <v>-0.5</v>
      </c>
      <c r="G438">
        <f t="shared" si="22"/>
        <v>0.25</v>
      </c>
    </row>
    <row r="439" spans="1:7">
      <c r="A439">
        <v>429</v>
      </c>
      <c r="B439">
        <f t="shared" si="20"/>
        <v>0</v>
      </c>
      <c r="C439" s="28"/>
      <c r="D439" s="28"/>
      <c r="E439">
        <f>CumOffset+fcoh*EXP(-2*GammaBar*C439+mutwo*C439^2+muthree*C439^3+mufour*C439^4)</f>
        <v>0.5</v>
      </c>
      <c r="F439">
        <f t="shared" si="21"/>
        <v>-0.5</v>
      </c>
      <c r="G439">
        <f t="shared" si="22"/>
        <v>0.25</v>
      </c>
    </row>
    <row r="440" spans="1:7">
      <c r="A440">
        <v>430</v>
      </c>
      <c r="B440">
        <f t="shared" si="20"/>
        <v>0</v>
      </c>
      <c r="C440" s="28"/>
      <c r="D440" s="28"/>
      <c r="E440">
        <f>CumOffset+fcoh*EXP(-2*GammaBar*C440+mutwo*C440^2+muthree*C440^3+mufour*C440^4)</f>
        <v>0.5</v>
      </c>
      <c r="F440">
        <f t="shared" si="21"/>
        <v>-0.5</v>
      </c>
      <c r="G440">
        <f t="shared" si="22"/>
        <v>0.25</v>
      </c>
    </row>
    <row r="441" spans="1:7">
      <c r="A441">
        <v>431</v>
      </c>
      <c r="B441">
        <f t="shared" si="20"/>
        <v>0</v>
      </c>
      <c r="C441" s="28"/>
      <c r="D441" s="28"/>
      <c r="E441">
        <f>CumOffset+fcoh*EXP(-2*GammaBar*C441+mutwo*C441^2+muthree*C441^3+mufour*C441^4)</f>
        <v>0.5</v>
      </c>
      <c r="F441">
        <f t="shared" si="21"/>
        <v>-0.5</v>
      </c>
      <c r="G441">
        <f t="shared" si="22"/>
        <v>0.25</v>
      </c>
    </row>
    <row r="442" spans="1:7">
      <c r="A442">
        <v>432</v>
      </c>
      <c r="B442">
        <f t="shared" si="20"/>
        <v>0</v>
      </c>
      <c r="C442" s="28"/>
      <c r="D442" s="28"/>
      <c r="E442">
        <f>CumOffset+fcoh*EXP(-2*GammaBar*C442+mutwo*C442^2+muthree*C442^3+mufour*C442^4)</f>
        <v>0.5</v>
      </c>
      <c r="F442">
        <f t="shared" si="21"/>
        <v>-0.5</v>
      </c>
      <c r="G442">
        <f t="shared" si="22"/>
        <v>0.25</v>
      </c>
    </row>
    <row r="443" spans="1:7">
      <c r="A443">
        <v>433</v>
      </c>
      <c r="B443">
        <f t="shared" si="20"/>
        <v>0</v>
      </c>
      <c r="C443" s="28"/>
      <c r="D443" s="28"/>
      <c r="E443">
        <f>CumOffset+fcoh*EXP(-2*GammaBar*C443+mutwo*C443^2+muthree*C443^3+mufour*C443^4)</f>
        <v>0.5</v>
      </c>
      <c r="F443">
        <f t="shared" si="21"/>
        <v>-0.5</v>
      </c>
      <c r="G443">
        <f t="shared" si="22"/>
        <v>0.25</v>
      </c>
    </row>
    <row r="444" spans="1:7">
      <c r="A444">
        <v>434</v>
      </c>
      <c r="B444">
        <f t="shared" si="20"/>
        <v>0</v>
      </c>
      <c r="C444" s="28"/>
      <c r="D444" s="28"/>
      <c r="E444">
        <f>CumOffset+fcoh*EXP(-2*GammaBar*C444+mutwo*C444^2+muthree*C444^3+mufour*C444^4)</f>
        <v>0.5</v>
      </c>
      <c r="F444">
        <f t="shared" si="21"/>
        <v>-0.5</v>
      </c>
      <c r="G444">
        <f t="shared" si="22"/>
        <v>0.25</v>
      </c>
    </row>
    <row r="445" spans="1:7">
      <c r="A445">
        <v>435</v>
      </c>
      <c r="B445">
        <f t="shared" si="20"/>
        <v>0</v>
      </c>
      <c r="C445" s="28"/>
      <c r="D445" s="28"/>
      <c r="E445">
        <f>CumOffset+fcoh*EXP(-2*GammaBar*C445+mutwo*C445^2+muthree*C445^3+mufour*C445^4)</f>
        <v>0.5</v>
      </c>
      <c r="F445">
        <f t="shared" si="21"/>
        <v>-0.5</v>
      </c>
      <c r="G445">
        <f t="shared" si="22"/>
        <v>0.25</v>
      </c>
    </row>
    <row r="446" spans="1:7">
      <c r="A446">
        <v>436</v>
      </c>
      <c r="B446">
        <f t="shared" si="20"/>
        <v>0</v>
      </c>
      <c r="C446" s="28"/>
      <c r="D446" s="28"/>
      <c r="E446">
        <f>CumOffset+fcoh*EXP(-2*GammaBar*C446+mutwo*C446^2+muthree*C446^3+mufour*C446^4)</f>
        <v>0.5</v>
      </c>
      <c r="F446">
        <f t="shared" si="21"/>
        <v>-0.5</v>
      </c>
      <c r="G446">
        <f t="shared" si="22"/>
        <v>0.25</v>
      </c>
    </row>
    <row r="447" spans="1:7">
      <c r="A447">
        <v>437</v>
      </c>
      <c r="B447">
        <f t="shared" si="20"/>
        <v>0</v>
      </c>
      <c r="C447" s="28"/>
      <c r="D447" s="28"/>
      <c r="E447">
        <f>CumOffset+fcoh*EXP(-2*GammaBar*C447+mutwo*C447^2+muthree*C447^3+mufour*C447^4)</f>
        <v>0.5</v>
      </c>
      <c r="F447">
        <f t="shared" si="21"/>
        <v>-0.5</v>
      </c>
      <c r="G447">
        <f t="shared" si="22"/>
        <v>0.25</v>
      </c>
    </row>
    <row r="448" spans="1:7">
      <c r="A448">
        <v>438</v>
      </c>
      <c r="B448">
        <f t="shared" si="20"/>
        <v>0</v>
      </c>
      <c r="C448" s="28"/>
      <c r="D448" s="28"/>
      <c r="E448">
        <f>CumOffset+fcoh*EXP(-2*GammaBar*C448+mutwo*C448^2+muthree*C448^3+mufour*C448^4)</f>
        <v>0.5</v>
      </c>
      <c r="F448">
        <f t="shared" si="21"/>
        <v>-0.5</v>
      </c>
      <c r="G448">
        <f t="shared" si="22"/>
        <v>0.25</v>
      </c>
    </row>
    <row r="449" spans="1:7">
      <c r="A449">
        <v>439</v>
      </c>
      <c r="B449">
        <f t="shared" si="20"/>
        <v>0</v>
      </c>
      <c r="C449" s="28"/>
      <c r="D449" s="28"/>
      <c r="E449">
        <f>CumOffset+fcoh*EXP(-2*GammaBar*C449+mutwo*C449^2+muthree*C449^3+mufour*C449^4)</f>
        <v>0.5</v>
      </c>
      <c r="F449">
        <f t="shared" si="21"/>
        <v>-0.5</v>
      </c>
      <c r="G449">
        <f t="shared" si="22"/>
        <v>0.25</v>
      </c>
    </row>
    <row r="450" spans="1:7">
      <c r="A450">
        <v>440</v>
      </c>
      <c r="B450">
        <f t="shared" si="20"/>
        <v>0</v>
      </c>
      <c r="C450" s="28"/>
      <c r="D450" s="28"/>
      <c r="E450">
        <f>CumOffset+fcoh*EXP(-2*GammaBar*C450+mutwo*C450^2+muthree*C450^3+mufour*C450^4)</f>
        <v>0.5</v>
      </c>
      <c r="F450">
        <f t="shared" si="21"/>
        <v>-0.5</v>
      </c>
      <c r="G450">
        <f t="shared" si="22"/>
        <v>0.25</v>
      </c>
    </row>
    <row r="451" spans="1:7">
      <c r="A451">
        <v>441</v>
      </c>
      <c r="B451">
        <f t="shared" si="20"/>
        <v>0</v>
      </c>
      <c r="C451" s="28"/>
      <c r="D451" s="28"/>
      <c r="E451">
        <f>CumOffset+fcoh*EXP(-2*GammaBar*C451+mutwo*C451^2+muthree*C451^3+mufour*C451^4)</f>
        <v>0.5</v>
      </c>
      <c r="F451">
        <f t="shared" si="21"/>
        <v>-0.5</v>
      </c>
      <c r="G451">
        <f t="shared" si="22"/>
        <v>0.25</v>
      </c>
    </row>
    <row r="452" spans="1:7">
      <c r="A452">
        <v>442</v>
      </c>
      <c r="B452">
        <f t="shared" si="20"/>
        <v>0</v>
      </c>
      <c r="C452" s="28"/>
      <c r="D452" s="28"/>
      <c r="E452">
        <f>CumOffset+fcoh*EXP(-2*GammaBar*C452+mutwo*C452^2+muthree*C452^3+mufour*C452^4)</f>
        <v>0.5</v>
      </c>
      <c r="F452">
        <f t="shared" si="21"/>
        <v>-0.5</v>
      </c>
      <c r="G452">
        <f t="shared" si="22"/>
        <v>0.25</v>
      </c>
    </row>
    <row r="453" spans="1:7">
      <c r="A453">
        <v>443</v>
      </c>
      <c r="B453">
        <f t="shared" si="20"/>
        <v>0</v>
      </c>
      <c r="C453" s="28"/>
      <c r="D453" s="28"/>
      <c r="E453">
        <f>CumOffset+fcoh*EXP(-2*GammaBar*C453+mutwo*C453^2+muthree*C453^3+mufour*C453^4)</f>
        <v>0.5</v>
      </c>
      <c r="F453">
        <f t="shared" si="21"/>
        <v>-0.5</v>
      </c>
      <c r="G453">
        <f t="shared" si="22"/>
        <v>0.25</v>
      </c>
    </row>
    <row r="454" spans="1:7">
      <c r="A454">
        <v>444</v>
      </c>
      <c r="B454">
        <f t="shared" si="20"/>
        <v>0</v>
      </c>
      <c r="C454" s="28"/>
      <c r="D454" s="28"/>
      <c r="E454">
        <f>CumOffset+fcoh*EXP(-2*GammaBar*C454+mutwo*C454^2+muthree*C454^3+mufour*C454^4)</f>
        <v>0.5</v>
      </c>
      <c r="F454">
        <f t="shared" si="21"/>
        <v>-0.5</v>
      </c>
      <c r="G454">
        <f t="shared" si="22"/>
        <v>0.25</v>
      </c>
    </row>
    <row r="455" spans="1:7">
      <c r="A455">
        <v>445</v>
      </c>
      <c r="B455">
        <f t="shared" si="20"/>
        <v>0</v>
      </c>
      <c r="C455" s="28"/>
      <c r="D455" s="28"/>
      <c r="E455">
        <f>CumOffset+fcoh*EXP(-2*GammaBar*C455+mutwo*C455^2+muthree*C455^3+mufour*C455^4)</f>
        <v>0.5</v>
      </c>
      <c r="F455">
        <f t="shared" si="21"/>
        <v>-0.5</v>
      </c>
      <c r="G455">
        <f t="shared" si="22"/>
        <v>0.25</v>
      </c>
    </row>
    <row r="456" spans="1:7">
      <c r="A456">
        <v>446</v>
      </c>
      <c r="B456">
        <f t="shared" si="20"/>
        <v>0</v>
      </c>
      <c r="C456" s="28"/>
      <c r="D456" s="28"/>
      <c r="E456">
        <f>CumOffset+fcoh*EXP(-2*GammaBar*C456+mutwo*C456^2+muthree*C456^3+mufour*C456^4)</f>
        <v>0.5</v>
      </c>
      <c r="F456">
        <f t="shared" si="21"/>
        <v>-0.5</v>
      </c>
      <c r="G456">
        <f t="shared" si="22"/>
        <v>0.25</v>
      </c>
    </row>
    <row r="457" spans="1:7">
      <c r="A457">
        <v>447</v>
      </c>
      <c r="B457">
        <f t="shared" si="20"/>
        <v>0</v>
      </c>
      <c r="C457" s="28"/>
      <c r="D457" s="28"/>
      <c r="E457">
        <f>CumOffset+fcoh*EXP(-2*GammaBar*C457+mutwo*C457^2+muthree*C457^3+mufour*C457^4)</f>
        <v>0.5</v>
      </c>
      <c r="F457">
        <f t="shared" si="21"/>
        <v>-0.5</v>
      </c>
      <c r="G457">
        <f t="shared" si="22"/>
        <v>0.25</v>
      </c>
    </row>
    <row r="458" spans="1:7">
      <c r="A458">
        <v>448</v>
      </c>
      <c r="B458">
        <f t="shared" si="20"/>
        <v>0</v>
      </c>
      <c r="C458" s="28"/>
      <c r="D458" s="28"/>
      <c r="E458">
        <f>CumOffset+fcoh*EXP(-2*GammaBar*C458+mutwo*C458^2+muthree*C458^3+mufour*C458^4)</f>
        <v>0.5</v>
      </c>
      <c r="F458">
        <f t="shared" si="21"/>
        <v>-0.5</v>
      </c>
      <c r="G458">
        <f t="shared" si="22"/>
        <v>0.25</v>
      </c>
    </row>
    <row r="459" spans="1:7">
      <c r="A459">
        <v>449</v>
      </c>
      <c r="B459">
        <f t="shared" si="20"/>
        <v>0</v>
      </c>
      <c r="C459" s="28"/>
      <c r="D459" s="28"/>
      <c r="E459">
        <f>CumOffset+fcoh*EXP(-2*GammaBar*C459+mutwo*C459^2+muthree*C459^3+mufour*C459^4)</f>
        <v>0.5</v>
      </c>
      <c r="F459">
        <f t="shared" si="21"/>
        <v>-0.5</v>
      </c>
      <c r="G459">
        <f t="shared" si="22"/>
        <v>0.25</v>
      </c>
    </row>
    <row r="460" spans="1:7">
      <c r="A460">
        <v>450</v>
      </c>
      <c r="B460">
        <f t="shared" ref="B460:B523" si="23">C460/1000</f>
        <v>0</v>
      </c>
      <c r="C460" s="28"/>
      <c r="D460" s="28"/>
      <c r="E460">
        <f>CumOffset+fcoh*EXP(-2*GammaBar*C460+mutwo*C460^2+muthree*C460^3+mufour*C460^4)</f>
        <v>0.5</v>
      </c>
      <c r="F460">
        <f t="shared" ref="F460:F523" si="24">D460-E460</f>
        <v>-0.5</v>
      </c>
      <c r="G460">
        <f t="shared" ref="G460:G523" si="25">F460*F460</f>
        <v>0.25</v>
      </c>
    </row>
    <row r="461" spans="1:7">
      <c r="A461">
        <v>451</v>
      </c>
      <c r="B461">
        <f t="shared" si="23"/>
        <v>0</v>
      </c>
      <c r="C461" s="28"/>
      <c r="D461" s="28"/>
      <c r="E461">
        <f>CumOffset+fcoh*EXP(-2*GammaBar*C461+mutwo*C461^2+muthree*C461^3+mufour*C461^4)</f>
        <v>0.5</v>
      </c>
      <c r="F461">
        <f t="shared" si="24"/>
        <v>-0.5</v>
      </c>
      <c r="G461">
        <f t="shared" si="25"/>
        <v>0.25</v>
      </c>
    </row>
    <row r="462" spans="1:7">
      <c r="A462">
        <v>452</v>
      </c>
      <c r="B462">
        <f t="shared" si="23"/>
        <v>0</v>
      </c>
      <c r="C462" s="28"/>
      <c r="D462" s="28"/>
      <c r="E462">
        <f>CumOffset+fcoh*EXP(-2*GammaBar*C462+mutwo*C462^2+muthree*C462^3+mufour*C462^4)</f>
        <v>0.5</v>
      </c>
      <c r="F462">
        <f t="shared" si="24"/>
        <v>-0.5</v>
      </c>
      <c r="G462">
        <f t="shared" si="25"/>
        <v>0.25</v>
      </c>
    </row>
    <row r="463" spans="1:7">
      <c r="A463">
        <v>453</v>
      </c>
      <c r="B463">
        <f t="shared" si="23"/>
        <v>0</v>
      </c>
      <c r="C463" s="28"/>
      <c r="D463" s="28"/>
      <c r="E463">
        <f>CumOffset+fcoh*EXP(-2*GammaBar*C463+mutwo*C463^2+muthree*C463^3+mufour*C463^4)</f>
        <v>0.5</v>
      </c>
      <c r="F463">
        <f t="shared" si="24"/>
        <v>-0.5</v>
      </c>
      <c r="G463">
        <f t="shared" si="25"/>
        <v>0.25</v>
      </c>
    </row>
    <row r="464" spans="1:7">
      <c r="A464">
        <v>454</v>
      </c>
      <c r="B464">
        <f t="shared" si="23"/>
        <v>0</v>
      </c>
      <c r="C464" s="28"/>
      <c r="D464" s="28"/>
      <c r="E464">
        <f>CumOffset+fcoh*EXP(-2*GammaBar*C464+mutwo*C464^2+muthree*C464^3+mufour*C464^4)</f>
        <v>0.5</v>
      </c>
      <c r="F464">
        <f t="shared" si="24"/>
        <v>-0.5</v>
      </c>
      <c r="G464">
        <f t="shared" si="25"/>
        <v>0.25</v>
      </c>
    </row>
    <row r="465" spans="1:7">
      <c r="A465">
        <v>455</v>
      </c>
      <c r="B465">
        <f t="shared" si="23"/>
        <v>0</v>
      </c>
      <c r="C465" s="28"/>
      <c r="D465" s="28"/>
      <c r="E465">
        <f>CumOffset+fcoh*EXP(-2*GammaBar*C465+mutwo*C465^2+muthree*C465^3+mufour*C465^4)</f>
        <v>0.5</v>
      </c>
      <c r="F465">
        <f t="shared" si="24"/>
        <v>-0.5</v>
      </c>
      <c r="G465">
        <f t="shared" si="25"/>
        <v>0.25</v>
      </c>
    </row>
    <row r="466" spans="1:7">
      <c r="A466">
        <v>456</v>
      </c>
      <c r="B466">
        <f t="shared" si="23"/>
        <v>0</v>
      </c>
      <c r="C466" s="28"/>
      <c r="D466" s="28"/>
      <c r="E466">
        <f>CumOffset+fcoh*EXP(-2*GammaBar*C466+mutwo*C466^2+muthree*C466^3+mufour*C466^4)</f>
        <v>0.5</v>
      </c>
      <c r="F466">
        <f t="shared" si="24"/>
        <v>-0.5</v>
      </c>
      <c r="G466">
        <f t="shared" si="25"/>
        <v>0.25</v>
      </c>
    </row>
    <row r="467" spans="1:7">
      <c r="A467">
        <v>457</v>
      </c>
      <c r="B467">
        <f t="shared" si="23"/>
        <v>0</v>
      </c>
      <c r="C467" s="28"/>
      <c r="D467" s="28"/>
      <c r="E467">
        <f>CumOffset+fcoh*EXP(-2*GammaBar*C467+mutwo*C467^2+muthree*C467^3+mufour*C467^4)</f>
        <v>0.5</v>
      </c>
      <c r="F467">
        <f t="shared" si="24"/>
        <v>-0.5</v>
      </c>
      <c r="G467">
        <f t="shared" si="25"/>
        <v>0.25</v>
      </c>
    </row>
    <row r="468" spans="1:7">
      <c r="A468">
        <v>458</v>
      </c>
      <c r="B468">
        <f t="shared" si="23"/>
        <v>0</v>
      </c>
      <c r="C468" s="28"/>
      <c r="D468" s="28"/>
      <c r="E468">
        <f>CumOffset+fcoh*EXP(-2*GammaBar*C468+mutwo*C468^2+muthree*C468^3+mufour*C468^4)</f>
        <v>0.5</v>
      </c>
      <c r="F468">
        <f t="shared" si="24"/>
        <v>-0.5</v>
      </c>
      <c r="G468">
        <f t="shared" si="25"/>
        <v>0.25</v>
      </c>
    </row>
    <row r="469" spans="1:7">
      <c r="A469">
        <v>459</v>
      </c>
      <c r="B469">
        <f t="shared" si="23"/>
        <v>0</v>
      </c>
      <c r="C469" s="28"/>
      <c r="D469" s="28"/>
      <c r="E469">
        <f>CumOffset+fcoh*EXP(-2*GammaBar*C469+mutwo*C469^2+muthree*C469^3+mufour*C469^4)</f>
        <v>0.5</v>
      </c>
      <c r="F469">
        <f t="shared" si="24"/>
        <v>-0.5</v>
      </c>
      <c r="G469">
        <f t="shared" si="25"/>
        <v>0.25</v>
      </c>
    </row>
    <row r="470" spans="1:7">
      <c r="A470">
        <v>460</v>
      </c>
      <c r="B470">
        <f t="shared" si="23"/>
        <v>0</v>
      </c>
      <c r="C470" s="28"/>
      <c r="D470" s="28"/>
      <c r="E470">
        <f>CumOffset+fcoh*EXP(-2*GammaBar*C470+mutwo*C470^2+muthree*C470^3+mufour*C470^4)</f>
        <v>0.5</v>
      </c>
      <c r="F470">
        <f t="shared" si="24"/>
        <v>-0.5</v>
      </c>
      <c r="G470">
        <f t="shared" si="25"/>
        <v>0.25</v>
      </c>
    </row>
    <row r="471" spans="1:7">
      <c r="A471">
        <v>461</v>
      </c>
      <c r="B471">
        <f t="shared" si="23"/>
        <v>0</v>
      </c>
      <c r="C471" s="28"/>
      <c r="D471" s="28"/>
      <c r="E471">
        <f>CumOffset+fcoh*EXP(-2*GammaBar*C471+mutwo*C471^2+muthree*C471^3+mufour*C471^4)</f>
        <v>0.5</v>
      </c>
      <c r="F471">
        <f t="shared" si="24"/>
        <v>-0.5</v>
      </c>
      <c r="G471">
        <f t="shared" si="25"/>
        <v>0.25</v>
      </c>
    </row>
    <row r="472" spans="1:7">
      <c r="A472">
        <v>462</v>
      </c>
      <c r="B472">
        <f t="shared" si="23"/>
        <v>0</v>
      </c>
      <c r="C472" s="28"/>
      <c r="D472" s="28"/>
      <c r="E472">
        <f>CumOffset+fcoh*EXP(-2*GammaBar*C472+mutwo*C472^2+muthree*C472^3+mufour*C472^4)</f>
        <v>0.5</v>
      </c>
      <c r="F472">
        <f t="shared" si="24"/>
        <v>-0.5</v>
      </c>
      <c r="G472">
        <f t="shared" si="25"/>
        <v>0.25</v>
      </c>
    </row>
    <row r="473" spans="1:7">
      <c r="A473">
        <v>463</v>
      </c>
      <c r="B473">
        <f t="shared" si="23"/>
        <v>0</v>
      </c>
      <c r="C473" s="28"/>
      <c r="D473" s="28"/>
      <c r="E473">
        <f>CumOffset+fcoh*EXP(-2*GammaBar*C473+mutwo*C473^2+muthree*C473^3+mufour*C473^4)</f>
        <v>0.5</v>
      </c>
      <c r="F473">
        <f t="shared" si="24"/>
        <v>-0.5</v>
      </c>
      <c r="G473">
        <f t="shared" si="25"/>
        <v>0.25</v>
      </c>
    </row>
    <row r="474" spans="1:7">
      <c r="A474">
        <v>464</v>
      </c>
      <c r="B474">
        <f t="shared" si="23"/>
        <v>0</v>
      </c>
      <c r="C474" s="28"/>
      <c r="D474" s="28"/>
      <c r="E474">
        <f>CumOffset+fcoh*EXP(-2*GammaBar*C474+mutwo*C474^2+muthree*C474^3+mufour*C474^4)</f>
        <v>0.5</v>
      </c>
      <c r="F474">
        <f t="shared" si="24"/>
        <v>-0.5</v>
      </c>
      <c r="G474">
        <f t="shared" si="25"/>
        <v>0.25</v>
      </c>
    </row>
    <row r="475" spans="1:7">
      <c r="A475">
        <v>465</v>
      </c>
      <c r="B475">
        <f t="shared" si="23"/>
        <v>0</v>
      </c>
      <c r="C475" s="28"/>
      <c r="D475" s="28"/>
      <c r="E475">
        <f>CumOffset+fcoh*EXP(-2*GammaBar*C475+mutwo*C475^2+muthree*C475^3+mufour*C475^4)</f>
        <v>0.5</v>
      </c>
      <c r="F475">
        <f t="shared" si="24"/>
        <v>-0.5</v>
      </c>
      <c r="G475">
        <f t="shared" si="25"/>
        <v>0.25</v>
      </c>
    </row>
    <row r="476" spans="1:7">
      <c r="A476">
        <v>466</v>
      </c>
      <c r="B476">
        <f t="shared" si="23"/>
        <v>0</v>
      </c>
      <c r="C476" s="28"/>
      <c r="D476" s="28"/>
      <c r="E476">
        <f>CumOffset+fcoh*EXP(-2*GammaBar*C476+mutwo*C476^2+muthree*C476^3+mufour*C476^4)</f>
        <v>0.5</v>
      </c>
      <c r="F476">
        <f t="shared" si="24"/>
        <v>-0.5</v>
      </c>
      <c r="G476">
        <f t="shared" si="25"/>
        <v>0.25</v>
      </c>
    </row>
    <row r="477" spans="1:7">
      <c r="A477">
        <v>467</v>
      </c>
      <c r="B477">
        <f t="shared" si="23"/>
        <v>0</v>
      </c>
      <c r="C477" s="28"/>
      <c r="D477" s="28"/>
      <c r="E477">
        <f>CumOffset+fcoh*EXP(-2*GammaBar*C477+mutwo*C477^2+muthree*C477^3+mufour*C477^4)</f>
        <v>0.5</v>
      </c>
      <c r="F477">
        <f t="shared" si="24"/>
        <v>-0.5</v>
      </c>
      <c r="G477">
        <f t="shared" si="25"/>
        <v>0.25</v>
      </c>
    </row>
    <row r="478" spans="1:7">
      <c r="A478">
        <v>468</v>
      </c>
      <c r="B478">
        <f t="shared" si="23"/>
        <v>0</v>
      </c>
      <c r="C478" s="28"/>
      <c r="D478" s="28"/>
      <c r="E478">
        <f>CumOffset+fcoh*EXP(-2*GammaBar*C478+mutwo*C478^2+muthree*C478^3+mufour*C478^4)</f>
        <v>0.5</v>
      </c>
      <c r="F478">
        <f t="shared" si="24"/>
        <v>-0.5</v>
      </c>
      <c r="G478">
        <f t="shared" si="25"/>
        <v>0.25</v>
      </c>
    </row>
    <row r="479" spans="1:7">
      <c r="A479">
        <v>469</v>
      </c>
      <c r="B479">
        <f t="shared" si="23"/>
        <v>0</v>
      </c>
      <c r="C479" s="28"/>
      <c r="D479" s="28"/>
      <c r="E479">
        <f>CumOffset+fcoh*EXP(-2*GammaBar*C479+mutwo*C479^2+muthree*C479^3+mufour*C479^4)</f>
        <v>0.5</v>
      </c>
      <c r="F479">
        <f t="shared" si="24"/>
        <v>-0.5</v>
      </c>
      <c r="G479">
        <f t="shared" si="25"/>
        <v>0.25</v>
      </c>
    </row>
    <row r="480" spans="1:7">
      <c r="A480">
        <v>470</v>
      </c>
      <c r="B480">
        <f t="shared" si="23"/>
        <v>0</v>
      </c>
      <c r="C480" s="28"/>
      <c r="D480" s="28"/>
      <c r="E480">
        <f>CumOffset+fcoh*EXP(-2*GammaBar*C480+mutwo*C480^2+muthree*C480^3+mufour*C480^4)</f>
        <v>0.5</v>
      </c>
      <c r="F480">
        <f t="shared" si="24"/>
        <v>-0.5</v>
      </c>
      <c r="G480">
        <f t="shared" si="25"/>
        <v>0.25</v>
      </c>
    </row>
    <row r="481" spans="1:7">
      <c r="A481">
        <v>471</v>
      </c>
      <c r="B481">
        <f t="shared" si="23"/>
        <v>0</v>
      </c>
      <c r="C481" s="28"/>
      <c r="D481" s="28"/>
      <c r="E481">
        <f>CumOffset+fcoh*EXP(-2*GammaBar*C481+mutwo*C481^2+muthree*C481^3+mufour*C481^4)</f>
        <v>0.5</v>
      </c>
      <c r="F481">
        <f t="shared" si="24"/>
        <v>-0.5</v>
      </c>
      <c r="G481">
        <f t="shared" si="25"/>
        <v>0.25</v>
      </c>
    </row>
    <row r="482" spans="1:7">
      <c r="A482">
        <v>472</v>
      </c>
      <c r="B482">
        <f t="shared" si="23"/>
        <v>0</v>
      </c>
      <c r="C482" s="28"/>
      <c r="D482" s="28"/>
      <c r="E482">
        <f>CumOffset+fcoh*EXP(-2*GammaBar*C482+mutwo*C482^2+muthree*C482^3+mufour*C482^4)</f>
        <v>0.5</v>
      </c>
      <c r="F482">
        <f t="shared" si="24"/>
        <v>-0.5</v>
      </c>
      <c r="G482">
        <f t="shared" si="25"/>
        <v>0.25</v>
      </c>
    </row>
    <row r="483" spans="1:7">
      <c r="A483">
        <v>473</v>
      </c>
      <c r="B483">
        <f t="shared" si="23"/>
        <v>0</v>
      </c>
      <c r="C483" s="28"/>
      <c r="D483" s="28"/>
      <c r="E483">
        <f>CumOffset+fcoh*EXP(-2*GammaBar*C483+mutwo*C483^2+muthree*C483^3+mufour*C483^4)</f>
        <v>0.5</v>
      </c>
      <c r="F483">
        <f t="shared" si="24"/>
        <v>-0.5</v>
      </c>
      <c r="G483">
        <f t="shared" si="25"/>
        <v>0.25</v>
      </c>
    </row>
    <row r="484" spans="1:7">
      <c r="A484">
        <v>474</v>
      </c>
      <c r="B484">
        <f t="shared" si="23"/>
        <v>0</v>
      </c>
      <c r="C484" s="28"/>
      <c r="D484" s="28"/>
      <c r="E484">
        <f>CumOffset+fcoh*EXP(-2*GammaBar*C484+mutwo*C484^2+muthree*C484^3+mufour*C484^4)</f>
        <v>0.5</v>
      </c>
      <c r="F484">
        <f t="shared" si="24"/>
        <v>-0.5</v>
      </c>
      <c r="G484">
        <f t="shared" si="25"/>
        <v>0.25</v>
      </c>
    </row>
    <row r="485" spans="1:7">
      <c r="A485">
        <v>475</v>
      </c>
      <c r="B485">
        <f t="shared" si="23"/>
        <v>0</v>
      </c>
      <c r="C485" s="28"/>
      <c r="D485" s="28"/>
      <c r="E485">
        <f>CumOffset+fcoh*EXP(-2*GammaBar*C485+mutwo*C485^2+muthree*C485^3+mufour*C485^4)</f>
        <v>0.5</v>
      </c>
      <c r="F485">
        <f t="shared" si="24"/>
        <v>-0.5</v>
      </c>
      <c r="G485">
        <f t="shared" si="25"/>
        <v>0.25</v>
      </c>
    </row>
    <row r="486" spans="1:7">
      <c r="A486">
        <v>476</v>
      </c>
      <c r="B486">
        <f t="shared" si="23"/>
        <v>0</v>
      </c>
      <c r="C486" s="28"/>
      <c r="D486" s="28"/>
      <c r="E486">
        <f>CumOffset+fcoh*EXP(-2*GammaBar*C486+mutwo*C486^2+muthree*C486^3+mufour*C486^4)</f>
        <v>0.5</v>
      </c>
      <c r="F486">
        <f t="shared" si="24"/>
        <v>-0.5</v>
      </c>
      <c r="G486">
        <f t="shared" si="25"/>
        <v>0.25</v>
      </c>
    </row>
    <row r="487" spans="1:7">
      <c r="A487">
        <v>477</v>
      </c>
      <c r="B487">
        <f t="shared" si="23"/>
        <v>0</v>
      </c>
      <c r="C487" s="28"/>
      <c r="D487" s="28"/>
      <c r="E487">
        <f>CumOffset+fcoh*EXP(-2*GammaBar*C487+mutwo*C487^2+muthree*C487^3+mufour*C487^4)</f>
        <v>0.5</v>
      </c>
      <c r="F487">
        <f t="shared" si="24"/>
        <v>-0.5</v>
      </c>
      <c r="G487">
        <f t="shared" si="25"/>
        <v>0.25</v>
      </c>
    </row>
    <row r="488" spans="1:7">
      <c r="A488">
        <v>478</v>
      </c>
      <c r="B488">
        <f t="shared" si="23"/>
        <v>0</v>
      </c>
      <c r="C488" s="28"/>
      <c r="D488" s="28"/>
      <c r="E488">
        <f>CumOffset+fcoh*EXP(-2*GammaBar*C488+mutwo*C488^2+muthree*C488^3+mufour*C488^4)</f>
        <v>0.5</v>
      </c>
      <c r="F488">
        <f t="shared" si="24"/>
        <v>-0.5</v>
      </c>
      <c r="G488">
        <f t="shared" si="25"/>
        <v>0.25</v>
      </c>
    </row>
    <row r="489" spans="1:7">
      <c r="A489">
        <v>479</v>
      </c>
      <c r="B489">
        <f t="shared" si="23"/>
        <v>0</v>
      </c>
      <c r="C489" s="28"/>
      <c r="D489" s="28"/>
      <c r="E489">
        <f>CumOffset+fcoh*EXP(-2*GammaBar*C489+mutwo*C489^2+muthree*C489^3+mufour*C489^4)</f>
        <v>0.5</v>
      </c>
      <c r="F489">
        <f t="shared" si="24"/>
        <v>-0.5</v>
      </c>
      <c r="G489">
        <f t="shared" si="25"/>
        <v>0.25</v>
      </c>
    </row>
    <row r="490" spans="1:7">
      <c r="A490">
        <v>480</v>
      </c>
      <c r="B490">
        <f t="shared" si="23"/>
        <v>0</v>
      </c>
      <c r="C490" s="28"/>
      <c r="D490" s="28"/>
      <c r="E490">
        <f>CumOffset+fcoh*EXP(-2*GammaBar*C490+mutwo*C490^2+muthree*C490^3+mufour*C490^4)</f>
        <v>0.5</v>
      </c>
      <c r="F490">
        <f t="shared" si="24"/>
        <v>-0.5</v>
      </c>
      <c r="G490">
        <f t="shared" si="25"/>
        <v>0.25</v>
      </c>
    </row>
    <row r="491" spans="1:7">
      <c r="A491">
        <v>481</v>
      </c>
      <c r="B491">
        <f t="shared" si="23"/>
        <v>0</v>
      </c>
      <c r="C491" s="28"/>
      <c r="D491" s="28"/>
      <c r="E491">
        <f>CumOffset+fcoh*EXP(-2*GammaBar*C491+mutwo*C491^2+muthree*C491^3+mufour*C491^4)</f>
        <v>0.5</v>
      </c>
      <c r="F491">
        <f t="shared" si="24"/>
        <v>-0.5</v>
      </c>
      <c r="G491">
        <f t="shared" si="25"/>
        <v>0.25</v>
      </c>
    </row>
    <row r="492" spans="1:7">
      <c r="A492">
        <v>482</v>
      </c>
      <c r="B492">
        <f t="shared" si="23"/>
        <v>0</v>
      </c>
      <c r="C492" s="28"/>
      <c r="D492" s="28"/>
      <c r="E492">
        <f>CumOffset+fcoh*EXP(-2*GammaBar*C492+mutwo*C492^2+muthree*C492^3+mufour*C492^4)</f>
        <v>0.5</v>
      </c>
      <c r="F492">
        <f t="shared" si="24"/>
        <v>-0.5</v>
      </c>
      <c r="G492">
        <f t="shared" si="25"/>
        <v>0.25</v>
      </c>
    </row>
    <row r="493" spans="1:7">
      <c r="A493">
        <v>483</v>
      </c>
      <c r="B493">
        <f t="shared" si="23"/>
        <v>0</v>
      </c>
      <c r="C493" s="28"/>
      <c r="D493" s="28"/>
      <c r="E493">
        <f>CumOffset+fcoh*EXP(-2*GammaBar*C493+mutwo*C493^2+muthree*C493^3+mufour*C493^4)</f>
        <v>0.5</v>
      </c>
      <c r="F493">
        <f t="shared" si="24"/>
        <v>-0.5</v>
      </c>
      <c r="G493">
        <f t="shared" si="25"/>
        <v>0.25</v>
      </c>
    </row>
    <row r="494" spans="1:7">
      <c r="A494">
        <v>484</v>
      </c>
      <c r="B494">
        <f t="shared" si="23"/>
        <v>0</v>
      </c>
      <c r="C494" s="28"/>
      <c r="D494" s="28"/>
      <c r="E494">
        <f>CumOffset+fcoh*EXP(-2*GammaBar*C494+mutwo*C494^2+muthree*C494^3+mufour*C494^4)</f>
        <v>0.5</v>
      </c>
      <c r="F494">
        <f t="shared" si="24"/>
        <v>-0.5</v>
      </c>
      <c r="G494">
        <f t="shared" si="25"/>
        <v>0.25</v>
      </c>
    </row>
    <row r="495" spans="1:7">
      <c r="A495">
        <v>485</v>
      </c>
      <c r="B495">
        <f t="shared" si="23"/>
        <v>0</v>
      </c>
      <c r="C495" s="28"/>
      <c r="D495" s="28"/>
      <c r="E495">
        <f>CumOffset+fcoh*EXP(-2*GammaBar*C495+mutwo*C495^2+muthree*C495^3+mufour*C495^4)</f>
        <v>0.5</v>
      </c>
      <c r="F495">
        <f t="shared" si="24"/>
        <v>-0.5</v>
      </c>
      <c r="G495">
        <f t="shared" si="25"/>
        <v>0.25</v>
      </c>
    </row>
    <row r="496" spans="1:7">
      <c r="A496">
        <v>486</v>
      </c>
      <c r="B496">
        <f t="shared" si="23"/>
        <v>0</v>
      </c>
      <c r="C496" s="28"/>
      <c r="D496" s="28"/>
      <c r="E496">
        <f>CumOffset+fcoh*EXP(-2*GammaBar*C496+mutwo*C496^2+muthree*C496^3+mufour*C496^4)</f>
        <v>0.5</v>
      </c>
      <c r="F496">
        <f t="shared" si="24"/>
        <v>-0.5</v>
      </c>
      <c r="G496">
        <f t="shared" si="25"/>
        <v>0.25</v>
      </c>
    </row>
    <row r="497" spans="1:7">
      <c r="A497">
        <v>487</v>
      </c>
      <c r="B497">
        <f t="shared" si="23"/>
        <v>0</v>
      </c>
      <c r="C497" s="28"/>
      <c r="D497" s="28"/>
      <c r="E497">
        <f>CumOffset+fcoh*EXP(-2*GammaBar*C497+mutwo*C497^2+muthree*C497^3+mufour*C497^4)</f>
        <v>0.5</v>
      </c>
      <c r="F497">
        <f t="shared" si="24"/>
        <v>-0.5</v>
      </c>
      <c r="G497">
        <f t="shared" si="25"/>
        <v>0.25</v>
      </c>
    </row>
    <row r="498" spans="1:7">
      <c r="A498">
        <v>488</v>
      </c>
      <c r="B498">
        <f t="shared" si="23"/>
        <v>0</v>
      </c>
      <c r="C498" s="28"/>
      <c r="D498" s="28"/>
      <c r="E498">
        <f>CumOffset+fcoh*EXP(-2*GammaBar*C498+mutwo*C498^2+muthree*C498^3+mufour*C498^4)</f>
        <v>0.5</v>
      </c>
      <c r="F498">
        <f t="shared" si="24"/>
        <v>-0.5</v>
      </c>
      <c r="G498">
        <f t="shared" si="25"/>
        <v>0.25</v>
      </c>
    </row>
    <row r="499" spans="1:7">
      <c r="A499">
        <v>489</v>
      </c>
      <c r="B499">
        <f t="shared" si="23"/>
        <v>0</v>
      </c>
      <c r="C499" s="28"/>
      <c r="D499" s="28"/>
      <c r="E499">
        <f>CumOffset+fcoh*EXP(-2*GammaBar*C499+mutwo*C499^2+muthree*C499^3+mufour*C499^4)</f>
        <v>0.5</v>
      </c>
      <c r="F499">
        <f t="shared" si="24"/>
        <v>-0.5</v>
      </c>
      <c r="G499">
        <f t="shared" si="25"/>
        <v>0.25</v>
      </c>
    </row>
    <row r="500" spans="1:7">
      <c r="A500">
        <v>490</v>
      </c>
      <c r="B500">
        <f t="shared" si="23"/>
        <v>0</v>
      </c>
      <c r="C500" s="28"/>
      <c r="D500" s="28"/>
      <c r="E500">
        <f>CumOffset+fcoh*EXP(-2*GammaBar*C500+mutwo*C500^2+muthree*C500^3+mufour*C500^4)</f>
        <v>0.5</v>
      </c>
      <c r="F500">
        <f t="shared" si="24"/>
        <v>-0.5</v>
      </c>
      <c r="G500">
        <f t="shared" si="25"/>
        <v>0.25</v>
      </c>
    </row>
    <row r="501" spans="1:7">
      <c r="A501">
        <v>491</v>
      </c>
      <c r="B501">
        <f t="shared" si="23"/>
        <v>0</v>
      </c>
      <c r="C501" s="28"/>
      <c r="D501" s="28"/>
      <c r="E501">
        <f>CumOffset+fcoh*EXP(-2*GammaBar*C501+mutwo*C501^2+muthree*C501^3+mufour*C501^4)</f>
        <v>0.5</v>
      </c>
      <c r="F501">
        <f t="shared" si="24"/>
        <v>-0.5</v>
      </c>
      <c r="G501">
        <f t="shared" si="25"/>
        <v>0.25</v>
      </c>
    </row>
    <row r="502" spans="1:7">
      <c r="A502">
        <v>492</v>
      </c>
      <c r="B502">
        <f t="shared" si="23"/>
        <v>0</v>
      </c>
      <c r="C502" s="28"/>
      <c r="D502" s="28"/>
      <c r="E502">
        <f>CumOffset+fcoh*EXP(-2*GammaBar*C502+mutwo*C502^2+muthree*C502^3+mufour*C502^4)</f>
        <v>0.5</v>
      </c>
      <c r="F502">
        <f t="shared" si="24"/>
        <v>-0.5</v>
      </c>
      <c r="G502">
        <f t="shared" si="25"/>
        <v>0.25</v>
      </c>
    </row>
    <row r="503" spans="1:7">
      <c r="A503">
        <v>493</v>
      </c>
      <c r="B503">
        <f t="shared" si="23"/>
        <v>0</v>
      </c>
      <c r="C503" s="28"/>
      <c r="D503" s="28"/>
      <c r="E503">
        <f>CumOffset+fcoh*EXP(-2*GammaBar*C503+mutwo*C503^2+muthree*C503^3+mufour*C503^4)</f>
        <v>0.5</v>
      </c>
      <c r="F503">
        <f t="shared" si="24"/>
        <v>-0.5</v>
      </c>
      <c r="G503">
        <f t="shared" si="25"/>
        <v>0.25</v>
      </c>
    </row>
    <row r="504" spans="1:7">
      <c r="A504">
        <v>494</v>
      </c>
      <c r="B504">
        <f t="shared" si="23"/>
        <v>0</v>
      </c>
      <c r="C504" s="28"/>
      <c r="D504" s="28"/>
      <c r="E504">
        <f>CumOffset+fcoh*EXP(-2*GammaBar*C504+mutwo*C504^2+muthree*C504^3+mufour*C504^4)</f>
        <v>0.5</v>
      </c>
      <c r="F504">
        <f t="shared" si="24"/>
        <v>-0.5</v>
      </c>
      <c r="G504">
        <f t="shared" si="25"/>
        <v>0.25</v>
      </c>
    </row>
    <row r="505" spans="1:7">
      <c r="A505">
        <v>495</v>
      </c>
      <c r="B505">
        <f t="shared" si="23"/>
        <v>0</v>
      </c>
      <c r="C505" s="28"/>
      <c r="D505" s="28"/>
      <c r="E505">
        <f>CumOffset+fcoh*EXP(-2*GammaBar*C505+mutwo*C505^2+muthree*C505^3+mufour*C505^4)</f>
        <v>0.5</v>
      </c>
      <c r="F505">
        <f t="shared" si="24"/>
        <v>-0.5</v>
      </c>
      <c r="G505">
        <f t="shared" si="25"/>
        <v>0.25</v>
      </c>
    </row>
    <row r="506" spans="1:7">
      <c r="A506">
        <v>496</v>
      </c>
      <c r="B506">
        <f t="shared" si="23"/>
        <v>0</v>
      </c>
      <c r="C506" s="28"/>
      <c r="D506" s="28"/>
      <c r="E506">
        <f>CumOffset+fcoh*EXP(-2*GammaBar*C506+mutwo*C506^2+muthree*C506^3+mufour*C506^4)</f>
        <v>0.5</v>
      </c>
      <c r="F506">
        <f t="shared" si="24"/>
        <v>-0.5</v>
      </c>
      <c r="G506">
        <f t="shared" si="25"/>
        <v>0.25</v>
      </c>
    </row>
    <row r="507" spans="1:7">
      <c r="A507">
        <v>497</v>
      </c>
      <c r="B507">
        <f t="shared" si="23"/>
        <v>0</v>
      </c>
      <c r="C507" s="28"/>
      <c r="D507" s="28"/>
      <c r="E507">
        <f>CumOffset+fcoh*EXP(-2*GammaBar*C507+mutwo*C507^2+muthree*C507^3+mufour*C507^4)</f>
        <v>0.5</v>
      </c>
      <c r="F507">
        <f t="shared" si="24"/>
        <v>-0.5</v>
      </c>
      <c r="G507">
        <f t="shared" si="25"/>
        <v>0.25</v>
      </c>
    </row>
    <row r="508" spans="1:7">
      <c r="A508">
        <v>498</v>
      </c>
      <c r="B508">
        <f t="shared" si="23"/>
        <v>0</v>
      </c>
      <c r="C508" s="28"/>
      <c r="D508" s="28"/>
      <c r="E508">
        <f>CumOffset+fcoh*EXP(-2*GammaBar*C508+mutwo*C508^2+muthree*C508^3+mufour*C508^4)</f>
        <v>0.5</v>
      </c>
      <c r="F508">
        <f t="shared" si="24"/>
        <v>-0.5</v>
      </c>
      <c r="G508">
        <f t="shared" si="25"/>
        <v>0.25</v>
      </c>
    </row>
    <row r="509" spans="1:7">
      <c r="A509">
        <v>499</v>
      </c>
      <c r="B509">
        <f t="shared" si="23"/>
        <v>0</v>
      </c>
      <c r="C509" s="28"/>
      <c r="D509" s="28"/>
      <c r="E509">
        <f>CumOffset+fcoh*EXP(-2*GammaBar*C509+mutwo*C509^2+muthree*C509^3+mufour*C509^4)</f>
        <v>0.5</v>
      </c>
      <c r="F509">
        <f t="shared" si="24"/>
        <v>-0.5</v>
      </c>
      <c r="G509">
        <f t="shared" si="25"/>
        <v>0.25</v>
      </c>
    </row>
    <row r="510" spans="1:7">
      <c r="A510">
        <v>500</v>
      </c>
      <c r="B510">
        <f t="shared" si="23"/>
        <v>0</v>
      </c>
      <c r="C510" s="28"/>
      <c r="D510" s="28"/>
      <c r="E510">
        <f>CumOffset+fcoh*EXP(-2*GammaBar*C510+mutwo*C510^2+muthree*C510^3+mufour*C510^4)</f>
        <v>0.5</v>
      </c>
      <c r="F510">
        <f t="shared" si="24"/>
        <v>-0.5</v>
      </c>
      <c r="G510">
        <f t="shared" si="25"/>
        <v>0.25</v>
      </c>
    </row>
    <row r="511" spans="1:7">
      <c r="A511">
        <v>501</v>
      </c>
      <c r="B511">
        <f t="shared" si="23"/>
        <v>0</v>
      </c>
      <c r="C511" s="28"/>
      <c r="D511" s="28"/>
      <c r="E511">
        <f>CumOffset+fcoh*EXP(-2*GammaBar*C511+mutwo*C511^2+muthree*C511^3+mufour*C511^4)</f>
        <v>0.5</v>
      </c>
      <c r="F511">
        <f t="shared" si="24"/>
        <v>-0.5</v>
      </c>
      <c r="G511">
        <f t="shared" si="25"/>
        <v>0.25</v>
      </c>
    </row>
    <row r="512" spans="1:7">
      <c r="A512">
        <v>502</v>
      </c>
      <c r="B512">
        <f t="shared" si="23"/>
        <v>0</v>
      </c>
      <c r="C512" s="28"/>
      <c r="D512" s="28"/>
      <c r="E512">
        <f>CumOffset+fcoh*EXP(-2*GammaBar*C512+mutwo*C512^2+muthree*C512^3+mufour*C512^4)</f>
        <v>0.5</v>
      </c>
      <c r="F512">
        <f t="shared" si="24"/>
        <v>-0.5</v>
      </c>
      <c r="G512">
        <f t="shared" si="25"/>
        <v>0.25</v>
      </c>
    </row>
    <row r="513" spans="1:7">
      <c r="A513">
        <v>503</v>
      </c>
      <c r="B513">
        <f t="shared" si="23"/>
        <v>0</v>
      </c>
      <c r="C513" s="28"/>
      <c r="D513" s="28"/>
      <c r="E513">
        <f>CumOffset+fcoh*EXP(-2*GammaBar*C513+mutwo*C513^2+muthree*C513^3+mufour*C513^4)</f>
        <v>0.5</v>
      </c>
      <c r="F513">
        <f t="shared" si="24"/>
        <v>-0.5</v>
      </c>
      <c r="G513">
        <f t="shared" si="25"/>
        <v>0.25</v>
      </c>
    </row>
    <row r="514" spans="1:7">
      <c r="A514">
        <v>504</v>
      </c>
      <c r="B514">
        <f t="shared" si="23"/>
        <v>0</v>
      </c>
      <c r="C514" s="28"/>
      <c r="D514" s="28"/>
      <c r="E514">
        <f>CumOffset+fcoh*EXP(-2*GammaBar*C514+mutwo*C514^2+muthree*C514^3+mufour*C514^4)</f>
        <v>0.5</v>
      </c>
      <c r="F514">
        <f t="shared" si="24"/>
        <v>-0.5</v>
      </c>
      <c r="G514">
        <f t="shared" si="25"/>
        <v>0.25</v>
      </c>
    </row>
    <row r="515" spans="1:7">
      <c r="A515">
        <v>505</v>
      </c>
      <c r="B515">
        <f t="shared" si="23"/>
        <v>0</v>
      </c>
      <c r="C515" s="28"/>
      <c r="D515" s="28"/>
      <c r="E515">
        <f>CumOffset+fcoh*EXP(-2*GammaBar*C515+mutwo*C515^2+muthree*C515^3+mufour*C515^4)</f>
        <v>0.5</v>
      </c>
      <c r="F515">
        <f t="shared" si="24"/>
        <v>-0.5</v>
      </c>
      <c r="G515">
        <f t="shared" si="25"/>
        <v>0.25</v>
      </c>
    </row>
    <row r="516" spans="1:7">
      <c r="A516">
        <v>506</v>
      </c>
      <c r="B516">
        <f t="shared" si="23"/>
        <v>0</v>
      </c>
      <c r="C516" s="28"/>
      <c r="D516" s="28"/>
      <c r="E516">
        <f>CumOffset+fcoh*EXP(-2*GammaBar*C516+mutwo*C516^2+muthree*C516^3+mufour*C516^4)</f>
        <v>0.5</v>
      </c>
      <c r="F516">
        <f t="shared" si="24"/>
        <v>-0.5</v>
      </c>
      <c r="G516">
        <f t="shared" si="25"/>
        <v>0.25</v>
      </c>
    </row>
    <row r="517" spans="1:7">
      <c r="A517">
        <v>507</v>
      </c>
      <c r="B517">
        <f t="shared" si="23"/>
        <v>0</v>
      </c>
      <c r="C517" s="28"/>
      <c r="D517" s="28"/>
      <c r="E517">
        <f>CumOffset+fcoh*EXP(-2*GammaBar*C517+mutwo*C517^2+muthree*C517^3+mufour*C517^4)</f>
        <v>0.5</v>
      </c>
      <c r="F517">
        <f t="shared" si="24"/>
        <v>-0.5</v>
      </c>
      <c r="G517">
        <f t="shared" si="25"/>
        <v>0.25</v>
      </c>
    </row>
    <row r="518" spans="1:7">
      <c r="A518">
        <v>508</v>
      </c>
      <c r="B518">
        <f t="shared" si="23"/>
        <v>0</v>
      </c>
      <c r="C518" s="28"/>
      <c r="D518" s="28"/>
      <c r="E518">
        <f>CumOffset+fcoh*EXP(-2*GammaBar*C518+mutwo*C518^2+muthree*C518^3+mufour*C518^4)</f>
        <v>0.5</v>
      </c>
      <c r="F518">
        <f t="shared" si="24"/>
        <v>-0.5</v>
      </c>
      <c r="G518">
        <f t="shared" si="25"/>
        <v>0.25</v>
      </c>
    </row>
    <row r="519" spans="1:7">
      <c r="A519">
        <v>509</v>
      </c>
      <c r="B519">
        <f t="shared" si="23"/>
        <v>0</v>
      </c>
      <c r="C519" s="28"/>
      <c r="D519" s="28"/>
      <c r="E519">
        <f>CumOffset+fcoh*EXP(-2*GammaBar*C519+mutwo*C519^2+muthree*C519^3+mufour*C519^4)</f>
        <v>0.5</v>
      </c>
      <c r="F519">
        <f t="shared" si="24"/>
        <v>-0.5</v>
      </c>
      <c r="G519">
        <f t="shared" si="25"/>
        <v>0.25</v>
      </c>
    </row>
    <row r="520" spans="1:7">
      <c r="A520">
        <v>510</v>
      </c>
      <c r="B520">
        <f t="shared" si="23"/>
        <v>0</v>
      </c>
      <c r="C520" s="28"/>
      <c r="D520" s="28"/>
      <c r="E520">
        <f>CumOffset+fcoh*EXP(-2*GammaBar*C520+mutwo*C520^2+muthree*C520^3+mufour*C520^4)</f>
        <v>0.5</v>
      </c>
      <c r="F520">
        <f t="shared" si="24"/>
        <v>-0.5</v>
      </c>
      <c r="G520">
        <f t="shared" si="25"/>
        <v>0.25</v>
      </c>
    </row>
    <row r="521" spans="1:7">
      <c r="A521">
        <v>511</v>
      </c>
      <c r="B521">
        <f t="shared" si="23"/>
        <v>0</v>
      </c>
      <c r="C521" s="28"/>
      <c r="D521" s="28"/>
      <c r="E521">
        <f>CumOffset+fcoh*EXP(-2*GammaBar*C521+mutwo*C521^2+muthree*C521^3+mufour*C521^4)</f>
        <v>0.5</v>
      </c>
      <c r="F521">
        <f t="shared" si="24"/>
        <v>-0.5</v>
      </c>
      <c r="G521">
        <f t="shared" si="25"/>
        <v>0.25</v>
      </c>
    </row>
    <row r="522" spans="1:7">
      <c r="A522">
        <v>512</v>
      </c>
      <c r="B522">
        <f t="shared" si="23"/>
        <v>0</v>
      </c>
      <c r="C522" s="28"/>
      <c r="D522" s="28"/>
      <c r="E522">
        <f>CumOffset+fcoh*EXP(-2*GammaBar*C522+mutwo*C522^2+muthree*C522^3+mufour*C522^4)</f>
        <v>0.5</v>
      </c>
      <c r="F522">
        <f t="shared" si="24"/>
        <v>-0.5</v>
      </c>
      <c r="G522">
        <f t="shared" si="25"/>
        <v>0.25</v>
      </c>
    </row>
    <row r="523" spans="1:7">
      <c r="A523">
        <v>513</v>
      </c>
      <c r="B523">
        <f t="shared" si="23"/>
        <v>0</v>
      </c>
      <c r="C523" s="28"/>
      <c r="D523" s="28"/>
      <c r="E523">
        <f>CumOffset+fcoh*EXP(-2*GammaBar*C523+mutwo*C523^2+muthree*C523^3+mufour*C523^4)</f>
        <v>0.5</v>
      </c>
      <c r="F523">
        <f t="shared" si="24"/>
        <v>-0.5</v>
      </c>
      <c r="G523">
        <f t="shared" si="25"/>
        <v>0.25</v>
      </c>
    </row>
    <row r="524" spans="1:7">
      <c r="A524">
        <v>514</v>
      </c>
      <c r="B524">
        <f t="shared" ref="B524:B587" si="26">C524/1000</f>
        <v>0</v>
      </c>
      <c r="C524" s="28"/>
      <c r="D524" s="28"/>
      <c r="E524">
        <f>CumOffset+fcoh*EXP(-2*GammaBar*C524+mutwo*C524^2+muthree*C524^3+mufour*C524^4)</f>
        <v>0.5</v>
      </c>
      <c r="F524">
        <f t="shared" ref="F524:F587" si="27">D524-E524</f>
        <v>-0.5</v>
      </c>
      <c r="G524">
        <f t="shared" ref="G524:G587" si="28">F524*F524</f>
        <v>0.25</v>
      </c>
    </row>
    <row r="525" spans="1:7">
      <c r="A525">
        <v>515</v>
      </c>
      <c r="B525">
        <f t="shared" si="26"/>
        <v>0</v>
      </c>
      <c r="C525" s="28"/>
      <c r="D525" s="28"/>
      <c r="E525">
        <f>CumOffset+fcoh*EXP(-2*GammaBar*C525+mutwo*C525^2+muthree*C525^3+mufour*C525^4)</f>
        <v>0.5</v>
      </c>
      <c r="F525">
        <f t="shared" si="27"/>
        <v>-0.5</v>
      </c>
      <c r="G525">
        <f t="shared" si="28"/>
        <v>0.25</v>
      </c>
    </row>
    <row r="526" spans="1:7">
      <c r="A526">
        <v>516</v>
      </c>
      <c r="B526">
        <f t="shared" si="26"/>
        <v>0</v>
      </c>
      <c r="C526" s="28"/>
      <c r="D526" s="28"/>
      <c r="E526">
        <f>CumOffset+fcoh*EXP(-2*GammaBar*C526+mutwo*C526^2+muthree*C526^3+mufour*C526^4)</f>
        <v>0.5</v>
      </c>
      <c r="F526">
        <f t="shared" si="27"/>
        <v>-0.5</v>
      </c>
      <c r="G526">
        <f t="shared" si="28"/>
        <v>0.25</v>
      </c>
    </row>
    <row r="527" spans="1:7">
      <c r="A527">
        <v>517</v>
      </c>
      <c r="B527">
        <f t="shared" si="26"/>
        <v>0</v>
      </c>
      <c r="C527" s="28"/>
      <c r="D527" s="28"/>
      <c r="E527">
        <f>CumOffset+fcoh*EXP(-2*GammaBar*C527+mutwo*C527^2+muthree*C527^3+mufour*C527^4)</f>
        <v>0.5</v>
      </c>
      <c r="F527">
        <f t="shared" si="27"/>
        <v>-0.5</v>
      </c>
      <c r="G527">
        <f t="shared" si="28"/>
        <v>0.25</v>
      </c>
    </row>
    <row r="528" spans="1:7">
      <c r="A528">
        <v>518</v>
      </c>
      <c r="B528">
        <f t="shared" si="26"/>
        <v>0</v>
      </c>
      <c r="C528" s="28"/>
      <c r="D528" s="28"/>
      <c r="E528">
        <f>CumOffset+fcoh*EXP(-2*GammaBar*C528+mutwo*C528^2+muthree*C528^3+mufour*C528^4)</f>
        <v>0.5</v>
      </c>
      <c r="F528">
        <f t="shared" si="27"/>
        <v>-0.5</v>
      </c>
      <c r="G528">
        <f t="shared" si="28"/>
        <v>0.25</v>
      </c>
    </row>
    <row r="529" spans="1:7">
      <c r="A529">
        <v>519</v>
      </c>
      <c r="B529">
        <f t="shared" si="26"/>
        <v>0</v>
      </c>
      <c r="C529" s="28"/>
      <c r="D529" s="28"/>
      <c r="E529">
        <f>CumOffset+fcoh*EXP(-2*GammaBar*C529+mutwo*C529^2+muthree*C529^3+mufour*C529^4)</f>
        <v>0.5</v>
      </c>
      <c r="F529">
        <f t="shared" si="27"/>
        <v>-0.5</v>
      </c>
      <c r="G529">
        <f t="shared" si="28"/>
        <v>0.25</v>
      </c>
    </row>
    <row r="530" spans="1:7">
      <c r="A530">
        <v>520</v>
      </c>
      <c r="B530">
        <f t="shared" si="26"/>
        <v>0</v>
      </c>
      <c r="C530" s="28"/>
      <c r="D530" s="28"/>
      <c r="E530">
        <f>CumOffset+fcoh*EXP(-2*GammaBar*C530+mutwo*C530^2+muthree*C530^3+mufour*C530^4)</f>
        <v>0.5</v>
      </c>
      <c r="F530">
        <f t="shared" si="27"/>
        <v>-0.5</v>
      </c>
      <c r="G530">
        <f t="shared" si="28"/>
        <v>0.25</v>
      </c>
    </row>
    <row r="531" spans="1:7">
      <c r="A531">
        <v>521</v>
      </c>
      <c r="B531">
        <f t="shared" si="26"/>
        <v>0</v>
      </c>
      <c r="C531" s="28"/>
      <c r="D531" s="28"/>
      <c r="E531">
        <f>CumOffset+fcoh*EXP(-2*GammaBar*C531+mutwo*C531^2+muthree*C531^3+mufour*C531^4)</f>
        <v>0.5</v>
      </c>
      <c r="F531">
        <f t="shared" si="27"/>
        <v>-0.5</v>
      </c>
      <c r="G531">
        <f t="shared" si="28"/>
        <v>0.25</v>
      </c>
    </row>
    <row r="532" spans="1:7">
      <c r="A532">
        <v>522</v>
      </c>
      <c r="B532">
        <f t="shared" si="26"/>
        <v>0</v>
      </c>
      <c r="C532" s="28"/>
      <c r="D532" s="28"/>
      <c r="E532">
        <f>CumOffset+fcoh*EXP(-2*GammaBar*C532+mutwo*C532^2+muthree*C532^3+mufour*C532^4)</f>
        <v>0.5</v>
      </c>
      <c r="F532">
        <f t="shared" si="27"/>
        <v>-0.5</v>
      </c>
      <c r="G532">
        <f t="shared" si="28"/>
        <v>0.25</v>
      </c>
    </row>
    <row r="533" spans="1:7">
      <c r="A533">
        <v>523</v>
      </c>
      <c r="B533">
        <f t="shared" si="26"/>
        <v>0</v>
      </c>
      <c r="C533" s="28"/>
      <c r="D533" s="28"/>
      <c r="E533">
        <f>CumOffset+fcoh*EXP(-2*GammaBar*C533+mutwo*C533^2+muthree*C533^3+mufour*C533^4)</f>
        <v>0.5</v>
      </c>
      <c r="F533">
        <f t="shared" si="27"/>
        <v>-0.5</v>
      </c>
      <c r="G533">
        <f t="shared" si="28"/>
        <v>0.25</v>
      </c>
    </row>
    <row r="534" spans="1:7">
      <c r="A534">
        <v>524</v>
      </c>
      <c r="B534">
        <f t="shared" si="26"/>
        <v>0</v>
      </c>
      <c r="C534" s="28"/>
      <c r="D534" s="28"/>
      <c r="E534">
        <f>CumOffset+fcoh*EXP(-2*GammaBar*C534+mutwo*C534^2+muthree*C534^3+mufour*C534^4)</f>
        <v>0.5</v>
      </c>
      <c r="F534">
        <f t="shared" si="27"/>
        <v>-0.5</v>
      </c>
      <c r="G534">
        <f t="shared" si="28"/>
        <v>0.25</v>
      </c>
    </row>
    <row r="535" spans="1:7">
      <c r="A535">
        <v>525</v>
      </c>
      <c r="B535">
        <f t="shared" si="26"/>
        <v>0</v>
      </c>
      <c r="C535" s="28"/>
      <c r="D535" s="28"/>
      <c r="E535">
        <f>CumOffset+fcoh*EXP(-2*GammaBar*C535+mutwo*C535^2+muthree*C535^3+mufour*C535^4)</f>
        <v>0.5</v>
      </c>
      <c r="F535">
        <f t="shared" si="27"/>
        <v>-0.5</v>
      </c>
      <c r="G535">
        <f t="shared" si="28"/>
        <v>0.25</v>
      </c>
    </row>
    <row r="536" spans="1:7">
      <c r="A536">
        <v>526</v>
      </c>
      <c r="B536">
        <f t="shared" si="26"/>
        <v>0</v>
      </c>
      <c r="C536" s="28"/>
      <c r="D536" s="28"/>
      <c r="E536">
        <f>CumOffset+fcoh*EXP(-2*GammaBar*C536+mutwo*C536^2+muthree*C536^3+mufour*C536^4)</f>
        <v>0.5</v>
      </c>
      <c r="F536">
        <f t="shared" si="27"/>
        <v>-0.5</v>
      </c>
      <c r="G536">
        <f t="shared" si="28"/>
        <v>0.25</v>
      </c>
    </row>
    <row r="537" spans="1:7">
      <c r="A537">
        <v>527</v>
      </c>
      <c r="B537">
        <f t="shared" si="26"/>
        <v>0</v>
      </c>
      <c r="C537" s="28"/>
      <c r="D537" s="28"/>
      <c r="E537">
        <f>CumOffset+fcoh*EXP(-2*GammaBar*C537+mutwo*C537^2+muthree*C537^3+mufour*C537^4)</f>
        <v>0.5</v>
      </c>
      <c r="F537">
        <f t="shared" si="27"/>
        <v>-0.5</v>
      </c>
      <c r="G537">
        <f t="shared" si="28"/>
        <v>0.25</v>
      </c>
    </row>
    <row r="538" spans="1:7">
      <c r="A538">
        <v>528</v>
      </c>
      <c r="B538">
        <f t="shared" si="26"/>
        <v>0</v>
      </c>
      <c r="C538" s="28"/>
      <c r="D538" s="28"/>
      <c r="E538">
        <f>CumOffset+fcoh*EXP(-2*GammaBar*C538+mutwo*C538^2+muthree*C538^3+mufour*C538^4)</f>
        <v>0.5</v>
      </c>
      <c r="F538">
        <f t="shared" si="27"/>
        <v>-0.5</v>
      </c>
      <c r="G538">
        <f t="shared" si="28"/>
        <v>0.25</v>
      </c>
    </row>
    <row r="539" spans="1:7">
      <c r="A539">
        <v>529</v>
      </c>
      <c r="B539">
        <f t="shared" si="26"/>
        <v>0</v>
      </c>
      <c r="C539" s="28"/>
      <c r="D539" s="28"/>
      <c r="E539">
        <f>CumOffset+fcoh*EXP(-2*GammaBar*C539+mutwo*C539^2+muthree*C539^3+mufour*C539^4)</f>
        <v>0.5</v>
      </c>
      <c r="F539">
        <f t="shared" si="27"/>
        <v>-0.5</v>
      </c>
      <c r="G539">
        <f t="shared" si="28"/>
        <v>0.25</v>
      </c>
    </row>
    <row r="540" spans="1:7">
      <c r="A540">
        <v>530</v>
      </c>
      <c r="B540">
        <f t="shared" si="26"/>
        <v>0</v>
      </c>
      <c r="C540" s="28"/>
      <c r="D540" s="28"/>
      <c r="E540">
        <f>CumOffset+fcoh*EXP(-2*GammaBar*C540+mutwo*C540^2+muthree*C540^3+mufour*C540^4)</f>
        <v>0.5</v>
      </c>
      <c r="F540">
        <f t="shared" si="27"/>
        <v>-0.5</v>
      </c>
      <c r="G540">
        <f t="shared" si="28"/>
        <v>0.25</v>
      </c>
    </row>
    <row r="541" spans="1:7">
      <c r="A541">
        <v>531</v>
      </c>
      <c r="B541">
        <f t="shared" si="26"/>
        <v>0</v>
      </c>
      <c r="C541" s="28"/>
      <c r="D541" s="28"/>
      <c r="E541">
        <f>CumOffset+fcoh*EXP(-2*GammaBar*C541+mutwo*C541^2+muthree*C541^3+mufour*C541^4)</f>
        <v>0.5</v>
      </c>
      <c r="F541">
        <f t="shared" si="27"/>
        <v>-0.5</v>
      </c>
      <c r="G541">
        <f t="shared" si="28"/>
        <v>0.25</v>
      </c>
    </row>
    <row r="542" spans="1:7">
      <c r="A542">
        <v>532</v>
      </c>
      <c r="B542">
        <f t="shared" si="26"/>
        <v>0</v>
      </c>
      <c r="C542" s="28"/>
      <c r="D542" s="28"/>
      <c r="E542">
        <f>CumOffset+fcoh*EXP(-2*GammaBar*C542+mutwo*C542^2+muthree*C542^3+mufour*C542^4)</f>
        <v>0.5</v>
      </c>
      <c r="F542">
        <f t="shared" si="27"/>
        <v>-0.5</v>
      </c>
      <c r="G542">
        <f t="shared" si="28"/>
        <v>0.25</v>
      </c>
    </row>
    <row r="543" spans="1:7">
      <c r="A543">
        <v>533</v>
      </c>
      <c r="B543">
        <f t="shared" si="26"/>
        <v>0</v>
      </c>
      <c r="C543" s="28"/>
      <c r="D543" s="28"/>
      <c r="E543">
        <f>CumOffset+fcoh*EXP(-2*GammaBar*C543+mutwo*C543^2+muthree*C543^3+mufour*C543^4)</f>
        <v>0.5</v>
      </c>
      <c r="F543">
        <f t="shared" si="27"/>
        <v>-0.5</v>
      </c>
      <c r="G543">
        <f t="shared" si="28"/>
        <v>0.25</v>
      </c>
    </row>
    <row r="544" spans="1:7">
      <c r="A544">
        <v>534</v>
      </c>
      <c r="B544">
        <f t="shared" si="26"/>
        <v>0</v>
      </c>
      <c r="C544" s="28"/>
      <c r="D544" s="28"/>
      <c r="E544">
        <f>CumOffset+fcoh*EXP(-2*GammaBar*C544+mutwo*C544^2+muthree*C544^3+mufour*C544^4)</f>
        <v>0.5</v>
      </c>
      <c r="F544">
        <f t="shared" si="27"/>
        <v>-0.5</v>
      </c>
      <c r="G544">
        <f t="shared" si="28"/>
        <v>0.25</v>
      </c>
    </row>
    <row r="545" spans="1:7">
      <c r="A545">
        <v>535</v>
      </c>
      <c r="B545">
        <f t="shared" si="26"/>
        <v>0</v>
      </c>
      <c r="C545" s="28"/>
      <c r="D545" s="28"/>
      <c r="E545">
        <f>CumOffset+fcoh*EXP(-2*GammaBar*C545+mutwo*C545^2+muthree*C545^3+mufour*C545^4)</f>
        <v>0.5</v>
      </c>
      <c r="F545">
        <f t="shared" si="27"/>
        <v>-0.5</v>
      </c>
      <c r="G545">
        <f t="shared" si="28"/>
        <v>0.25</v>
      </c>
    </row>
    <row r="546" spans="1:7">
      <c r="A546">
        <v>536</v>
      </c>
      <c r="B546">
        <f t="shared" si="26"/>
        <v>0</v>
      </c>
      <c r="C546" s="28"/>
      <c r="D546" s="28"/>
      <c r="E546">
        <f>CumOffset+fcoh*EXP(-2*GammaBar*C546+mutwo*C546^2+muthree*C546^3+mufour*C546^4)</f>
        <v>0.5</v>
      </c>
      <c r="F546">
        <f t="shared" si="27"/>
        <v>-0.5</v>
      </c>
      <c r="G546">
        <f t="shared" si="28"/>
        <v>0.25</v>
      </c>
    </row>
    <row r="547" spans="1:7">
      <c r="A547">
        <v>537</v>
      </c>
      <c r="B547">
        <f t="shared" si="26"/>
        <v>0</v>
      </c>
      <c r="C547" s="28"/>
      <c r="D547" s="28"/>
      <c r="E547">
        <f>CumOffset+fcoh*EXP(-2*GammaBar*C547+mutwo*C547^2+muthree*C547^3+mufour*C547^4)</f>
        <v>0.5</v>
      </c>
      <c r="F547">
        <f t="shared" si="27"/>
        <v>-0.5</v>
      </c>
      <c r="G547">
        <f t="shared" si="28"/>
        <v>0.25</v>
      </c>
    </row>
    <row r="548" spans="1:7">
      <c r="A548">
        <v>538</v>
      </c>
      <c r="B548">
        <f t="shared" si="26"/>
        <v>0</v>
      </c>
      <c r="C548" s="28"/>
      <c r="D548" s="28"/>
      <c r="E548">
        <f>CumOffset+fcoh*EXP(-2*GammaBar*C548+mutwo*C548^2+muthree*C548^3+mufour*C548^4)</f>
        <v>0.5</v>
      </c>
      <c r="F548">
        <f t="shared" si="27"/>
        <v>-0.5</v>
      </c>
      <c r="G548">
        <f t="shared" si="28"/>
        <v>0.25</v>
      </c>
    </row>
    <row r="549" spans="1:7">
      <c r="A549">
        <v>539</v>
      </c>
      <c r="B549">
        <f t="shared" si="26"/>
        <v>0</v>
      </c>
      <c r="C549" s="28"/>
      <c r="D549" s="28"/>
      <c r="E549">
        <f>CumOffset+fcoh*EXP(-2*GammaBar*C549+mutwo*C549^2+muthree*C549^3+mufour*C549^4)</f>
        <v>0.5</v>
      </c>
      <c r="F549">
        <f t="shared" si="27"/>
        <v>-0.5</v>
      </c>
      <c r="G549">
        <f t="shared" si="28"/>
        <v>0.25</v>
      </c>
    </row>
    <row r="550" spans="1:7">
      <c r="A550">
        <v>540</v>
      </c>
      <c r="B550">
        <f t="shared" si="26"/>
        <v>0</v>
      </c>
      <c r="C550" s="28"/>
      <c r="D550" s="28"/>
      <c r="E550">
        <f>CumOffset+fcoh*EXP(-2*GammaBar*C550+mutwo*C550^2+muthree*C550^3+mufour*C550^4)</f>
        <v>0.5</v>
      </c>
      <c r="F550">
        <f t="shared" si="27"/>
        <v>-0.5</v>
      </c>
      <c r="G550">
        <f t="shared" si="28"/>
        <v>0.25</v>
      </c>
    </row>
    <row r="551" spans="1:7">
      <c r="A551">
        <v>541</v>
      </c>
      <c r="B551">
        <f t="shared" si="26"/>
        <v>0</v>
      </c>
      <c r="C551" s="28"/>
      <c r="D551" s="28"/>
      <c r="E551">
        <f>CumOffset+fcoh*EXP(-2*GammaBar*C551+mutwo*C551^2+muthree*C551^3+mufour*C551^4)</f>
        <v>0.5</v>
      </c>
      <c r="F551">
        <f t="shared" si="27"/>
        <v>-0.5</v>
      </c>
      <c r="G551">
        <f t="shared" si="28"/>
        <v>0.25</v>
      </c>
    </row>
    <row r="552" spans="1:7">
      <c r="A552">
        <v>542</v>
      </c>
      <c r="B552">
        <f t="shared" si="26"/>
        <v>0</v>
      </c>
      <c r="C552" s="28"/>
      <c r="D552" s="28"/>
      <c r="E552">
        <f>CumOffset+fcoh*EXP(-2*GammaBar*C552+mutwo*C552^2+muthree*C552^3+mufour*C552^4)</f>
        <v>0.5</v>
      </c>
      <c r="F552">
        <f t="shared" si="27"/>
        <v>-0.5</v>
      </c>
      <c r="G552">
        <f t="shared" si="28"/>
        <v>0.25</v>
      </c>
    </row>
    <row r="553" spans="1:7">
      <c r="A553">
        <v>543</v>
      </c>
      <c r="B553">
        <f t="shared" si="26"/>
        <v>0</v>
      </c>
      <c r="C553" s="28"/>
      <c r="D553" s="28"/>
      <c r="E553">
        <f>CumOffset+fcoh*EXP(-2*GammaBar*C553+mutwo*C553^2+muthree*C553^3+mufour*C553^4)</f>
        <v>0.5</v>
      </c>
      <c r="F553">
        <f t="shared" si="27"/>
        <v>-0.5</v>
      </c>
      <c r="G553">
        <f t="shared" si="28"/>
        <v>0.25</v>
      </c>
    </row>
    <row r="554" spans="1:7">
      <c r="A554">
        <v>544</v>
      </c>
      <c r="B554">
        <f t="shared" si="26"/>
        <v>0</v>
      </c>
      <c r="C554" s="28"/>
      <c r="D554" s="28"/>
      <c r="E554">
        <f>CumOffset+fcoh*EXP(-2*GammaBar*C554+mutwo*C554^2+muthree*C554^3+mufour*C554^4)</f>
        <v>0.5</v>
      </c>
      <c r="F554">
        <f t="shared" si="27"/>
        <v>-0.5</v>
      </c>
      <c r="G554">
        <f t="shared" si="28"/>
        <v>0.25</v>
      </c>
    </row>
    <row r="555" spans="1:7">
      <c r="A555">
        <v>545</v>
      </c>
      <c r="B555">
        <f t="shared" si="26"/>
        <v>0</v>
      </c>
      <c r="C555" s="28"/>
      <c r="D555" s="28"/>
      <c r="E555">
        <f>CumOffset+fcoh*EXP(-2*GammaBar*C555+mutwo*C555^2+muthree*C555^3+mufour*C555^4)</f>
        <v>0.5</v>
      </c>
      <c r="F555">
        <f t="shared" si="27"/>
        <v>-0.5</v>
      </c>
      <c r="G555">
        <f t="shared" si="28"/>
        <v>0.25</v>
      </c>
    </row>
    <row r="556" spans="1:7">
      <c r="A556">
        <v>546</v>
      </c>
      <c r="B556">
        <f t="shared" si="26"/>
        <v>0</v>
      </c>
      <c r="C556" s="28"/>
      <c r="D556" s="28"/>
      <c r="E556">
        <f>CumOffset+fcoh*EXP(-2*GammaBar*C556+mutwo*C556^2+muthree*C556^3+mufour*C556^4)</f>
        <v>0.5</v>
      </c>
      <c r="F556">
        <f t="shared" si="27"/>
        <v>-0.5</v>
      </c>
      <c r="G556">
        <f t="shared" si="28"/>
        <v>0.25</v>
      </c>
    </row>
    <row r="557" spans="1:7">
      <c r="A557">
        <v>547</v>
      </c>
      <c r="B557">
        <f t="shared" si="26"/>
        <v>0</v>
      </c>
      <c r="C557" s="28"/>
      <c r="D557" s="28"/>
      <c r="E557">
        <f>CumOffset+fcoh*EXP(-2*GammaBar*C557+mutwo*C557^2+muthree*C557^3+mufour*C557^4)</f>
        <v>0.5</v>
      </c>
      <c r="F557">
        <f t="shared" si="27"/>
        <v>-0.5</v>
      </c>
      <c r="G557">
        <f t="shared" si="28"/>
        <v>0.25</v>
      </c>
    </row>
    <row r="558" spans="1:7">
      <c r="A558">
        <v>548</v>
      </c>
      <c r="B558">
        <f t="shared" si="26"/>
        <v>0</v>
      </c>
      <c r="C558" s="28"/>
      <c r="D558" s="28"/>
      <c r="E558">
        <f>CumOffset+fcoh*EXP(-2*GammaBar*C558+mutwo*C558^2+muthree*C558^3+mufour*C558^4)</f>
        <v>0.5</v>
      </c>
      <c r="F558">
        <f t="shared" si="27"/>
        <v>-0.5</v>
      </c>
      <c r="G558">
        <f t="shared" si="28"/>
        <v>0.25</v>
      </c>
    </row>
    <row r="559" spans="1:7">
      <c r="A559">
        <v>549</v>
      </c>
      <c r="B559">
        <f t="shared" si="26"/>
        <v>0</v>
      </c>
      <c r="C559" s="28"/>
      <c r="D559" s="28"/>
      <c r="E559">
        <f>CumOffset+fcoh*EXP(-2*GammaBar*C559+mutwo*C559^2+muthree*C559^3+mufour*C559^4)</f>
        <v>0.5</v>
      </c>
      <c r="F559">
        <f t="shared" si="27"/>
        <v>-0.5</v>
      </c>
      <c r="G559">
        <f t="shared" si="28"/>
        <v>0.25</v>
      </c>
    </row>
    <row r="560" spans="1:7">
      <c r="A560">
        <v>550</v>
      </c>
      <c r="B560">
        <f t="shared" si="26"/>
        <v>0</v>
      </c>
      <c r="C560" s="28"/>
      <c r="D560" s="28"/>
      <c r="E560">
        <f>CumOffset+fcoh*EXP(-2*GammaBar*C560+mutwo*C560^2+muthree*C560^3+mufour*C560^4)</f>
        <v>0.5</v>
      </c>
      <c r="F560">
        <f t="shared" si="27"/>
        <v>-0.5</v>
      </c>
      <c r="G560">
        <f t="shared" si="28"/>
        <v>0.25</v>
      </c>
    </row>
    <row r="561" spans="1:7">
      <c r="A561">
        <v>551</v>
      </c>
      <c r="B561">
        <f t="shared" si="26"/>
        <v>0</v>
      </c>
      <c r="C561" s="28"/>
      <c r="D561" s="28"/>
      <c r="E561">
        <f>CumOffset+fcoh*EXP(-2*GammaBar*C561+mutwo*C561^2+muthree*C561^3+mufour*C561^4)</f>
        <v>0.5</v>
      </c>
      <c r="F561">
        <f t="shared" si="27"/>
        <v>-0.5</v>
      </c>
      <c r="G561">
        <f t="shared" si="28"/>
        <v>0.25</v>
      </c>
    </row>
    <row r="562" spans="1:7">
      <c r="A562">
        <v>552</v>
      </c>
      <c r="B562">
        <f t="shared" si="26"/>
        <v>0</v>
      </c>
      <c r="C562" s="28"/>
      <c r="D562" s="28"/>
      <c r="E562">
        <f>CumOffset+fcoh*EXP(-2*GammaBar*C562+mutwo*C562^2+muthree*C562^3+mufour*C562^4)</f>
        <v>0.5</v>
      </c>
      <c r="F562">
        <f t="shared" si="27"/>
        <v>-0.5</v>
      </c>
      <c r="G562">
        <f t="shared" si="28"/>
        <v>0.25</v>
      </c>
    </row>
    <row r="563" spans="1:7">
      <c r="A563">
        <v>553</v>
      </c>
      <c r="B563">
        <f t="shared" si="26"/>
        <v>0</v>
      </c>
      <c r="C563" s="28"/>
      <c r="D563" s="28"/>
      <c r="E563">
        <f>CumOffset+fcoh*EXP(-2*GammaBar*C563+mutwo*C563^2+muthree*C563^3+mufour*C563^4)</f>
        <v>0.5</v>
      </c>
      <c r="F563">
        <f t="shared" si="27"/>
        <v>-0.5</v>
      </c>
      <c r="G563">
        <f t="shared" si="28"/>
        <v>0.25</v>
      </c>
    </row>
    <row r="564" spans="1:7">
      <c r="A564">
        <v>554</v>
      </c>
      <c r="B564">
        <f t="shared" si="26"/>
        <v>0</v>
      </c>
      <c r="C564" s="28"/>
      <c r="D564" s="28"/>
      <c r="E564">
        <f>CumOffset+fcoh*EXP(-2*GammaBar*C564+mutwo*C564^2+muthree*C564^3+mufour*C564^4)</f>
        <v>0.5</v>
      </c>
      <c r="F564">
        <f t="shared" si="27"/>
        <v>-0.5</v>
      </c>
      <c r="G564">
        <f t="shared" si="28"/>
        <v>0.25</v>
      </c>
    </row>
    <row r="565" spans="1:7">
      <c r="A565">
        <v>555</v>
      </c>
      <c r="B565">
        <f t="shared" si="26"/>
        <v>0</v>
      </c>
      <c r="C565" s="28"/>
      <c r="D565" s="28"/>
      <c r="E565">
        <f>CumOffset+fcoh*EXP(-2*GammaBar*C565+mutwo*C565^2+muthree*C565^3+mufour*C565^4)</f>
        <v>0.5</v>
      </c>
      <c r="F565">
        <f t="shared" si="27"/>
        <v>-0.5</v>
      </c>
      <c r="G565">
        <f t="shared" si="28"/>
        <v>0.25</v>
      </c>
    </row>
    <row r="566" spans="1:7">
      <c r="A566">
        <v>556</v>
      </c>
      <c r="B566">
        <f t="shared" si="26"/>
        <v>0</v>
      </c>
      <c r="C566" s="28"/>
      <c r="D566" s="28"/>
      <c r="E566">
        <f>CumOffset+fcoh*EXP(-2*GammaBar*C566+mutwo*C566^2+muthree*C566^3+mufour*C566^4)</f>
        <v>0.5</v>
      </c>
      <c r="F566">
        <f t="shared" si="27"/>
        <v>-0.5</v>
      </c>
      <c r="G566">
        <f t="shared" si="28"/>
        <v>0.25</v>
      </c>
    </row>
    <row r="567" spans="1:7">
      <c r="A567">
        <v>557</v>
      </c>
      <c r="B567">
        <f t="shared" si="26"/>
        <v>0</v>
      </c>
      <c r="C567" s="28"/>
      <c r="D567" s="28"/>
      <c r="E567">
        <f>CumOffset+fcoh*EXP(-2*GammaBar*C567+mutwo*C567^2+muthree*C567^3+mufour*C567^4)</f>
        <v>0.5</v>
      </c>
      <c r="F567">
        <f t="shared" si="27"/>
        <v>-0.5</v>
      </c>
      <c r="G567">
        <f t="shared" si="28"/>
        <v>0.25</v>
      </c>
    </row>
    <row r="568" spans="1:7">
      <c r="A568">
        <v>558</v>
      </c>
      <c r="B568">
        <f t="shared" si="26"/>
        <v>0</v>
      </c>
      <c r="C568" s="28"/>
      <c r="D568" s="28"/>
      <c r="E568">
        <f>CumOffset+fcoh*EXP(-2*GammaBar*C568+mutwo*C568^2+muthree*C568^3+mufour*C568^4)</f>
        <v>0.5</v>
      </c>
      <c r="F568">
        <f t="shared" si="27"/>
        <v>-0.5</v>
      </c>
      <c r="G568">
        <f t="shared" si="28"/>
        <v>0.25</v>
      </c>
    </row>
    <row r="569" spans="1:7">
      <c r="A569">
        <v>559</v>
      </c>
      <c r="B569">
        <f t="shared" si="26"/>
        <v>0</v>
      </c>
      <c r="C569" s="28"/>
      <c r="D569" s="28"/>
      <c r="E569">
        <f>CumOffset+fcoh*EXP(-2*GammaBar*C569+mutwo*C569^2+muthree*C569^3+mufour*C569^4)</f>
        <v>0.5</v>
      </c>
      <c r="F569">
        <f t="shared" si="27"/>
        <v>-0.5</v>
      </c>
      <c r="G569">
        <f t="shared" si="28"/>
        <v>0.25</v>
      </c>
    </row>
    <row r="570" spans="1:7">
      <c r="A570">
        <v>560</v>
      </c>
      <c r="B570">
        <f t="shared" si="26"/>
        <v>0</v>
      </c>
      <c r="C570" s="28"/>
      <c r="D570" s="28"/>
      <c r="E570">
        <f>CumOffset+fcoh*EXP(-2*GammaBar*C570+mutwo*C570^2+muthree*C570^3+mufour*C570^4)</f>
        <v>0.5</v>
      </c>
      <c r="F570">
        <f t="shared" si="27"/>
        <v>-0.5</v>
      </c>
      <c r="G570">
        <f t="shared" si="28"/>
        <v>0.25</v>
      </c>
    </row>
    <row r="571" spans="1:7">
      <c r="A571">
        <v>561</v>
      </c>
      <c r="B571">
        <f t="shared" si="26"/>
        <v>0</v>
      </c>
      <c r="C571" s="28"/>
      <c r="D571" s="28"/>
      <c r="E571">
        <f>CumOffset+fcoh*EXP(-2*GammaBar*C571+mutwo*C571^2+muthree*C571^3+mufour*C571^4)</f>
        <v>0.5</v>
      </c>
      <c r="F571">
        <f t="shared" si="27"/>
        <v>-0.5</v>
      </c>
      <c r="G571">
        <f t="shared" si="28"/>
        <v>0.25</v>
      </c>
    </row>
    <row r="572" spans="1:7">
      <c r="A572">
        <v>562</v>
      </c>
      <c r="B572">
        <f t="shared" si="26"/>
        <v>0</v>
      </c>
      <c r="C572" s="28"/>
      <c r="D572" s="28"/>
      <c r="E572">
        <f>CumOffset+fcoh*EXP(-2*GammaBar*C572+mutwo*C572^2+muthree*C572^3+mufour*C572^4)</f>
        <v>0.5</v>
      </c>
      <c r="F572">
        <f t="shared" si="27"/>
        <v>-0.5</v>
      </c>
      <c r="G572">
        <f t="shared" si="28"/>
        <v>0.25</v>
      </c>
    </row>
    <row r="573" spans="1:7">
      <c r="A573">
        <v>563</v>
      </c>
      <c r="B573">
        <f t="shared" si="26"/>
        <v>0</v>
      </c>
      <c r="C573" s="28"/>
      <c r="D573" s="28"/>
      <c r="E573">
        <f>CumOffset+fcoh*EXP(-2*GammaBar*C573+mutwo*C573^2+muthree*C573^3+mufour*C573^4)</f>
        <v>0.5</v>
      </c>
      <c r="F573">
        <f t="shared" si="27"/>
        <v>-0.5</v>
      </c>
      <c r="G573">
        <f t="shared" si="28"/>
        <v>0.25</v>
      </c>
    </row>
    <row r="574" spans="1:7">
      <c r="A574">
        <v>564</v>
      </c>
      <c r="B574">
        <f t="shared" si="26"/>
        <v>0</v>
      </c>
      <c r="C574" s="28"/>
      <c r="D574" s="28"/>
      <c r="E574">
        <f>CumOffset+fcoh*EXP(-2*GammaBar*C574+mutwo*C574^2+muthree*C574^3+mufour*C574^4)</f>
        <v>0.5</v>
      </c>
      <c r="F574">
        <f t="shared" si="27"/>
        <v>-0.5</v>
      </c>
      <c r="G574">
        <f t="shared" si="28"/>
        <v>0.25</v>
      </c>
    </row>
    <row r="575" spans="1:7">
      <c r="A575">
        <v>565</v>
      </c>
      <c r="B575">
        <f t="shared" si="26"/>
        <v>0</v>
      </c>
      <c r="C575" s="28"/>
      <c r="D575" s="28"/>
      <c r="E575">
        <f>CumOffset+fcoh*EXP(-2*GammaBar*C575+mutwo*C575^2+muthree*C575^3+mufour*C575^4)</f>
        <v>0.5</v>
      </c>
      <c r="F575">
        <f t="shared" si="27"/>
        <v>-0.5</v>
      </c>
      <c r="G575">
        <f t="shared" si="28"/>
        <v>0.25</v>
      </c>
    </row>
    <row r="576" spans="1:7">
      <c r="A576">
        <v>566</v>
      </c>
      <c r="B576">
        <f t="shared" si="26"/>
        <v>0</v>
      </c>
      <c r="C576" s="28"/>
      <c r="D576" s="28"/>
      <c r="E576">
        <f>CumOffset+fcoh*EXP(-2*GammaBar*C576+mutwo*C576^2+muthree*C576^3+mufour*C576^4)</f>
        <v>0.5</v>
      </c>
      <c r="F576">
        <f t="shared" si="27"/>
        <v>-0.5</v>
      </c>
      <c r="G576">
        <f t="shared" si="28"/>
        <v>0.25</v>
      </c>
    </row>
    <row r="577" spans="1:7">
      <c r="A577">
        <v>567</v>
      </c>
      <c r="B577">
        <f t="shared" si="26"/>
        <v>0</v>
      </c>
      <c r="C577" s="28"/>
      <c r="D577" s="28"/>
      <c r="E577">
        <f>CumOffset+fcoh*EXP(-2*GammaBar*C577+mutwo*C577^2+muthree*C577^3+mufour*C577^4)</f>
        <v>0.5</v>
      </c>
      <c r="F577">
        <f t="shared" si="27"/>
        <v>-0.5</v>
      </c>
      <c r="G577">
        <f t="shared" si="28"/>
        <v>0.25</v>
      </c>
    </row>
    <row r="578" spans="1:7">
      <c r="A578">
        <v>568</v>
      </c>
      <c r="B578">
        <f t="shared" si="26"/>
        <v>0</v>
      </c>
      <c r="C578" s="28"/>
      <c r="D578" s="28"/>
      <c r="E578">
        <f>CumOffset+fcoh*EXP(-2*GammaBar*C578+mutwo*C578^2+muthree*C578^3+mufour*C578^4)</f>
        <v>0.5</v>
      </c>
      <c r="F578">
        <f t="shared" si="27"/>
        <v>-0.5</v>
      </c>
      <c r="G578">
        <f t="shared" si="28"/>
        <v>0.25</v>
      </c>
    </row>
    <row r="579" spans="1:7">
      <c r="A579">
        <v>569</v>
      </c>
      <c r="B579">
        <f t="shared" si="26"/>
        <v>0</v>
      </c>
      <c r="C579" s="28"/>
      <c r="D579" s="28"/>
      <c r="E579">
        <f>CumOffset+fcoh*EXP(-2*GammaBar*C579+mutwo*C579^2+muthree*C579^3+mufour*C579^4)</f>
        <v>0.5</v>
      </c>
      <c r="F579">
        <f t="shared" si="27"/>
        <v>-0.5</v>
      </c>
      <c r="G579">
        <f t="shared" si="28"/>
        <v>0.25</v>
      </c>
    </row>
    <row r="580" spans="1:7">
      <c r="A580">
        <v>570</v>
      </c>
      <c r="B580">
        <f t="shared" si="26"/>
        <v>0</v>
      </c>
      <c r="C580" s="28"/>
      <c r="D580" s="28"/>
      <c r="E580">
        <f>CumOffset+fcoh*EXP(-2*GammaBar*C580+mutwo*C580^2+muthree*C580^3+mufour*C580^4)</f>
        <v>0.5</v>
      </c>
      <c r="F580">
        <f t="shared" si="27"/>
        <v>-0.5</v>
      </c>
      <c r="G580">
        <f t="shared" si="28"/>
        <v>0.25</v>
      </c>
    </row>
    <row r="581" spans="1:7">
      <c r="A581">
        <v>571</v>
      </c>
      <c r="B581">
        <f t="shared" si="26"/>
        <v>0</v>
      </c>
      <c r="C581" s="28"/>
      <c r="D581" s="28"/>
      <c r="E581">
        <f>CumOffset+fcoh*EXP(-2*GammaBar*C581+mutwo*C581^2+muthree*C581^3+mufour*C581^4)</f>
        <v>0.5</v>
      </c>
      <c r="F581">
        <f t="shared" si="27"/>
        <v>-0.5</v>
      </c>
      <c r="G581">
        <f t="shared" si="28"/>
        <v>0.25</v>
      </c>
    </row>
    <row r="582" spans="1:7">
      <c r="A582">
        <v>572</v>
      </c>
      <c r="B582">
        <f t="shared" si="26"/>
        <v>0</v>
      </c>
      <c r="C582" s="28"/>
      <c r="D582" s="28"/>
      <c r="E582">
        <f>CumOffset+fcoh*EXP(-2*GammaBar*C582+mutwo*C582^2+muthree*C582^3+mufour*C582^4)</f>
        <v>0.5</v>
      </c>
      <c r="F582">
        <f t="shared" si="27"/>
        <v>-0.5</v>
      </c>
      <c r="G582">
        <f t="shared" si="28"/>
        <v>0.25</v>
      </c>
    </row>
    <row r="583" spans="1:7">
      <c r="A583">
        <v>573</v>
      </c>
      <c r="B583">
        <f t="shared" si="26"/>
        <v>0</v>
      </c>
      <c r="C583" s="28"/>
      <c r="D583" s="28"/>
      <c r="E583">
        <f>CumOffset+fcoh*EXP(-2*GammaBar*C583+mutwo*C583^2+muthree*C583^3+mufour*C583^4)</f>
        <v>0.5</v>
      </c>
      <c r="F583">
        <f t="shared" si="27"/>
        <v>-0.5</v>
      </c>
      <c r="G583">
        <f t="shared" si="28"/>
        <v>0.25</v>
      </c>
    </row>
    <row r="584" spans="1:7">
      <c r="A584">
        <v>574</v>
      </c>
      <c r="B584">
        <f t="shared" si="26"/>
        <v>0</v>
      </c>
      <c r="C584" s="28"/>
      <c r="D584" s="28"/>
      <c r="E584">
        <f>CumOffset+fcoh*EXP(-2*GammaBar*C584+mutwo*C584^2+muthree*C584^3+mufour*C584^4)</f>
        <v>0.5</v>
      </c>
      <c r="F584">
        <f t="shared" si="27"/>
        <v>-0.5</v>
      </c>
      <c r="G584">
        <f t="shared" si="28"/>
        <v>0.25</v>
      </c>
    </row>
    <row r="585" spans="1:7">
      <c r="A585">
        <v>575</v>
      </c>
      <c r="B585">
        <f t="shared" si="26"/>
        <v>0</v>
      </c>
      <c r="C585" s="28"/>
      <c r="D585" s="28"/>
      <c r="E585">
        <f>CumOffset+fcoh*EXP(-2*GammaBar*C585+mutwo*C585^2+muthree*C585^3+mufour*C585^4)</f>
        <v>0.5</v>
      </c>
      <c r="F585">
        <f t="shared" si="27"/>
        <v>-0.5</v>
      </c>
      <c r="G585">
        <f t="shared" si="28"/>
        <v>0.25</v>
      </c>
    </row>
    <row r="586" spans="1:7">
      <c r="A586">
        <v>576</v>
      </c>
      <c r="B586">
        <f t="shared" si="26"/>
        <v>0</v>
      </c>
      <c r="C586" s="28"/>
      <c r="D586" s="28"/>
      <c r="E586">
        <f>CumOffset+fcoh*EXP(-2*GammaBar*C586+mutwo*C586^2+muthree*C586^3+mufour*C586^4)</f>
        <v>0.5</v>
      </c>
      <c r="F586">
        <f t="shared" si="27"/>
        <v>-0.5</v>
      </c>
      <c r="G586">
        <f t="shared" si="28"/>
        <v>0.25</v>
      </c>
    </row>
    <row r="587" spans="1:7">
      <c r="A587">
        <v>577</v>
      </c>
      <c r="B587">
        <f t="shared" si="26"/>
        <v>0</v>
      </c>
      <c r="C587" s="28"/>
      <c r="D587" s="28"/>
      <c r="E587">
        <f>CumOffset+fcoh*EXP(-2*GammaBar*C587+mutwo*C587^2+muthree*C587^3+mufour*C587^4)</f>
        <v>0.5</v>
      </c>
      <c r="F587">
        <f t="shared" si="27"/>
        <v>-0.5</v>
      </c>
      <c r="G587">
        <f t="shared" si="28"/>
        <v>0.25</v>
      </c>
    </row>
    <row r="588" spans="1:7">
      <c r="A588">
        <v>578</v>
      </c>
      <c r="B588">
        <f t="shared" ref="B588:B610" si="29">C588/1000</f>
        <v>0</v>
      </c>
      <c r="C588" s="28"/>
      <c r="D588" s="28"/>
      <c r="E588">
        <f>CumOffset+fcoh*EXP(-2*GammaBar*C588+mutwo*C588^2+muthree*C588^3+mufour*C588^4)</f>
        <v>0.5</v>
      </c>
      <c r="F588">
        <f t="shared" ref="F588:F610" si="30">D588-E588</f>
        <v>-0.5</v>
      </c>
      <c r="G588">
        <f t="shared" ref="G588:G610" si="31">F588*F588</f>
        <v>0.25</v>
      </c>
    </row>
    <row r="589" spans="1:7">
      <c r="A589">
        <v>579</v>
      </c>
      <c r="B589">
        <f t="shared" si="29"/>
        <v>0</v>
      </c>
      <c r="C589" s="28"/>
      <c r="D589" s="28"/>
      <c r="E589">
        <f>CumOffset+fcoh*EXP(-2*GammaBar*C589+mutwo*C589^2+muthree*C589^3+mufour*C589^4)</f>
        <v>0.5</v>
      </c>
      <c r="F589">
        <f t="shared" si="30"/>
        <v>-0.5</v>
      </c>
      <c r="G589">
        <f t="shared" si="31"/>
        <v>0.25</v>
      </c>
    </row>
    <row r="590" spans="1:7">
      <c r="A590">
        <v>580</v>
      </c>
      <c r="B590">
        <f t="shared" si="29"/>
        <v>0</v>
      </c>
      <c r="C590" s="28"/>
      <c r="D590" s="28"/>
      <c r="E590">
        <f>CumOffset+fcoh*EXP(-2*GammaBar*C590+mutwo*C590^2+muthree*C590^3+mufour*C590^4)</f>
        <v>0.5</v>
      </c>
      <c r="F590">
        <f t="shared" si="30"/>
        <v>-0.5</v>
      </c>
      <c r="G590">
        <f t="shared" si="31"/>
        <v>0.25</v>
      </c>
    </row>
    <row r="591" spans="1:7">
      <c r="A591">
        <v>581</v>
      </c>
      <c r="B591">
        <f t="shared" si="29"/>
        <v>0</v>
      </c>
      <c r="C591" s="28"/>
      <c r="D591" s="28"/>
      <c r="E591">
        <f>CumOffset+fcoh*EXP(-2*GammaBar*C591+mutwo*C591^2+muthree*C591^3+mufour*C591^4)</f>
        <v>0.5</v>
      </c>
      <c r="F591">
        <f t="shared" si="30"/>
        <v>-0.5</v>
      </c>
      <c r="G591">
        <f t="shared" si="31"/>
        <v>0.25</v>
      </c>
    </row>
    <row r="592" spans="1:7">
      <c r="A592">
        <v>582</v>
      </c>
      <c r="B592">
        <f t="shared" si="29"/>
        <v>0</v>
      </c>
      <c r="C592" s="28"/>
      <c r="D592" s="28"/>
      <c r="E592">
        <f>CumOffset+fcoh*EXP(-2*GammaBar*C592+mutwo*C592^2+muthree*C592^3+mufour*C592^4)</f>
        <v>0.5</v>
      </c>
      <c r="F592">
        <f t="shared" si="30"/>
        <v>-0.5</v>
      </c>
      <c r="G592">
        <f t="shared" si="31"/>
        <v>0.25</v>
      </c>
    </row>
    <row r="593" spans="1:7">
      <c r="A593">
        <v>583</v>
      </c>
      <c r="B593">
        <f t="shared" si="29"/>
        <v>0</v>
      </c>
      <c r="C593" s="28"/>
      <c r="D593" s="28"/>
      <c r="E593">
        <f>CumOffset+fcoh*EXP(-2*GammaBar*C593+mutwo*C593^2+muthree*C593^3+mufour*C593^4)</f>
        <v>0.5</v>
      </c>
      <c r="F593">
        <f t="shared" si="30"/>
        <v>-0.5</v>
      </c>
      <c r="G593">
        <f t="shared" si="31"/>
        <v>0.25</v>
      </c>
    </row>
    <row r="594" spans="1:7">
      <c r="A594">
        <v>584</v>
      </c>
      <c r="B594">
        <f t="shared" si="29"/>
        <v>0</v>
      </c>
      <c r="C594" s="28"/>
      <c r="D594" s="28"/>
      <c r="E594">
        <f>CumOffset+fcoh*EXP(-2*GammaBar*C594+mutwo*C594^2+muthree*C594^3+mufour*C594^4)</f>
        <v>0.5</v>
      </c>
      <c r="F594">
        <f t="shared" si="30"/>
        <v>-0.5</v>
      </c>
      <c r="G594">
        <f t="shared" si="31"/>
        <v>0.25</v>
      </c>
    </row>
    <row r="595" spans="1:7">
      <c r="A595">
        <v>585</v>
      </c>
      <c r="B595">
        <f t="shared" si="29"/>
        <v>0</v>
      </c>
      <c r="C595" s="28"/>
      <c r="D595" s="28"/>
      <c r="E595">
        <f>CumOffset+fcoh*EXP(-2*GammaBar*C595+mutwo*C595^2+muthree*C595^3+mufour*C595^4)</f>
        <v>0.5</v>
      </c>
      <c r="F595">
        <f t="shared" si="30"/>
        <v>-0.5</v>
      </c>
      <c r="G595">
        <f t="shared" si="31"/>
        <v>0.25</v>
      </c>
    </row>
    <row r="596" spans="1:7">
      <c r="A596">
        <v>586</v>
      </c>
      <c r="B596">
        <f t="shared" si="29"/>
        <v>0</v>
      </c>
      <c r="C596" s="28"/>
      <c r="D596" s="28"/>
      <c r="E596">
        <f>CumOffset+fcoh*EXP(-2*GammaBar*C596+mutwo*C596^2+muthree*C596^3+mufour*C596^4)</f>
        <v>0.5</v>
      </c>
      <c r="F596">
        <f t="shared" si="30"/>
        <v>-0.5</v>
      </c>
      <c r="G596">
        <f t="shared" si="31"/>
        <v>0.25</v>
      </c>
    </row>
    <row r="597" spans="1:7">
      <c r="A597">
        <v>587</v>
      </c>
      <c r="B597">
        <f t="shared" si="29"/>
        <v>0</v>
      </c>
      <c r="C597" s="28"/>
      <c r="D597" s="28"/>
      <c r="E597">
        <f>CumOffset+fcoh*EXP(-2*GammaBar*C597+mutwo*C597^2+muthree*C597^3+mufour*C597^4)</f>
        <v>0.5</v>
      </c>
      <c r="F597">
        <f t="shared" si="30"/>
        <v>-0.5</v>
      </c>
      <c r="G597">
        <f t="shared" si="31"/>
        <v>0.25</v>
      </c>
    </row>
    <row r="598" spans="1:7">
      <c r="A598">
        <v>588</v>
      </c>
      <c r="B598">
        <f t="shared" si="29"/>
        <v>0</v>
      </c>
      <c r="C598" s="28"/>
      <c r="D598" s="28"/>
      <c r="E598">
        <f>CumOffset+fcoh*EXP(-2*GammaBar*C598+mutwo*C598^2+muthree*C598^3+mufour*C598^4)</f>
        <v>0.5</v>
      </c>
      <c r="F598">
        <f t="shared" si="30"/>
        <v>-0.5</v>
      </c>
      <c r="G598">
        <f t="shared" si="31"/>
        <v>0.25</v>
      </c>
    </row>
    <row r="599" spans="1:7">
      <c r="A599">
        <v>589</v>
      </c>
      <c r="B599">
        <f t="shared" si="29"/>
        <v>0</v>
      </c>
      <c r="C599" s="28"/>
      <c r="D599" s="28"/>
      <c r="E599">
        <f>CumOffset+fcoh*EXP(-2*GammaBar*C599+mutwo*C599^2+muthree*C599^3+mufour*C599^4)</f>
        <v>0.5</v>
      </c>
      <c r="F599">
        <f t="shared" si="30"/>
        <v>-0.5</v>
      </c>
      <c r="G599">
        <f t="shared" si="31"/>
        <v>0.25</v>
      </c>
    </row>
    <row r="600" spans="1:7">
      <c r="A600">
        <v>590</v>
      </c>
      <c r="B600">
        <f t="shared" si="29"/>
        <v>0</v>
      </c>
      <c r="C600" s="28"/>
      <c r="D600" s="28"/>
      <c r="E600">
        <f>CumOffset+fcoh*EXP(-2*GammaBar*C600+mutwo*C600^2+muthree*C600^3+mufour*C600^4)</f>
        <v>0.5</v>
      </c>
      <c r="F600">
        <f t="shared" si="30"/>
        <v>-0.5</v>
      </c>
      <c r="G600">
        <f t="shared" si="31"/>
        <v>0.25</v>
      </c>
    </row>
    <row r="601" spans="1:7">
      <c r="A601">
        <v>591</v>
      </c>
      <c r="B601">
        <f t="shared" si="29"/>
        <v>0</v>
      </c>
      <c r="C601" s="28"/>
      <c r="D601" s="28"/>
      <c r="E601">
        <f>CumOffset+fcoh*EXP(-2*GammaBar*C601+mutwo*C601^2+muthree*C601^3+mufour*C601^4)</f>
        <v>0.5</v>
      </c>
      <c r="F601">
        <f t="shared" si="30"/>
        <v>-0.5</v>
      </c>
      <c r="G601">
        <f t="shared" si="31"/>
        <v>0.25</v>
      </c>
    </row>
    <row r="602" spans="1:7">
      <c r="A602">
        <v>592</v>
      </c>
      <c r="B602">
        <f t="shared" si="29"/>
        <v>0</v>
      </c>
      <c r="C602" s="28"/>
      <c r="D602" s="28"/>
      <c r="E602">
        <f>CumOffset+fcoh*EXP(-2*GammaBar*C602+mutwo*C602^2+muthree*C602^3+mufour*C602^4)</f>
        <v>0.5</v>
      </c>
      <c r="F602">
        <f t="shared" si="30"/>
        <v>-0.5</v>
      </c>
      <c r="G602">
        <f t="shared" si="31"/>
        <v>0.25</v>
      </c>
    </row>
    <row r="603" spans="1:7">
      <c r="A603">
        <v>593</v>
      </c>
      <c r="B603">
        <f t="shared" si="29"/>
        <v>0</v>
      </c>
      <c r="C603" s="28"/>
      <c r="D603" s="28"/>
      <c r="E603">
        <f>CumOffset+fcoh*EXP(-2*GammaBar*C603+mutwo*C603^2+muthree*C603^3+mufour*C603^4)</f>
        <v>0.5</v>
      </c>
      <c r="F603">
        <f t="shared" si="30"/>
        <v>-0.5</v>
      </c>
      <c r="G603">
        <f t="shared" si="31"/>
        <v>0.25</v>
      </c>
    </row>
    <row r="604" spans="1:7">
      <c r="A604">
        <v>594</v>
      </c>
      <c r="B604">
        <f t="shared" si="29"/>
        <v>0</v>
      </c>
      <c r="C604" s="28"/>
      <c r="D604" s="28"/>
      <c r="E604">
        <f>CumOffset+fcoh*EXP(-2*GammaBar*C604+mutwo*C604^2+muthree*C604^3+mufour*C604^4)</f>
        <v>0.5</v>
      </c>
      <c r="F604">
        <f t="shared" si="30"/>
        <v>-0.5</v>
      </c>
      <c r="G604">
        <f t="shared" si="31"/>
        <v>0.25</v>
      </c>
    </row>
    <row r="605" spans="1:7">
      <c r="A605">
        <v>595</v>
      </c>
      <c r="B605">
        <f t="shared" si="29"/>
        <v>0</v>
      </c>
      <c r="C605" s="28"/>
      <c r="D605" s="28"/>
      <c r="E605">
        <f>CumOffset+fcoh*EXP(-2*GammaBar*C605+mutwo*C605^2+muthree*C605^3+mufour*C605^4)</f>
        <v>0.5</v>
      </c>
      <c r="F605">
        <f t="shared" si="30"/>
        <v>-0.5</v>
      </c>
      <c r="G605">
        <f t="shared" si="31"/>
        <v>0.25</v>
      </c>
    </row>
    <row r="606" spans="1:7">
      <c r="A606">
        <v>596</v>
      </c>
      <c r="B606">
        <f t="shared" si="29"/>
        <v>0</v>
      </c>
      <c r="C606" s="28"/>
      <c r="D606" s="28"/>
      <c r="E606">
        <f>CumOffset+fcoh*EXP(-2*GammaBar*C606+mutwo*C606^2+muthree*C606^3+mufour*C606^4)</f>
        <v>0.5</v>
      </c>
      <c r="F606">
        <f t="shared" si="30"/>
        <v>-0.5</v>
      </c>
      <c r="G606">
        <f t="shared" si="31"/>
        <v>0.25</v>
      </c>
    </row>
    <row r="607" spans="1:7">
      <c r="A607">
        <v>597</v>
      </c>
      <c r="B607">
        <f t="shared" si="29"/>
        <v>0</v>
      </c>
      <c r="C607" s="28"/>
      <c r="D607" s="28"/>
      <c r="E607">
        <f>CumOffset+fcoh*EXP(-2*GammaBar*C607+mutwo*C607^2+muthree*C607^3+mufour*C607^4)</f>
        <v>0.5</v>
      </c>
      <c r="F607">
        <f t="shared" si="30"/>
        <v>-0.5</v>
      </c>
      <c r="G607">
        <f t="shared" si="31"/>
        <v>0.25</v>
      </c>
    </row>
    <row r="608" spans="1:7">
      <c r="A608">
        <v>598</v>
      </c>
      <c r="B608">
        <f t="shared" si="29"/>
        <v>0</v>
      </c>
      <c r="C608" s="28"/>
      <c r="D608" s="28"/>
      <c r="E608">
        <f>CumOffset+fcoh*EXP(-2*GammaBar*C608+mutwo*C608^2+muthree*C608^3+mufour*C608^4)</f>
        <v>0.5</v>
      </c>
      <c r="F608">
        <f t="shared" si="30"/>
        <v>-0.5</v>
      </c>
      <c r="G608">
        <f t="shared" si="31"/>
        <v>0.25</v>
      </c>
    </row>
    <row r="609" spans="1:7">
      <c r="A609">
        <v>599</v>
      </c>
      <c r="B609">
        <f t="shared" si="29"/>
        <v>0</v>
      </c>
      <c r="C609" s="28"/>
      <c r="D609" s="28"/>
      <c r="E609">
        <f>CumOffset+fcoh*EXP(-2*GammaBar*C609+mutwo*C609^2+muthree*C609^3+mufour*C609^4)</f>
        <v>0.5</v>
      </c>
      <c r="F609">
        <f t="shared" si="30"/>
        <v>-0.5</v>
      </c>
      <c r="G609">
        <f t="shared" si="31"/>
        <v>0.25</v>
      </c>
    </row>
    <row r="610" spans="1:7">
      <c r="A610">
        <v>600</v>
      </c>
      <c r="B610">
        <f t="shared" si="29"/>
        <v>0</v>
      </c>
      <c r="C610" s="28"/>
      <c r="D610" s="28"/>
      <c r="E610">
        <f>CumOffset+fcoh*EXP(-2*GammaBar*C610+mutwo*C610^2+muthree*C610^3+mufour*C610^4)</f>
        <v>0.5</v>
      </c>
      <c r="F610">
        <f t="shared" si="30"/>
        <v>-0.5</v>
      </c>
      <c r="G610">
        <f t="shared" si="31"/>
        <v>0.25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6161" r:id="rId4" name="cmdLoadCumulant8">
          <controlPr defaultSize="0" autoLine="0" r:id="rId5">
            <anchor moveWithCells="1">
              <from>
                <xdr:col>15</xdr:col>
                <xdr:colOff>8467</xdr:colOff>
                <xdr:row>37</xdr:row>
                <xdr:rowOff>182033</xdr:rowOff>
              </from>
              <to>
                <xdr:col>16</xdr:col>
                <xdr:colOff>389467</xdr:colOff>
                <xdr:row>39</xdr:row>
                <xdr:rowOff>165100</xdr:rowOff>
              </to>
            </anchor>
          </controlPr>
        </control>
      </mc:Choice>
      <mc:Fallback>
        <control shapeId="6161" r:id="rId4" name="cmdLoadCumulant8"/>
      </mc:Fallback>
    </mc:AlternateContent>
    <mc:AlternateContent xmlns:mc="http://schemas.openxmlformats.org/markup-compatibility/2006">
      <mc:Choice Requires="x14">
        <control shapeId="6160" r:id="rId6" name="cmdLoadCumulant7">
          <controlPr defaultSize="0" autoLine="0" r:id="rId7">
            <anchor moveWithCells="1">
              <from>
                <xdr:col>15</xdr:col>
                <xdr:colOff>8467</xdr:colOff>
                <xdr:row>32</xdr:row>
                <xdr:rowOff>173567</xdr:rowOff>
              </from>
              <to>
                <xdr:col>16</xdr:col>
                <xdr:colOff>431800</xdr:colOff>
                <xdr:row>34</xdr:row>
                <xdr:rowOff>156633</xdr:rowOff>
              </to>
            </anchor>
          </controlPr>
        </control>
      </mc:Choice>
      <mc:Fallback>
        <control shapeId="6160" r:id="rId6" name="cmdLoadCumulant7"/>
      </mc:Fallback>
    </mc:AlternateContent>
    <mc:AlternateContent xmlns:mc="http://schemas.openxmlformats.org/markup-compatibility/2006">
      <mc:Choice Requires="x14">
        <control shapeId="6159" r:id="rId8" name="cmdLoadCumulant6">
          <controlPr defaultSize="0" autoLine="0" r:id="rId9">
            <anchor moveWithCells="1">
              <from>
                <xdr:col>15</xdr:col>
                <xdr:colOff>8467</xdr:colOff>
                <xdr:row>27</xdr:row>
                <xdr:rowOff>173567</xdr:rowOff>
              </from>
              <to>
                <xdr:col>16</xdr:col>
                <xdr:colOff>461433</xdr:colOff>
                <xdr:row>29</xdr:row>
                <xdr:rowOff>156633</xdr:rowOff>
              </to>
            </anchor>
          </controlPr>
        </control>
      </mc:Choice>
      <mc:Fallback>
        <control shapeId="6159" r:id="rId8" name="cmdLoadCumulant6"/>
      </mc:Fallback>
    </mc:AlternateContent>
    <mc:AlternateContent xmlns:mc="http://schemas.openxmlformats.org/markup-compatibility/2006">
      <mc:Choice Requires="x14">
        <control shapeId="6158" r:id="rId10" name="cmdLoadCumulant5">
          <controlPr defaultSize="0" autoLine="0" r:id="rId11">
            <anchor moveWithCells="1">
              <from>
                <xdr:col>15</xdr:col>
                <xdr:colOff>8467</xdr:colOff>
                <xdr:row>23</xdr:row>
                <xdr:rowOff>0</xdr:rowOff>
              </from>
              <to>
                <xdr:col>16</xdr:col>
                <xdr:colOff>457200</xdr:colOff>
                <xdr:row>25</xdr:row>
                <xdr:rowOff>16933</xdr:rowOff>
              </to>
            </anchor>
          </controlPr>
        </control>
      </mc:Choice>
      <mc:Fallback>
        <control shapeId="6158" r:id="rId10" name="cmdLoadCumulant5"/>
      </mc:Fallback>
    </mc:AlternateContent>
    <mc:AlternateContent xmlns:mc="http://schemas.openxmlformats.org/markup-compatibility/2006">
      <mc:Choice Requires="x14">
        <control shapeId="6157" r:id="rId12" name="cmdLoadCumulant4">
          <controlPr defaultSize="0" autoLine="0" r:id="rId13">
            <anchor moveWithCells="1">
              <from>
                <xdr:col>15</xdr:col>
                <xdr:colOff>8467</xdr:colOff>
                <xdr:row>17</xdr:row>
                <xdr:rowOff>169333</xdr:rowOff>
              </from>
              <to>
                <xdr:col>16</xdr:col>
                <xdr:colOff>478367</xdr:colOff>
                <xdr:row>19</xdr:row>
                <xdr:rowOff>152400</xdr:rowOff>
              </to>
            </anchor>
          </controlPr>
        </control>
      </mc:Choice>
      <mc:Fallback>
        <control shapeId="6157" r:id="rId12" name="cmdLoadCumulant4"/>
      </mc:Fallback>
    </mc:AlternateContent>
    <mc:AlternateContent xmlns:mc="http://schemas.openxmlformats.org/markup-compatibility/2006">
      <mc:Choice Requires="x14">
        <control shapeId="6156" r:id="rId14" name="cmdLoadCumulant3">
          <controlPr defaultSize="0" autoLine="0" r:id="rId15">
            <anchor moveWithCells="1">
              <from>
                <xdr:col>15</xdr:col>
                <xdr:colOff>8467</xdr:colOff>
                <xdr:row>12</xdr:row>
                <xdr:rowOff>173567</xdr:rowOff>
              </from>
              <to>
                <xdr:col>16</xdr:col>
                <xdr:colOff>495300</xdr:colOff>
                <xdr:row>14</xdr:row>
                <xdr:rowOff>156633</xdr:rowOff>
              </to>
            </anchor>
          </controlPr>
        </control>
      </mc:Choice>
      <mc:Fallback>
        <control shapeId="6156" r:id="rId14" name="cmdLoadCumulant3"/>
      </mc:Fallback>
    </mc:AlternateContent>
    <mc:AlternateContent xmlns:mc="http://schemas.openxmlformats.org/markup-compatibility/2006">
      <mc:Choice Requires="x14">
        <control shapeId="6155" r:id="rId16" name="cmdLoadCumulant2">
          <controlPr defaultSize="0" autoLine="0" r:id="rId17">
            <anchor moveWithCells="1">
              <from>
                <xdr:col>15</xdr:col>
                <xdr:colOff>8467</xdr:colOff>
                <xdr:row>7</xdr:row>
                <xdr:rowOff>194733</xdr:rowOff>
              </from>
              <to>
                <xdr:col>16</xdr:col>
                <xdr:colOff>491067</xdr:colOff>
                <xdr:row>9</xdr:row>
                <xdr:rowOff>186267</xdr:rowOff>
              </to>
            </anchor>
          </controlPr>
        </control>
      </mc:Choice>
      <mc:Fallback>
        <control shapeId="6155" r:id="rId16" name="cmdLoadCumulant2"/>
      </mc:Fallback>
    </mc:AlternateContent>
    <mc:AlternateContent xmlns:mc="http://schemas.openxmlformats.org/markup-compatibility/2006">
      <mc:Choice Requires="x14">
        <control shapeId="6154" r:id="rId18" name="cmdLoadCumulant1">
          <controlPr defaultSize="0" autoLine="0" r:id="rId19">
            <anchor moveWithCells="1">
              <from>
                <xdr:col>15</xdr:col>
                <xdr:colOff>8467</xdr:colOff>
                <xdr:row>3</xdr:row>
                <xdr:rowOff>0</xdr:rowOff>
              </from>
              <to>
                <xdr:col>16</xdr:col>
                <xdr:colOff>478367</xdr:colOff>
                <xdr:row>4</xdr:row>
                <xdr:rowOff>198967</xdr:rowOff>
              </to>
            </anchor>
          </controlPr>
        </control>
      </mc:Choice>
      <mc:Fallback>
        <control shapeId="6154" r:id="rId18" name="cmdLoadCumulant1"/>
      </mc:Fallback>
    </mc:AlternateContent>
    <mc:AlternateContent xmlns:mc="http://schemas.openxmlformats.org/markup-compatibility/2006">
      <mc:Choice Requires="x14">
        <control shapeId="6153" r:id="rId20" name="cmdResetCumulantSheet">
          <controlPr defaultSize="0" autoLine="0" r:id="rId21">
            <anchor moveWithCells="1">
              <from>
                <xdr:col>10</xdr:col>
                <xdr:colOff>211667</xdr:colOff>
                <xdr:row>2</xdr:row>
                <xdr:rowOff>173567</xdr:rowOff>
              </from>
              <to>
                <xdr:col>12</xdr:col>
                <xdr:colOff>8467</xdr:colOff>
                <xdr:row>5</xdr:row>
                <xdr:rowOff>143933</xdr:rowOff>
              </to>
            </anchor>
          </controlPr>
        </control>
      </mc:Choice>
      <mc:Fallback>
        <control shapeId="6153" r:id="rId20" name="cmdResetCumulantShee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3:C8"/>
  <sheetViews>
    <sheetView workbookViewId="0">
      <selection activeCell="D11" sqref="D11"/>
    </sheetView>
  </sheetViews>
  <sheetFormatPr defaultRowHeight="14.35"/>
  <cols>
    <col min="1" max="1" width="17.3515625" customWidth="1"/>
    <col min="3" max="3" width="11" bestFit="1" customWidth="1"/>
  </cols>
  <sheetData>
    <row r="3" spans="1:3" ht="16.350000000000001">
      <c r="A3" t="s">
        <v>94</v>
      </c>
      <c r="B3" s="42">
        <v>1.38E-16</v>
      </c>
    </row>
    <row r="4" spans="1:3">
      <c r="A4" t="s">
        <v>10</v>
      </c>
      <c r="B4" s="2">
        <v>6328</v>
      </c>
      <c r="C4" s="41">
        <f>B4/100000000</f>
        <v>6.3280000000000004E-5</v>
      </c>
    </row>
    <row r="5" spans="1:3">
      <c r="A5" t="s">
        <v>11</v>
      </c>
      <c r="B5" s="2">
        <v>1.33</v>
      </c>
    </row>
    <row r="6" spans="1:3" ht="16.350000000000001">
      <c r="A6" t="s">
        <v>95</v>
      </c>
      <c r="B6" s="2">
        <v>0.89039999999999997</v>
      </c>
      <c r="C6" s="41">
        <f>EtaCP/100</f>
        <v>8.9040000000000005E-3</v>
      </c>
    </row>
    <row r="7" spans="1:3">
      <c r="A7" t="s">
        <v>84</v>
      </c>
      <c r="B7" s="2">
        <v>25</v>
      </c>
    </row>
    <row r="8" spans="1:3">
      <c r="A8" t="s">
        <v>85</v>
      </c>
      <c r="B8" s="41">
        <f>273.15+B7</f>
        <v>298.14999999999998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DesignNotes</vt:lpstr>
      <vt:lpstr>Instructions</vt:lpstr>
      <vt:lpstr>Main</vt:lpstr>
      <vt:lpstr>GammaVsQ2</vt:lpstr>
      <vt:lpstr>ForExport</vt:lpstr>
      <vt:lpstr>MEXP</vt:lpstr>
      <vt:lpstr>Cumulant</vt:lpstr>
      <vt:lpstr>Parameters</vt:lpstr>
      <vt:lpstr>ampl1</vt:lpstr>
      <vt:lpstr>ampl2</vt:lpstr>
      <vt:lpstr>ampl3</vt:lpstr>
      <vt:lpstr>BaseAdjust</vt:lpstr>
      <vt:lpstr>CumOffset</vt:lpstr>
      <vt:lpstr>EtaCP</vt:lpstr>
      <vt:lpstr>EtaP</vt:lpstr>
      <vt:lpstr>fcoh</vt:lpstr>
      <vt:lpstr>gamma1</vt:lpstr>
      <vt:lpstr>gamma2</vt:lpstr>
      <vt:lpstr>gamma3</vt:lpstr>
      <vt:lpstr>GammaBar</vt:lpstr>
      <vt:lpstr>kBoltz</vt:lpstr>
      <vt:lpstr>LamCM</vt:lpstr>
      <vt:lpstr>Cumulant!LastChanUsed</vt:lpstr>
      <vt:lpstr>LastChanUsed</vt:lpstr>
      <vt:lpstr>mufour</vt:lpstr>
      <vt:lpstr>muthree</vt:lpstr>
      <vt:lpstr>mutwo</vt:lpstr>
      <vt:lpstr>NumFilesOpened</vt:lpstr>
      <vt:lpstr>Refin</vt:lpstr>
      <vt:lpstr>TdegK</vt:lpstr>
      <vt:lpstr>WhichFunction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Russo</dc:creator>
  <cp:lastModifiedBy>Paul Russo</cp:lastModifiedBy>
  <dcterms:created xsi:type="dcterms:W3CDTF">2011-01-04T03:20:02Z</dcterms:created>
  <dcterms:modified xsi:type="dcterms:W3CDTF">2022-06-16T23:56:31Z</dcterms:modified>
</cp:coreProperties>
</file>