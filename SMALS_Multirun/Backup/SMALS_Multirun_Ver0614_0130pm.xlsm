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93836F59-EAE3-46F8-8D4E-BCE836CD96FB}" xr6:coauthVersionLast="36" xr6:coauthVersionMax="47" xr10:uidLastSave="{00000000-0000-0000-0000-000000000000}"/>
  <bookViews>
    <workbookView xWindow="0" yWindow="0" windowWidth="17067" windowHeight="5960" tabRatio="883" xr2:uid="{00000000-000D-0000-FFFF-FFFF00000000}"/>
  </bookViews>
  <sheets>
    <sheet name="DesignNotes" sheetId="97" r:id="rId1"/>
    <sheet name="Instructions" sheetId="17" r:id="rId2"/>
    <sheet name="Main" sheetId="9" r:id="rId3"/>
    <sheet name="GammaVsQ2" sheetId="38" r:id="rId4"/>
    <sheet name="ForExport" sheetId="102" r:id="rId5"/>
    <sheet name="MEXP" sheetId="106" r:id="rId6"/>
    <sheet name="Parameters" sheetId="39" r:id="rId7"/>
  </sheets>
  <definedNames>
    <definedName name="ampl1">MEXP!$E$5</definedName>
    <definedName name="ampl2">MEXP!$E$6</definedName>
    <definedName name="ampl3">MEXP!$E$7</definedName>
    <definedName name="BaseAdjust">MEXP!$E$4</definedName>
    <definedName name="EtaCP">Parameters!$B$6</definedName>
    <definedName name="EtaP">Parameters!$C$6</definedName>
    <definedName name="FirstChanUsed">MEXP!$K$5</definedName>
    <definedName name="gamma1">MEXP!$G$5</definedName>
    <definedName name="gamma2">MEXP!$G$6</definedName>
    <definedName name="gamma3">MEXP!$G$7</definedName>
    <definedName name="kBoltz">Parameters!$B$3</definedName>
    <definedName name="LamCM">Parameters!$C$4</definedName>
    <definedName name="LastChanUsed">MEXP!$K$6</definedName>
    <definedName name="NumFilesOpened">Main!$B$13</definedName>
    <definedName name="Refin">Parameters!$B$5</definedName>
    <definedName name="solver_adj" localSheetId="5" hidden="1">MEXP!$E$4,MEXP!$E$5,MEXP!$G$5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MEXP!$H$11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AG9" i="106" l="1"/>
  <c r="AJ9" i="106"/>
  <c r="C6" i="39" l="1"/>
  <c r="B8" i="39"/>
  <c r="AD11" i="106"/>
  <c r="AG11" i="106" s="1"/>
  <c r="AJ11" i="106" s="1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I9" i="106" s="1"/>
  <c r="AL9" i="106" s="1"/>
  <c r="AC10" i="106"/>
  <c r="AG10" i="106" s="1"/>
  <c r="AJ10" i="106" s="1"/>
  <c r="AC11" i="106"/>
  <c r="AI11" i="106" s="1"/>
  <c r="AL11" i="106" s="1"/>
  <c r="AF11" i="106"/>
  <c r="AE11" i="106"/>
  <c r="AH11" i="106" s="1"/>
  <c r="AK11" i="106" s="1"/>
  <c r="AF10" i="106"/>
  <c r="AE10" i="106"/>
  <c r="AE9" i="106"/>
  <c r="AF8" i="106"/>
  <c r="AE8" i="106"/>
  <c r="AF7" i="106"/>
  <c r="AE7" i="106"/>
  <c r="AF6" i="106"/>
  <c r="AE6" i="106"/>
  <c r="AH6" i="106" s="1"/>
  <c r="AK6" i="106" s="1"/>
  <c r="AF5" i="106"/>
  <c r="AE5" i="106"/>
  <c r="AF4" i="106"/>
  <c r="AE4" i="106"/>
  <c r="AH10" i="106" l="1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E11" i="106"/>
  <c r="C5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F20" i="106" s="1"/>
  <c r="G20" i="106" s="1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F11" i="106" s="1"/>
  <c r="G11" i="106" s="1"/>
  <c r="H11" i="106"/>
  <c r="E16" i="38" l="1"/>
  <c r="E17" i="38"/>
  <c r="E18" i="38"/>
  <c r="E19" i="38"/>
  <c r="E20" i="38"/>
  <c r="E21" i="38"/>
  <c r="E22" i="38"/>
  <c r="E15" i="38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s="1"/>
  <c r="C4" i="38" l="1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<sst xmlns="http://schemas.openxmlformats.org/spreadsheetml/2006/main" count="272" uniqueCount="106">
  <si>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</si>
  <si>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</si>
  <si>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</si>
  <si>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</si>
  <si>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</si>
  <si>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</si>
  <si>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</si>
  <si>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</si>
  <si>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</si>
  <si>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</si>
  <si>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</si>
  <si>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</si>
  <si>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</si>
  <si>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</si>
  <si>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</si>
  <si>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</si>
  <si>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</si>
  <si>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</si>
  <si>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</si>
  <si>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</si>
  <si>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</si>
  <si>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</si>
  <si>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</si>
  <si>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</si>
  <si>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</si>
  <si>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</si>
  <si>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</si>
  <si>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</si>
  <si>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</si>
  <si>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</si>
  <si>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</si>
  <si>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</si>
  <si>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</si>
  <si>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</si>
  <si>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</si>
  <si>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</si>
  <si>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</si>
  <si>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</si>
  <si>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</si>
  <si>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</si>
  <si>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</si>
  <si>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</si>
  <si>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</si>
  <si>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</si>
  <si>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</si>
  <si>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</si>
  <si>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</si>
  <si>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</si>
  <si>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</si>
  <si>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</si>
  <si>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</si>
  <si>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</si>
  <si>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</si>
  <si>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</si>
  <si>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</si>
  <si>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</si>
  <si>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</si>
  <si>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</si>
  <si>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</si>
  <si>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</si>
  <si>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</si>
  <si>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</si>
  <si>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</si>
  <si>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</si>
  <si>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</si>
  <si>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</si>
  <si>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</si>
  <si>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</si>
  <si>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</si>
  <si>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</si>
  <si>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</si>
  <si>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</si>
  <si>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</si>
  <si>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</si>
  <si>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</si>
  <si>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</si>
  <si>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</si>
  <si>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</si>
  <si>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</si>
  <si>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</si>
  <si>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</si>
  <si>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</si>
  <si>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</si>
  <si>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t>cm-2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</si>
  <si>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</si>
  <si>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</si>
  <si>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</si>
  <si>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</si>
  <si>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</si>
  <si>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</si>
  <si>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</si>
  <si>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</si>
  <si>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</si>
  <si>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</si>
  <si>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</si>
  <si>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</si>
  <si>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</si>
  <si>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</si>
  <si>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</si>
  <si>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</si>
  <si>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</si>
  <si>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</si>
  <si>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</si>
  <si>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 xml:space="preserve">Weird results noted during one MEXP fit for Bock-Siano microemulsion; only one angle did that, and probably due </t>
  </si>
  <si>
    <t>to a Solver limitation (might want to rescale--e.g., fit for 10^4 Hz instead of kHz</t>
  </si>
  <si>
    <t xml:space="preserve">Watchful waiting is the order of the day here.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</si>
</sst>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v</a:t>
            </a:r>
            <a:r>
              <a:rPr lang="en-US" baseline="0"/>
              <a:t>s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November 2021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4233</xdr:rowOff>
        </xdr:from>
        <xdr:to>
          <xdr:col>10</xdr:col>
          <xdr:colOff>228600</xdr:colOff>
          <xdr:row>2</xdr:row>
          <xdr:rowOff>148167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364067</xdr:colOff>
          <xdr:row>1</xdr:row>
          <xdr:rowOff>8467</xdr:rowOff>
        </xdr:from>
        <xdr:to>
          <xdr:col>5</xdr:col>
          <xdr:colOff>524933</xdr:colOff>
          <xdr:row>2</xdr:row>
          <xdr:rowOff>156633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29633</xdr:rowOff>
        </xdr:from>
        <xdr:to>
          <xdr:col>8</xdr:col>
          <xdr:colOff>330200</xdr:colOff>
          <xdr:row>2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7</xdr:row>
      <xdr:rowOff>125121</xdr:rowOff>
    </xdr:from>
    <xdr:to>
      <xdr:col>14</xdr:col>
      <xdr:colOff>413821</xdr:colOff>
      <xdr:row>22</xdr:row>
      <xdr:rowOff>58104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33200</xdr:rowOff>
    </xdr:from>
    <xdr:to>
      <xdr:col>14</xdr:col>
      <xdr:colOff>415033</xdr:colOff>
      <xdr:row>31</xdr:row>
      <xdr:rowOff>33767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177800</xdr:rowOff>
        </xdr:from>
        <xdr:to>
          <xdr:col>16</xdr:col>
          <xdr:colOff>465667</xdr:colOff>
          <xdr:row>5</xdr:row>
          <xdr:rowOff>63500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474133</xdr:colOff>
          <xdr:row>10</xdr:row>
          <xdr:rowOff>93133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474133</xdr:colOff>
          <xdr:row>15</xdr:row>
          <xdr:rowOff>118533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474133</xdr:colOff>
          <xdr:row>20</xdr:row>
          <xdr:rowOff>118533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474133</xdr:colOff>
          <xdr:row>25</xdr:row>
          <xdr:rowOff>118533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474133</xdr:colOff>
          <xdr:row>30</xdr:row>
          <xdr:rowOff>118533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474133</xdr:colOff>
          <xdr:row>35</xdr:row>
          <xdr:rowOff>118533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474133</xdr:colOff>
          <xdr:row>40</xdr:row>
          <xdr:rowOff>118533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211667</xdr:colOff>
          <xdr:row>2</xdr:row>
          <xdr:rowOff>173567</xdr:rowOff>
        </xdr:from>
        <xdr:to>
          <xdr:col>13</xdr:col>
          <xdr:colOff>16933</xdr:colOff>
          <xdr:row>5</xdr:row>
          <xdr:rowOff>148167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246856</xdr:colOff>
      <xdr:row>11</xdr:row>
      <xdr:rowOff>114828</xdr:rowOff>
    </xdr:from>
    <xdr:to>
      <xdr:col>50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C40"/>
  <sheetViews>
    <sheetView tabSelected="1" topLeftCell="A21" workbookViewId="0">
      <selection activeCell="K59" sqref="K59"/>
    </sheetView>
  </sheetViews>
  <sheetFormatPr defaultRowHeight="14.35" x14ac:dyDescent="0.5"/>
  <sheetData>
    <row r="1" spans="1:3" x14ac:dyDescent="0.5">
      <c r="A1" s="24">
        <v>44530</v>
      </c>
      <c r="B1" t="s">
        <v>35</v>
      </c>
    </row>
    <row r="2" spans="1:3" x14ac:dyDescent="0.5">
      <c r="B2" t="s">
        <v>32</v>
      </c>
    </row>
    <row r="3" spans="1:3" x14ac:dyDescent="0.5">
      <c r="B3" t="s">
        <v>33</v>
      </c>
    </row>
    <row r="4" spans="1:3" x14ac:dyDescent="0.5">
      <c r="B4" t="s">
        <v>34</v>
      </c>
    </row>
    <row r="5" spans="1:3" x14ac:dyDescent="0.5">
      <c r="B5" t="s">
        <v>36</v>
      </c>
    </row>
    <row r="6" spans="1:3" x14ac:dyDescent="0.5">
      <c r="C6" t="s">
        <v>37</v>
      </c>
    </row>
    <row r="7" spans="1:3" x14ac:dyDescent="0.5">
      <c r="C7" t="s">
        <v>38</v>
      </c>
    </row>
    <row r="8" spans="1:3" x14ac:dyDescent="0.5">
      <c r="C8" t="s">
        <v>40</v>
      </c>
    </row>
    <row r="9" spans="1:3" x14ac:dyDescent="0.5">
      <c r="C9" t="s">
        <v>39</v>
      </c>
    </row>
    <row r="10" spans="1:3" x14ac:dyDescent="0.5">
      <c r="C10" t="s">
        <v>41</v>
      </c>
    </row>
    <row r="12" spans="1:3" x14ac:dyDescent="0.5">
      <c r="A12" s="24">
        <v>44612</v>
      </c>
      <c r="B12" t="s">
        <v>42</v>
      </c>
    </row>
    <row r="13" spans="1:3" x14ac:dyDescent="0.5">
      <c r="B13" t="s">
        <v>43</v>
      </c>
    </row>
    <row r="14" spans="1:3" x14ac:dyDescent="0.5">
      <c r="B14" t="s">
        <v>44</v>
      </c>
    </row>
    <row r="15" spans="1:3" x14ac:dyDescent="0.5">
      <c r="B15" t="s">
        <v>45</v>
      </c>
    </row>
    <row r="16" spans="1:3" x14ac:dyDescent="0.5">
      <c r="B16" t="s">
        <v>46</v>
      </c>
    </row>
    <row r="17" spans="1:2" x14ac:dyDescent="0.5">
      <c r="B17" t="s">
        <v>47</v>
      </c>
    </row>
    <row r="18" spans="1:2" x14ac:dyDescent="0.5">
      <c r="B18" t="s">
        <v>48</v>
      </c>
    </row>
    <row r="19" spans="1:2" x14ac:dyDescent="0.5">
      <c r="B19" t="s">
        <v>49</v>
      </c>
    </row>
    <row r="20" spans="1:2" x14ac:dyDescent="0.5">
      <c r="B20" t="s">
        <v>50</v>
      </c>
    </row>
    <row r="21" spans="1:2" x14ac:dyDescent="0.5">
      <c r="B21" t="s">
        <v>51</v>
      </c>
    </row>
    <row r="22" spans="1:2" x14ac:dyDescent="0.5">
      <c r="A22" s="24">
        <v>44655</v>
      </c>
      <c r="B22" t="s">
        <v>52</v>
      </c>
    </row>
    <row r="23" spans="1:2" x14ac:dyDescent="0.5">
      <c r="B23" t="s">
        <v>53</v>
      </c>
    </row>
    <row r="24" spans="1:2" x14ac:dyDescent="0.5">
      <c r="B24" t="s">
        <v>54</v>
      </c>
    </row>
    <row r="25" spans="1:2" x14ac:dyDescent="0.5">
      <c r="B25" s="26" t="s">
        <v>55</v>
      </c>
    </row>
    <row r="26" spans="1:2" x14ac:dyDescent="0.5">
      <c r="A26" s="24">
        <v>44717</v>
      </c>
      <c r="B26" t="s">
        <v>56</v>
      </c>
    </row>
    <row r="27" spans="1:2" x14ac:dyDescent="0.5">
      <c r="B27" t="s">
        <v>61</v>
      </c>
    </row>
    <row r="28" spans="1:2" x14ac:dyDescent="0.5">
      <c r="B28" t="s">
        <v>57</v>
      </c>
    </row>
    <row r="29" spans="1:2" x14ac:dyDescent="0.5">
      <c r="B29" t="s">
        <v>58</v>
      </c>
    </row>
    <row r="30" spans="1:2" x14ac:dyDescent="0.5">
      <c r="B30" t="s">
        <v>59</v>
      </c>
    </row>
    <row r="31" spans="1:2" x14ac:dyDescent="0.5">
      <c r="B31" t="s">
        <v>60</v>
      </c>
    </row>
    <row r="32" spans="1:2" x14ac:dyDescent="0.5">
      <c r="A32" s="24">
        <v>44724</v>
      </c>
      <c r="B32" t="s">
        <v>97</v>
      </c>
    </row>
    <row r="33" spans="1:2" x14ac:dyDescent="0.5">
      <c r="B33" t="s">
        <v>99</v>
      </c>
    </row>
    <row r="34" spans="1:2" x14ac:dyDescent="0.5">
      <c r="B34" t="s">
        <v>100</v>
      </c>
    </row>
    <row r="35" spans="1:2" x14ac:dyDescent="0.5">
      <c r="B35" t="s">
        <v>98</v>
      </c>
    </row>
    <row r="36" spans="1:2" x14ac:dyDescent="0.5">
      <c r="B36" t="s">
        <v>102</v>
      </c>
    </row>
    <row r="37" spans="1:2" x14ac:dyDescent="0.5">
      <c r="B37" t="s">
        <v>101</v>
      </c>
    </row>
    <row r="38" spans="1:2" x14ac:dyDescent="0.5">
      <c r="A38" s="24">
        <v>44726</v>
      </c>
      <c r="B38" t="s">
        <v>103</v>
      </c>
    </row>
    <row r="39" spans="1:2" x14ac:dyDescent="0.5">
      <c r="B39" t="s">
        <v>104</v>
      </c>
    </row>
    <row r="40" spans="1:2" x14ac:dyDescent="0.5">
      <c r="B40" t="s">
        <v>105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 x14ac:dyDescent="0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4"/>
  <sheetViews>
    <sheetView zoomScale="74" zoomScaleNormal="50" workbookViewId="0"/>
  </sheetViews>
  <sheetFormatPr defaultRowHeight="14.35" x14ac:dyDescent="0.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 x14ac:dyDescent="0.5">
      <c r="H1" s="22"/>
      <c r="J1" s="23"/>
    </row>
    <row r="4" spans="1:10" x14ac:dyDescent="0.5">
      <c r="A4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364067</xdr:colOff>
                <xdr:row>1</xdr:row>
                <xdr:rowOff>8467</xdr:rowOff>
              </from>
              <to>
                <xdr:col>5</xdr:col>
                <xdr:colOff>524933</xdr:colOff>
                <xdr:row>2</xdr:row>
                <xdr:rowOff>160867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0</xdr:colOff>
                <xdr:row>1</xdr:row>
                <xdr:rowOff>4233</xdr:rowOff>
              </from>
              <to>
                <xdr:col>10</xdr:col>
                <xdr:colOff>228600</xdr:colOff>
                <xdr:row>2</xdr:row>
                <xdr:rowOff>148167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6</xdr:col>
                <xdr:colOff>50800</xdr:colOff>
                <xdr:row>1</xdr:row>
                <xdr:rowOff>29633</xdr:rowOff>
              </from>
              <to>
                <xdr:col>8</xdr:col>
                <xdr:colOff>330200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 x14ac:dyDescent="0.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 x14ac:dyDescent="0.5">
      <c r="E1" s="1" t="s">
        <v>24</v>
      </c>
      <c r="I1" s="1" t="s">
        <v>24</v>
      </c>
      <c r="M1" s="1" t="s">
        <v>25</v>
      </c>
      <c r="Q1" s="1" t="s">
        <v>25</v>
      </c>
    </row>
    <row r="2" spans="1:18" x14ac:dyDescent="0.5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 x14ac:dyDescent="0.5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 x14ac:dyDescent="0.5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 x14ac:dyDescent="0.5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 x14ac:dyDescent="0.5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 x14ac:dyDescent="0.5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 x14ac:dyDescent="0.5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 x14ac:dyDescent="0.5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 x14ac:dyDescent="0.5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 x14ac:dyDescent="0.5">
      <c r="D11" s="19"/>
      <c r="E11" s="19"/>
    </row>
    <row r="12" spans="1:18" x14ac:dyDescent="0.5">
      <c r="D12" s="19"/>
      <c r="E12" s="19"/>
    </row>
    <row r="13" spans="1:18" x14ac:dyDescent="0.5">
      <c r="D13" s="1" t="s">
        <v>20</v>
      </c>
    </row>
    <row r="14" spans="1:18" x14ac:dyDescent="0.5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 x14ac:dyDescent="0.5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 x14ac:dyDescent="0.5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 x14ac:dyDescent="0.5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 x14ac:dyDescent="0.5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 x14ac:dyDescent="0.5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 x14ac:dyDescent="0.5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 x14ac:dyDescent="0.5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 x14ac:dyDescent="0.5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 x14ac:dyDescent="0.5">
      <c r="E23" s="7"/>
      <c r="F23" s="7" t="s">
        <v>22</v>
      </c>
    </row>
    <row r="24" spans="1:9" x14ac:dyDescent="0.5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 x14ac:dyDescent="0.5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 x14ac:dyDescent="0.5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 x14ac:dyDescent="0.5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 x14ac:dyDescent="0.5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 x14ac:dyDescent="0.5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 x14ac:dyDescent="0.5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 x14ac:dyDescent="0.5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 x14ac:dyDescent="0.5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 x14ac:dyDescent="0.5">
      <c r="M38" s="11" t="s">
        <v>27</v>
      </c>
      <c r="N38" s="15" t="s">
        <v>28</v>
      </c>
    </row>
    <row r="39" spans="3:26" x14ac:dyDescent="0.5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 x14ac:dyDescent="0.5">
      <c r="M40" s="18">
        <f>E25</f>
        <v>0</v>
      </c>
      <c r="N40" s="16">
        <f>M3</f>
        <v>0</v>
      </c>
      <c r="O40">
        <v>1</v>
      </c>
    </row>
    <row r="41" spans="3:26" x14ac:dyDescent="0.5">
      <c r="C41" s="12">
        <f>A3</f>
        <v>0</v>
      </c>
    </row>
    <row r="48" spans="3:26" x14ac:dyDescent="0.5">
      <c r="M48" s="11" t="s">
        <v>27</v>
      </c>
      <c r="N48" s="15" t="s">
        <v>28</v>
      </c>
    </row>
    <row r="49" spans="3:15" x14ac:dyDescent="0.5">
      <c r="M49" s="18">
        <f>E26</f>
        <v>0</v>
      </c>
      <c r="N49" s="17">
        <f>M4</f>
        <v>0</v>
      </c>
      <c r="O49">
        <v>0</v>
      </c>
    </row>
    <row r="50" spans="3:15" x14ac:dyDescent="0.5">
      <c r="M50" s="18">
        <f>E26</f>
        <v>0</v>
      </c>
      <c r="N50" s="17">
        <f>M4</f>
        <v>0</v>
      </c>
      <c r="O50">
        <v>1</v>
      </c>
    </row>
    <row r="51" spans="3:15" x14ac:dyDescent="0.5">
      <c r="C51" s="11">
        <f>A4</f>
        <v>0</v>
      </c>
    </row>
    <row r="58" spans="3:15" x14ac:dyDescent="0.5">
      <c r="M58" s="11" t="s">
        <v>27</v>
      </c>
      <c r="N58" s="15" t="s">
        <v>28</v>
      </c>
    </row>
    <row r="59" spans="3:15" x14ac:dyDescent="0.5">
      <c r="M59" s="18">
        <f>E27</f>
        <v>0</v>
      </c>
      <c r="N59" s="17">
        <f>M5</f>
        <v>0</v>
      </c>
      <c r="O59">
        <v>0</v>
      </c>
    </row>
    <row r="60" spans="3:15" x14ac:dyDescent="0.5">
      <c r="M60" s="18">
        <f>E27</f>
        <v>0</v>
      </c>
      <c r="N60" s="17">
        <f>M5</f>
        <v>0</v>
      </c>
      <c r="O60">
        <v>1</v>
      </c>
    </row>
    <row r="61" spans="3:15" x14ac:dyDescent="0.5">
      <c r="C61" s="9">
        <f>A5</f>
        <v>0</v>
      </c>
    </row>
    <row r="68" spans="3:15" x14ac:dyDescent="0.5">
      <c r="M68" s="11" t="s">
        <v>27</v>
      </c>
      <c r="N68" s="15" t="s">
        <v>28</v>
      </c>
    </row>
    <row r="69" spans="3:15" x14ac:dyDescent="0.5">
      <c r="M69" s="18">
        <f>E28</f>
        <v>0</v>
      </c>
      <c r="N69" s="17">
        <f>M6</f>
        <v>0</v>
      </c>
      <c r="O69">
        <v>0</v>
      </c>
    </row>
    <row r="70" spans="3:15" x14ac:dyDescent="0.5">
      <c r="M70" s="18">
        <f>E28</f>
        <v>0</v>
      </c>
      <c r="N70" s="17">
        <f>M6</f>
        <v>0</v>
      </c>
      <c r="O70">
        <v>1</v>
      </c>
    </row>
    <row r="71" spans="3:15" x14ac:dyDescent="0.5">
      <c r="C71" s="14">
        <f>A6</f>
        <v>0</v>
      </c>
    </row>
    <row r="78" spans="3:15" x14ac:dyDescent="0.5">
      <c r="M78" s="11" t="s">
        <v>27</v>
      </c>
      <c r="N78" s="15" t="s">
        <v>28</v>
      </c>
    </row>
    <row r="79" spans="3:15" x14ac:dyDescent="0.5">
      <c r="M79" s="18">
        <f>E29</f>
        <v>0</v>
      </c>
      <c r="N79" s="17">
        <f>M7</f>
        <v>0</v>
      </c>
      <c r="O79">
        <v>0</v>
      </c>
    </row>
    <row r="80" spans="3:15" x14ac:dyDescent="0.5">
      <c r="M80" s="18">
        <f>E29</f>
        <v>0</v>
      </c>
      <c r="N80" s="17">
        <f>M7</f>
        <v>0</v>
      </c>
      <c r="O80">
        <v>1</v>
      </c>
    </row>
    <row r="81" spans="3:3" x14ac:dyDescent="0.5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C6"/>
  <sheetViews>
    <sheetView workbookViewId="0">
      <selection sqref="A1:XFD1048576"/>
    </sheetView>
  </sheetViews>
  <sheetFormatPr defaultRowHeight="14.35" x14ac:dyDescent="0.5"/>
  <sheetData>
    <row r="2" spans="2:29" x14ac:dyDescent="0.5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2:29" x14ac:dyDescent="0.5">
      <c r="B3" s="25"/>
      <c r="D3" s="25"/>
      <c r="F3" s="25"/>
      <c r="H3" s="25"/>
      <c r="J3" s="25"/>
      <c r="L3" s="25"/>
      <c r="N3" s="25"/>
      <c r="P3" s="25"/>
      <c r="R3" s="25"/>
      <c r="T3" s="25"/>
      <c r="V3" s="25"/>
      <c r="X3" s="25"/>
      <c r="Z3" s="25"/>
      <c r="AA3" s="25"/>
      <c r="AB3" s="25"/>
      <c r="AC3" s="25"/>
    </row>
    <row r="4" spans="2:29" x14ac:dyDescent="0.5">
      <c r="AA4" s="25"/>
      <c r="AB4" s="25"/>
      <c r="AC4" s="25"/>
    </row>
    <row r="5" spans="2:29" x14ac:dyDescent="0.5">
      <c r="AB5" s="25"/>
      <c r="AC5" s="25"/>
    </row>
    <row r="6" spans="2:29" x14ac:dyDescent="0.5">
      <c r="AC6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topLeftCell="V2" zoomScale="70" zoomScaleNormal="70" workbookViewId="0">
      <selection activeCell="AT47" sqref="AT47"/>
    </sheetView>
  </sheetViews>
  <sheetFormatPr defaultRowHeight="14.35" x14ac:dyDescent="0.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13.8203125" bestFit="1" customWidth="1"/>
    <col min="8" max="8" width="7" customWidth="1"/>
    <col min="9" max="9" width="15.87890625" customWidth="1"/>
    <col min="10" max="11" width="9" bestFit="1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 x14ac:dyDescent="0.5">
      <c r="AC2" t="s">
        <v>84</v>
      </c>
      <c r="AD2" t="s">
        <v>66</v>
      </c>
      <c r="AE2" t="s">
        <v>67</v>
      </c>
      <c r="AF2" t="s">
        <v>68</v>
      </c>
      <c r="AG2" t="s">
        <v>88</v>
      </c>
      <c r="AH2" t="s">
        <v>89</v>
      </c>
      <c r="AI2" t="s">
        <v>90</v>
      </c>
      <c r="AJ2" t="s">
        <v>91</v>
      </c>
      <c r="AK2" t="s">
        <v>92</v>
      </c>
      <c r="AL2" t="s">
        <v>93</v>
      </c>
    </row>
    <row r="3" spans="1:38" ht="16.350000000000001" x14ac:dyDescent="0.5">
      <c r="AB3" t="s">
        <v>76</v>
      </c>
      <c r="AC3" t="s">
        <v>83</v>
      </c>
      <c r="AD3" t="s">
        <v>82</v>
      </c>
      <c r="AE3" t="s">
        <v>82</v>
      </c>
      <c r="AF3" t="s">
        <v>82</v>
      </c>
      <c r="AG3" t="s">
        <v>87</v>
      </c>
      <c r="AH3" t="s">
        <v>87</v>
      </c>
      <c r="AI3" t="s">
        <v>87</v>
      </c>
      <c r="AJ3" t="s">
        <v>94</v>
      </c>
      <c r="AK3" t="s">
        <v>94</v>
      </c>
      <c r="AL3" t="s">
        <v>94</v>
      </c>
    </row>
    <row r="4" spans="1:38" x14ac:dyDescent="0.5">
      <c r="B4" s="27" t="s">
        <v>62</v>
      </c>
      <c r="C4" s="28"/>
      <c r="D4" s="27" t="s">
        <v>63</v>
      </c>
      <c r="E4" s="28"/>
      <c r="F4" s="27"/>
      <c r="G4" s="27"/>
      <c r="H4" s="27"/>
      <c r="I4" s="27"/>
      <c r="J4" s="27"/>
      <c r="K4" s="30" t="s">
        <v>80</v>
      </c>
      <c r="R4" s="33" t="s">
        <v>62</v>
      </c>
      <c r="S4" s="33"/>
      <c r="T4" s="33" t="s">
        <v>63</v>
      </c>
      <c r="U4" s="33"/>
      <c r="V4" s="33"/>
      <c r="W4" s="33"/>
      <c r="X4" s="33"/>
      <c r="Y4" s="33"/>
      <c r="Z4" s="33"/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 x14ac:dyDescent="0.5">
      <c r="B5" s="27" t="s">
        <v>69</v>
      </c>
      <c r="C5" s="31">
        <f>(4*PI()*Refin*SIN(RADIANS(C4/2))/LamCM)^2</f>
        <v>0</v>
      </c>
      <c r="D5" s="27" t="s">
        <v>64</v>
      </c>
      <c r="E5" s="28">
        <v>0.5</v>
      </c>
      <c r="F5" s="27" t="s">
        <v>66</v>
      </c>
      <c r="G5" s="28">
        <v>1</v>
      </c>
      <c r="H5" s="27" t="s">
        <v>82</v>
      </c>
      <c r="I5" s="27" t="s">
        <v>75</v>
      </c>
      <c r="J5" s="28">
        <v>10</v>
      </c>
      <c r="K5" s="27">
        <f>J5+10</f>
        <v>20</v>
      </c>
      <c r="R5" s="33" t="s">
        <v>81</v>
      </c>
      <c r="S5" s="33"/>
      <c r="T5" s="33" t="s">
        <v>64</v>
      </c>
      <c r="U5" s="33"/>
      <c r="V5" s="33" t="s">
        <v>66</v>
      </c>
      <c r="W5" s="33"/>
      <c r="X5" s="33" t="s">
        <v>82</v>
      </c>
      <c r="Y5" s="33" t="s">
        <v>75</v>
      </c>
      <c r="Z5" s="33"/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 x14ac:dyDescent="0.5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27">
        <f>J6+10</f>
        <v>138</v>
      </c>
      <c r="R6" s="33"/>
      <c r="S6" s="33"/>
      <c r="T6" s="33" t="s">
        <v>17</v>
      </c>
      <c r="U6" s="33"/>
      <c r="V6" s="33" t="s">
        <v>67</v>
      </c>
      <c r="W6" s="33"/>
      <c r="X6" s="33" t="s">
        <v>82</v>
      </c>
      <c r="Y6" s="33" t="s">
        <v>79</v>
      </c>
      <c r="Z6" s="33"/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 x14ac:dyDescent="0.5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27"/>
      <c r="R7" s="33"/>
      <c r="S7" s="33"/>
      <c r="T7" s="33" t="s">
        <v>65</v>
      </c>
      <c r="U7" s="33"/>
      <c r="V7" s="33" t="s">
        <v>68</v>
      </c>
      <c r="W7" s="33"/>
      <c r="X7" s="33" t="s">
        <v>82</v>
      </c>
      <c r="Y7" s="33"/>
      <c r="Z7" s="33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 x14ac:dyDescent="0.5"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 x14ac:dyDescent="0.5"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B9">
        <v>6</v>
      </c>
      <c r="AC9">
        <f>S30/10000000000</f>
        <v>0</v>
      </c>
      <c r="AD9"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 x14ac:dyDescent="0.5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34" t="s">
        <v>64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 x14ac:dyDescent="0.5">
      <c r="A11">
        <v>1</v>
      </c>
      <c r="B11">
        <f>C11/1000</f>
        <v>0</v>
      </c>
      <c r="C11" s="29"/>
      <c r="D11" s="29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34"/>
      <c r="S11" s="34"/>
      <c r="T11" s="34" t="s">
        <v>17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 x14ac:dyDescent="0.5">
      <c r="A12">
        <v>2</v>
      </c>
      <c r="B12">
        <f t="shared" ref="B12:B75" si="6">C12/1000</f>
        <v>0</v>
      </c>
      <c r="C12" s="28"/>
      <c r="D12" s="28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34"/>
      <c r="S12" s="34"/>
      <c r="T12" s="34" t="s">
        <v>65</v>
      </c>
      <c r="U12" s="34"/>
      <c r="V12" s="34" t="s">
        <v>68</v>
      </c>
      <c r="W12" s="34"/>
      <c r="X12" s="34" t="s">
        <v>82</v>
      </c>
      <c r="Y12" s="34"/>
      <c r="Z12" s="34"/>
    </row>
    <row r="13" spans="1:38" x14ac:dyDescent="0.5">
      <c r="A13">
        <v>3</v>
      </c>
      <c r="B13">
        <f t="shared" si="6"/>
        <v>0</v>
      </c>
      <c r="C13" s="28"/>
      <c r="D13" s="28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 x14ac:dyDescent="0.5">
      <c r="A14">
        <v>4</v>
      </c>
      <c r="B14">
        <f t="shared" si="6"/>
        <v>0</v>
      </c>
      <c r="C14" s="28"/>
      <c r="D14" s="28"/>
      <c r="E14">
        <f t="shared" si="5"/>
        <v>0.25</v>
      </c>
      <c r="F14">
        <f t="shared" si="7"/>
        <v>-0.25</v>
      </c>
      <c r="G14">
        <f t="shared" si="8"/>
        <v>6.25E-2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</row>
    <row r="15" spans="1:38" x14ac:dyDescent="0.5">
      <c r="A15">
        <v>5</v>
      </c>
      <c r="B15">
        <f t="shared" si="6"/>
        <v>0</v>
      </c>
      <c r="C15" s="28"/>
      <c r="D15" s="28"/>
      <c r="E15">
        <f t="shared" si="5"/>
        <v>0.25</v>
      </c>
      <c r="F15">
        <f t="shared" si="7"/>
        <v>-0.25</v>
      </c>
      <c r="G15">
        <f t="shared" si="8"/>
        <v>6.25E-2</v>
      </c>
      <c r="R15" s="35" t="s">
        <v>81</v>
      </c>
      <c r="S15" s="35"/>
      <c r="T15" s="35" t="s">
        <v>64</v>
      </c>
      <c r="U15" s="35"/>
      <c r="V15" s="35" t="s">
        <v>66</v>
      </c>
      <c r="W15" s="35"/>
      <c r="X15" s="35" t="s">
        <v>82</v>
      </c>
      <c r="Y15" s="35" t="s">
        <v>75</v>
      </c>
      <c r="Z15" s="35"/>
    </row>
    <row r="16" spans="1:38" x14ac:dyDescent="0.5">
      <c r="A16">
        <v>6</v>
      </c>
      <c r="B16">
        <f t="shared" si="6"/>
        <v>0</v>
      </c>
      <c r="C16" s="28"/>
      <c r="D16" s="28"/>
      <c r="E16">
        <f t="shared" si="5"/>
        <v>0.25</v>
      </c>
      <c r="F16">
        <f t="shared" si="7"/>
        <v>-0.25</v>
      </c>
      <c r="G16">
        <f t="shared" si="8"/>
        <v>6.25E-2</v>
      </c>
      <c r="R16" s="35"/>
      <c r="S16" s="35"/>
      <c r="T16" s="35" t="s">
        <v>17</v>
      </c>
      <c r="U16" s="35"/>
      <c r="V16" s="35" t="s">
        <v>67</v>
      </c>
      <c r="W16" s="35"/>
      <c r="X16" s="35" t="s">
        <v>82</v>
      </c>
      <c r="Y16" s="35" t="s">
        <v>79</v>
      </c>
      <c r="Z16" s="35"/>
    </row>
    <row r="17" spans="1:26" x14ac:dyDescent="0.5">
      <c r="A17">
        <v>7</v>
      </c>
      <c r="B17">
        <f t="shared" si="6"/>
        <v>0</v>
      </c>
      <c r="C17" s="28"/>
      <c r="D17" s="28"/>
      <c r="E17">
        <f t="shared" si="5"/>
        <v>0.25</v>
      </c>
      <c r="F17">
        <f t="shared" si="7"/>
        <v>-0.25</v>
      </c>
      <c r="G17">
        <f t="shared" si="8"/>
        <v>6.25E-2</v>
      </c>
      <c r="R17" s="35"/>
      <c r="S17" s="35"/>
      <c r="T17" s="35" t="s">
        <v>65</v>
      </c>
      <c r="U17" s="35"/>
      <c r="V17" s="35" t="s">
        <v>68</v>
      </c>
      <c r="W17" s="35"/>
      <c r="X17" s="35" t="s">
        <v>82</v>
      </c>
      <c r="Y17" s="35"/>
      <c r="Z17" s="35"/>
    </row>
    <row r="18" spans="1:26" x14ac:dyDescent="0.5">
      <c r="A18">
        <v>8</v>
      </c>
      <c r="B18">
        <f t="shared" si="6"/>
        <v>0</v>
      </c>
      <c r="C18" s="28"/>
      <c r="D18" s="28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6" x14ac:dyDescent="0.5">
      <c r="A19">
        <v>9</v>
      </c>
      <c r="B19">
        <f t="shared" si="6"/>
        <v>0</v>
      </c>
      <c r="C19" s="28"/>
      <c r="D19" s="28"/>
      <c r="E19">
        <f t="shared" si="5"/>
        <v>0.25</v>
      </c>
      <c r="F19">
        <f t="shared" si="7"/>
        <v>-0.25</v>
      </c>
      <c r="G19">
        <f t="shared" si="8"/>
        <v>6.25E-2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</row>
    <row r="20" spans="1:26" x14ac:dyDescent="0.5">
      <c r="A20">
        <v>10</v>
      </c>
      <c r="B20">
        <f t="shared" si="6"/>
        <v>0</v>
      </c>
      <c r="C20" s="28"/>
      <c r="D20" s="28"/>
      <c r="E20">
        <f t="shared" si="5"/>
        <v>0.25</v>
      </c>
      <c r="F20">
        <f t="shared" si="7"/>
        <v>-0.25</v>
      </c>
      <c r="G20">
        <f t="shared" si="8"/>
        <v>6.25E-2</v>
      </c>
      <c r="R20" s="36" t="s">
        <v>81</v>
      </c>
      <c r="S20" s="36"/>
      <c r="T20" s="36" t="s">
        <v>64</v>
      </c>
      <c r="U20" s="36"/>
      <c r="V20" s="36" t="s">
        <v>66</v>
      </c>
      <c r="W20" s="36"/>
      <c r="X20" s="36" t="s">
        <v>82</v>
      </c>
      <c r="Y20" s="36" t="s">
        <v>75</v>
      </c>
      <c r="Z20" s="36"/>
    </row>
    <row r="21" spans="1:26" x14ac:dyDescent="0.5">
      <c r="A21">
        <v>11</v>
      </c>
      <c r="B21">
        <f t="shared" si="6"/>
        <v>0</v>
      </c>
      <c r="C21" s="28"/>
      <c r="D21" s="28"/>
      <c r="E21">
        <f t="shared" si="5"/>
        <v>0.25</v>
      </c>
      <c r="F21">
        <f t="shared" si="7"/>
        <v>-0.25</v>
      </c>
      <c r="G21">
        <f t="shared" si="8"/>
        <v>6.25E-2</v>
      </c>
      <c r="R21" s="36"/>
      <c r="S21" s="36"/>
      <c r="T21" s="36" t="s">
        <v>17</v>
      </c>
      <c r="U21" s="36"/>
      <c r="V21" s="36" t="s">
        <v>67</v>
      </c>
      <c r="W21" s="36"/>
      <c r="X21" s="36" t="s">
        <v>82</v>
      </c>
      <c r="Y21" s="36" t="s">
        <v>79</v>
      </c>
      <c r="Z21" s="36"/>
    </row>
    <row r="22" spans="1:26" x14ac:dyDescent="0.5">
      <c r="A22">
        <v>12</v>
      </c>
      <c r="B22">
        <f t="shared" si="6"/>
        <v>0</v>
      </c>
      <c r="C22" s="28"/>
      <c r="D22" s="28"/>
      <c r="E22">
        <f t="shared" si="5"/>
        <v>0.25</v>
      </c>
      <c r="F22">
        <f t="shared" si="7"/>
        <v>-0.25</v>
      </c>
      <c r="G22">
        <f t="shared" si="8"/>
        <v>6.25E-2</v>
      </c>
      <c r="R22" s="36"/>
      <c r="S22" s="36"/>
      <c r="T22" s="36" t="s">
        <v>65</v>
      </c>
      <c r="U22" s="36"/>
      <c r="V22" s="36" t="s">
        <v>68</v>
      </c>
      <c r="W22" s="36"/>
      <c r="X22" s="36" t="s">
        <v>82</v>
      </c>
      <c r="Y22" s="36"/>
      <c r="Z22" s="36"/>
    </row>
    <row r="23" spans="1:26" x14ac:dyDescent="0.5">
      <c r="A23">
        <v>13</v>
      </c>
      <c r="B23">
        <f t="shared" si="6"/>
        <v>0</v>
      </c>
      <c r="C23" s="28"/>
      <c r="D23" s="28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6" x14ac:dyDescent="0.5">
      <c r="A24">
        <v>14</v>
      </c>
      <c r="B24">
        <f t="shared" si="6"/>
        <v>0</v>
      </c>
      <c r="C24" s="28"/>
      <c r="D24" s="28"/>
      <c r="E24">
        <f t="shared" si="5"/>
        <v>0.25</v>
      </c>
      <c r="F24">
        <f t="shared" si="7"/>
        <v>-0.25</v>
      </c>
      <c r="G24">
        <f t="shared" si="8"/>
        <v>6.25E-2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</row>
    <row r="25" spans="1:26" x14ac:dyDescent="0.5">
      <c r="A25">
        <v>15</v>
      </c>
      <c r="B25">
        <f t="shared" si="6"/>
        <v>0</v>
      </c>
      <c r="C25" s="28"/>
      <c r="D25" s="28"/>
      <c r="E25">
        <f t="shared" si="5"/>
        <v>0.25</v>
      </c>
      <c r="F25">
        <f t="shared" si="7"/>
        <v>-0.25</v>
      </c>
      <c r="G25">
        <f t="shared" si="8"/>
        <v>6.25E-2</v>
      </c>
      <c r="R25" s="37" t="s">
        <v>81</v>
      </c>
      <c r="S25" s="37"/>
      <c r="T25" s="37" t="s">
        <v>64</v>
      </c>
      <c r="U25" s="37"/>
      <c r="V25" s="37" t="s">
        <v>66</v>
      </c>
      <c r="W25" s="37"/>
      <c r="X25" s="37" t="s">
        <v>82</v>
      </c>
      <c r="Y25" s="37" t="s">
        <v>75</v>
      </c>
      <c r="Z25" s="37"/>
    </row>
    <row r="26" spans="1:26" x14ac:dyDescent="0.5">
      <c r="A26">
        <v>16</v>
      </c>
      <c r="B26">
        <f t="shared" si="6"/>
        <v>0</v>
      </c>
      <c r="C26" s="28"/>
      <c r="D26" s="28"/>
      <c r="E26">
        <f t="shared" si="5"/>
        <v>0.25</v>
      </c>
      <c r="F26">
        <f t="shared" si="7"/>
        <v>-0.25</v>
      </c>
      <c r="G26">
        <f t="shared" si="8"/>
        <v>6.25E-2</v>
      </c>
      <c r="R26" s="37"/>
      <c r="S26" s="37"/>
      <c r="T26" s="37" t="s">
        <v>17</v>
      </c>
      <c r="U26" s="37"/>
      <c r="V26" s="37" t="s">
        <v>67</v>
      </c>
      <c r="W26" s="37"/>
      <c r="X26" s="37" t="s">
        <v>82</v>
      </c>
      <c r="Y26" s="37" t="s">
        <v>79</v>
      </c>
      <c r="Z26" s="37"/>
    </row>
    <row r="27" spans="1:26" x14ac:dyDescent="0.5">
      <c r="A27">
        <v>17</v>
      </c>
      <c r="B27">
        <f t="shared" si="6"/>
        <v>0</v>
      </c>
      <c r="C27" s="28"/>
      <c r="D27" s="28"/>
      <c r="E27">
        <f t="shared" si="5"/>
        <v>0.25</v>
      </c>
      <c r="F27">
        <f t="shared" si="7"/>
        <v>-0.25</v>
      </c>
      <c r="G27">
        <f t="shared" si="8"/>
        <v>6.25E-2</v>
      </c>
      <c r="R27" s="37"/>
      <c r="S27" s="37"/>
      <c r="T27" s="37" t="s">
        <v>65</v>
      </c>
      <c r="U27" s="37"/>
      <c r="V27" s="37" t="s">
        <v>68</v>
      </c>
      <c r="W27" s="37"/>
      <c r="X27" s="37" t="s">
        <v>82</v>
      </c>
      <c r="Y27" s="37"/>
      <c r="Z27" s="37"/>
    </row>
    <row r="28" spans="1:26" x14ac:dyDescent="0.5">
      <c r="A28">
        <v>18</v>
      </c>
      <c r="B28">
        <f t="shared" si="6"/>
        <v>0</v>
      </c>
      <c r="C28" s="28"/>
      <c r="D28" s="28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6" x14ac:dyDescent="0.5">
      <c r="A29">
        <v>19</v>
      </c>
      <c r="B29">
        <f t="shared" si="6"/>
        <v>0</v>
      </c>
      <c r="C29" s="28"/>
      <c r="D29" s="28"/>
      <c r="E29">
        <f t="shared" si="5"/>
        <v>0.25</v>
      </c>
      <c r="F29">
        <f t="shared" si="7"/>
        <v>-0.25</v>
      </c>
      <c r="G29">
        <f t="shared" si="8"/>
        <v>6.25E-2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</row>
    <row r="30" spans="1:26" x14ac:dyDescent="0.5">
      <c r="A30">
        <v>20</v>
      </c>
      <c r="B30">
        <f t="shared" si="6"/>
        <v>0</v>
      </c>
      <c r="C30" s="28"/>
      <c r="D30" s="28"/>
      <c r="E30">
        <f t="shared" si="5"/>
        <v>0.25</v>
      </c>
      <c r="F30">
        <f t="shared" si="7"/>
        <v>-0.25</v>
      </c>
      <c r="G30">
        <f t="shared" si="8"/>
        <v>6.25E-2</v>
      </c>
      <c r="R30" s="38" t="s">
        <v>81</v>
      </c>
      <c r="S30" s="38"/>
      <c r="T30" s="38" t="s">
        <v>64</v>
      </c>
      <c r="U30" s="38"/>
      <c r="V30" s="38" t="s">
        <v>66</v>
      </c>
      <c r="W30" s="38"/>
      <c r="X30" s="38" t="s">
        <v>82</v>
      </c>
      <c r="Y30" s="38" t="s">
        <v>75</v>
      </c>
      <c r="Z30" s="38"/>
    </row>
    <row r="31" spans="1:26" x14ac:dyDescent="0.5">
      <c r="A31">
        <v>21</v>
      </c>
      <c r="B31">
        <f t="shared" si="6"/>
        <v>0</v>
      </c>
      <c r="C31" s="28"/>
      <c r="D31" s="28"/>
      <c r="E31">
        <f t="shared" si="5"/>
        <v>0.25</v>
      </c>
      <c r="F31">
        <f t="shared" si="7"/>
        <v>-0.25</v>
      </c>
      <c r="G31">
        <f t="shared" si="8"/>
        <v>6.25E-2</v>
      </c>
      <c r="R31" s="38"/>
      <c r="S31" s="38"/>
      <c r="T31" s="38" t="s">
        <v>17</v>
      </c>
      <c r="U31" s="38"/>
      <c r="V31" s="38" t="s">
        <v>67</v>
      </c>
      <c r="W31" s="38"/>
      <c r="X31" s="38" t="s">
        <v>82</v>
      </c>
      <c r="Y31" s="38" t="s">
        <v>79</v>
      </c>
      <c r="Z31" s="38"/>
    </row>
    <row r="32" spans="1:26" x14ac:dyDescent="0.5">
      <c r="A32">
        <v>22</v>
      </c>
      <c r="B32">
        <f t="shared" si="6"/>
        <v>0</v>
      </c>
      <c r="C32" s="28"/>
      <c r="D32" s="28"/>
      <c r="E32">
        <f t="shared" si="5"/>
        <v>0.25</v>
      </c>
      <c r="F32">
        <f t="shared" si="7"/>
        <v>-0.25</v>
      </c>
      <c r="G32">
        <f t="shared" si="8"/>
        <v>6.25E-2</v>
      </c>
      <c r="R32" s="38"/>
      <c r="S32" s="38"/>
      <c r="T32" s="38" t="s">
        <v>65</v>
      </c>
      <c r="U32" s="38"/>
      <c r="V32" s="38" t="s">
        <v>68</v>
      </c>
      <c r="W32" s="38"/>
      <c r="X32" s="38" t="s">
        <v>82</v>
      </c>
      <c r="Y32" s="38"/>
      <c r="Z32" s="38"/>
    </row>
    <row r="33" spans="1:26" x14ac:dyDescent="0.5">
      <c r="A33">
        <v>23</v>
      </c>
      <c r="B33">
        <f t="shared" si="6"/>
        <v>0</v>
      </c>
      <c r="C33" s="28"/>
      <c r="D33" s="28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6" x14ac:dyDescent="0.5">
      <c r="A34">
        <v>24</v>
      </c>
      <c r="B34">
        <f t="shared" si="6"/>
        <v>0</v>
      </c>
      <c r="C34" s="28"/>
      <c r="D34" s="28"/>
      <c r="E34">
        <f t="shared" si="5"/>
        <v>0.25</v>
      </c>
      <c r="F34">
        <f t="shared" si="7"/>
        <v>-0.25</v>
      </c>
      <c r="G34">
        <f t="shared" si="8"/>
        <v>6.25E-2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</row>
    <row r="35" spans="1:26" x14ac:dyDescent="0.5">
      <c r="A35">
        <v>25</v>
      </c>
      <c r="B35">
        <f t="shared" si="6"/>
        <v>0</v>
      </c>
      <c r="C35" s="28"/>
      <c r="D35" s="28"/>
      <c r="E35">
        <f t="shared" si="5"/>
        <v>0.25</v>
      </c>
      <c r="F35">
        <f t="shared" si="7"/>
        <v>-0.25</v>
      </c>
      <c r="G35">
        <f t="shared" si="8"/>
        <v>6.25E-2</v>
      </c>
      <c r="R35" s="39" t="s">
        <v>81</v>
      </c>
      <c r="S35" s="39"/>
      <c r="T35" s="39" t="s">
        <v>64</v>
      </c>
      <c r="U35" s="39"/>
      <c r="V35" s="39" t="s">
        <v>66</v>
      </c>
      <c r="W35" s="39"/>
      <c r="X35" s="39" t="s">
        <v>82</v>
      </c>
      <c r="Y35" s="39" t="s">
        <v>75</v>
      </c>
      <c r="Z35" s="39"/>
    </row>
    <row r="36" spans="1:26" x14ac:dyDescent="0.5">
      <c r="A36">
        <v>26</v>
      </c>
      <c r="B36">
        <f t="shared" si="6"/>
        <v>0</v>
      </c>
      <c r="C36" s="28"/>
      <c r="D36" s="28"/>
      <c r="E36">
        <f t="shared" si="5"/>
        <v>0.25</v>
      </c>
      <c r="F36">
        <f t="shared" si="7"/>
        <v>-0.25</v>
      </c>
      <c r="G36">
        <f t="shared" si="8"/>
        <v>6.25E-2</v>
      </c>
      <c r="R36" s="39"/>
      <c r="S36" s="39"/>
      <c r="T36" s="39" t="s">
        <v>17</v>
      </c>
      <c r="U36" s="39"/>
      <c r="V36" s="39" t="s">
        <v>67</v>
      </c>
      <c r="W36" s="39"/>
      <c r="X36" s="39" t="s">
        <v>82</v>
      </c>
      <c r="Y36" s="39" t="s">
        <v>79</v>
      </c>
      <c r="Z36" s="39"/>
    </row>
    <row r="37" spans="1:26" x14ac:dyDescent="0.5">
      <c r="A37">
        <v>27</v>
      </c>
      <c r="B37">
        <f t="shared" si="6"/>
        <v>0</v>
      </c>
      <c r="C37" s="28"/>
      <c r="D37" s="28"/>
      <c r="E37">
        <f t="shared" si="5"/>
        <v>0.25</v>
      </c>
      <c r="F37">
        <f t="shared" si="7"/>
        <v>-0.25</v>
      </c>
      <c r="G37">
        <f t="shared" si="8"/>
        <v>6.25E-2</v>
      </c>
      <c r="R37" s="39"/>
      <c r="S37" s="39"/>
      <c r="T37" s="39" t="s">
        <v>65</v>
      </c>
      <c r="U37" s="39"/>
      <c r="V37" s="39" t="s">
        <v>68</v>
      </c>
      <c r="W37" s="39"/>
      <c r="X37" s="39" t="s">
        <v>82</v>
      </c>
      <c r="Y37" s="39"/>
      <c r="Z37" s="39"/>
    </row>
    <row r="38" spans="1:26" x14ac:dyDescent="0.5">
      <c r="A38">
        <v>28</v>
      </c>
      <c r="B38">
        <f t="shared" si="6"/>
        <v>0</v>
      </c>
      <c r="C38" s="28"/>
      <c r="D38" s="28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6" x14ac:dyDescent="0.5">
      <c r="A39">
        <v>29</v>
      </c>
      <c r="B39">
        <f t="shared" si="6"/>
        <v>0</v>
      </c>
      <c r="C39" s="28"/>
      <c r="D39" s="28"/>
      <c r="E39">
        <f t="shared" si="5"/>
        <v>0.25</v>
      </c>
      <c r="F39">
        <f t="shared" si="7"/>
        <v>-0.25</v>
      </c>
      <c r="G39">
        <f t="shared" si="8"/>
        <v>6.25E-2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</row>
    <row r="40" spans="1:26" x14ac:dyDescent="0.5">
      <c r="A40">
        <v>30</v>
      </c>
      <c r="B40">
        <f t="shared" si="6"/>
        <v>0</v>
      </c>
      <c r="C40" s="28"/>
      <c r="D40" s="28"/>
      <c r="E40">
        <f t="shared" si="5"/>
        <v>0.25</v>
      </c>
      <c r="F40">
        <f t="shared" si="7"/>
        <v>-0.25</v>
      </c>
      <c r="G40">
        <f t="shared" si="8"/>
        <v>6.25E-2</v>
      </c>
      <c r="R40" s="40" t="s">
        <v>81</v>
      </c>
      <c r="S40" s="40"/>
      <c r="T40" s="40" t="s">
        <v>64</v>
      </c>
      <c r="U40" s="40"/>
      <c r="V40" s="40" t="s">
        <v>66</v>
      </c>
      <c r="W40" s="40"/>
      <c r="X40" s="40" t="s">
        <v>82</v>
      </c>
      <c r="Y40" s="40" t="s">
        <v>75</v>
      </c>
      <c r="Z40" s="40"/>
    </row>
    <row r="41" spans="1:26" x14ac:dyDescent="0.5">
      <c r="A41">
        <v>31</v>
      </c>
      <c r="B41">
        <f t="shared" si="6"/>
        <v>0</v>
      </c>
      <c r="C41" s="28"/>
      <c r="D41" s="28"/>
      <c r="E41">
        <f t="shared" si="5"/>
        <v>0.25</v>
      </c>
      <c r="F41">
        <f t="shared" si="7"/>
        <v>-0.25</v>
      </c>
      <c r="G41">
        <f t="shared" si="8"/>
        <v>6.25E-2</v>
      </c>
      <c r="R41" s="40"/>
      <c r="S41" s="40"/>
      <c r="T41" s="40" t="s">
        <v>17</v>
      </c>
      <c r="U41" s="40"/>
      <c r="V41" s="40" t="s">
        <v>67</v>
      </c>
      <c r="W41" s="40"/>
      <c r="X41" s="40" t="s">
        <v>82</v>
      </c>
      <c r="Y41" s="40" t="s">
        <v>79</v>
      </c>
      <c r="Z41" s="40"/>
    </row>
    <row r="42" spans="1:26" x14ac:dyDescent="0.5">
      <c r="A42">
        <v>32</v>
      </c>
      <c r="B42">
        <f t="shared" si="6"/>
        <v>0</v>
      </c>
      <c r="C42" s="28"/>
      <c r="D42" s="28"/>
      <c r="E42">
        <f t="shared" si="5"/>
        <v>0.25</v>
      </c>
      <c r="F42">
        <f t="shared" si="7"/>
        <v>-0.25</v>
      </c>
      <c r="G42">
        <f t="shared" si="8"/>
        <v>6.25E-2</v>
      </c>
      <c r="R42" s="40"/>
      <c r="S42" s="40"/>
      <c r="T42" s="40" t="s">
        <v>65</v>
      </c>
      <c r="U42" s="40"/>
      <c r="V42" s="40" t="s">
        <v>68</v>
      </c>
      <c r="W42" s="40"/>
      <c r="X42" s="40" t="s">
        <v>82</v>
      </c>
      <c r="Y42" s="40"/>
      <c r="Z42" s="40"/>
    </row>
    <row r="43" spans="1:26" x14ac:dyDescent="0.5">
      <c r="A43">
        <v>33</v>
      </c>
      <c r="B43">
        <f t="shared" si="6"/>
        <v>0</v>
      </c>
      <c r="C43" s="28"/>
      <c r="D43" s="28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6" x14ac:dyDescent="0.5">
      <c r="A44">
        <v>34</v>
      </c>
      <c r="B44">
        <f t="shared" si="6"/>
        <v>0</v>
      </c>
      <c r="C44" s="28"/>
      <c r="D44" s="28"/>
      <c r="E44">
        <f t="shared" si="5"/>
        <v>0.25</v>
      </c>
      <c r="F44">
        <f t="shared" si="7"/>
        <v>-0.25</v>
      </c>
      <c r="G44">
        <f t="shared" si="8"/>
        <v>6.25E-2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 x14ac:dyDescent="0.5">
      <c r="A45">
        <v>35</v>
      </c>
      <c r="B45">
        <f t="shared" si="6"/>
        <v>0</v>
      </c>
      <c r="C45" s="28"/>
      <c r="D45" s="28"/>
      <c r="E45">
        <f t="shared" si="5"/>
        <v>0.25</v>
      </c>
      <c r="F45">
        <f t="shared" si="7"/>
        <v>-0.25</v>
      </c>
      <c r="G45">
        <f t="shared" si="8"/>
        <v>6.25E-2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 x14ac:dyDescent="0.5">
      <c r="A46">
        <v>36</v>
      </c>
      <c r="B46">
        <f t="shared" si="6"/>
        <v>0</v>
      </c>
      <c r="C46" s="28"/>
      <c r="D46" s="28"/>
      <c r="E46">
        <f t="shared" si="5"/>
        <v>0.25</v>
      </c>
      <c r="F46">
        <f t="shared" si="7"/>
        <v>-0.25</v>
      </c>
      <c r="G46">
        <f t="shared" si="8"/>
        <v>6.25E-2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 x14ac:dyDescent="0.5">
      <c r="A47">
        <v>37</v>
      </c>
      <c r="B47">
        <f t="shared" si="6"/>
        <v>0</v>
      </c>
      <c r="C47" s="28"/>
      <c r="D47" s="28"/>
      <c r="E47">
        <f t="shared" si="5"/>
        <v>0.25</v>
      </c>
      <c r="F47">
        <f t="shared" si="7"/>
        <v>-0.25</v>
      </c>
      <c r="G47">
        <f t="shared" si="8"/>
        <v>6.25E-2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 x14ac:dyDescent="0.5">
      <c r="A48">
        <v>38</v>
      </c>
      <c r="B48">
        <f t="shared" si="6"/>
        <v>0</v>
      </c>
      <c r="C48" s="28"/>
      <c r="D48" s="28"/>
      <c r="E48">
        <f t="shared" si="5"/>
        <v>0.25</v>
      </c>
      <c r="F48">
        <f t="shared" si="7"/>
        <v>-0.25</v>
      </c>
      <c r="G48">
        <f t="shared" si="8"/>
        <v>6.25E-2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 x14ac:dyDescent="0.5">
      <c r="A49">
        <v>39</v>
      </c>
      <c r="B49">
        <f t="shared" si="6"/>
        <v>0</v>
      </c>
      <c r="C49" s="28"/>
      <c r="D49" s="28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 x14ac:dyDescent="0.5">
      <c r="A50">
        <v>40</v>
      </c>
      <c r="B50">
        <f t="shared" si="6"/>
        <v>0</v>
      </c>
      <c r="C50" s="28"/>
      <c r="D50" s="28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 x14ac:dyDescent="0.5">
      <c r="A51">
        <v>41</v>
      </c>
      <c r="B51">
        <f t="shared" si="6"/>
        <v>0</v>
      </c>
      <c r="C51" s="28"/>
      <c r="D51" s="28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 x14ac:dyDescent="0.5">
      <c r="A52">
        <v>42</v>
      </c>
      <c r="B52">
        <f t="shared" si="6"/>
        <v>0</v>
      </c>
      <c r="C52" s="28"/>
      <c r="D52" s="28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 x14ac:dyDescent="0.5">
      <c r="A53">
        <v>43</v>
      </c>
      <c r="B53">
        <f t="shared" si="6"/>
        <v>0</v>
      </c>
      <c r="C53" s="28"/>
      <c r="D53" s="28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 x14ac:dyDescent="0.5">
      <c r="A54">
        <v>44</v>
      </c>
      <c r="B54">
        <f t="shared" si="6"/>
        <v>0</v>
      </c>
      <c r="C54" s="28"/>
      <c r="D54" s="28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 x14ac:dyDescent="0.5">
      <c r="A55">
        <v>45</v>
      </c>
      <c r="B55">
        <f t="shared" si="6"/>
        <v>0</v>
      </c>
      <c r="C55" s="28"/>
      <c r="D55" s="28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 x14ac:dyDescent="0.5">
      <c r="A56">
        <v>46</v>
      </c>
      <c r="B56">
        <f t="shared" si="6"/>
        <v>0</v>
      </c>
      <c r="C56" s="28"/>
      <c r="D56" s="28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 x14ac:dyDescent="0.5">
      <c r="A57">
        <v>47</v>
      </c>
      <c r="B57">
        <f t="shared" si="6"/>
        <v>0</v>
      </c>
      <c r="C57" s="28"/>
      <c r="D57" s="28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 x14ac:dyDescent="0.5">
      <c r="A58">
        <v>48</v>
      </c>
      <c r="B58">
        <f t="shared" si="6"/>
        <v>0</v>
      </c>
      <c r="C58" s="28"/>
      <c r="D58" s="28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 x14ac:dyDescent="0.5">
      <c r="A59">
        <v>49</v>
      </c>
      <c r="B59">
        <f t="shared" si="6"/>
        <v>0</v>
      </c>
      <c r="C59" s="28"/>
      <c r="D59" s="28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 x14ac:dyDescent="0.5">
      <c r="A60">
        <v>50</v>
      </c>
      <c r="B60">
        <f t="shared" si="6"/>
        <v>0</v>
      </c>
      <c r="C60" s="28"/>
      <c r="D60" s="28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 x14ac:dyDescent="0.5">
      <c r="A61">
        <v>51</v>
      </c>
      <c r="B61">
        <f t="shared" si="6"/>
        <v>0</v>
      </c>
      <c r="C61" s="28"/>
      <c r="D61" s="28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 x14ac:dyDescent="0.5">
      <c r="A62">
        <v>52</v>
      </c>
      <c r="B62">
        <f t="shared" si="6"/>
        <v>0</v>
      </c>
      <c r="C62" s="28"/>
      <c r="D62" s="28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 x14ac:dyDescent="0.5">
      <c r="A63">
        <v>53</v>
      </c>
      <c r="B63">
        <f t="shared" si="6"/>
        <v>0</v>
      </c>
      <c r="C63" s="28"/>
      <c r="D63" s="28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 x14ac:dyDescent="0.5">
      <c r="A64">
        <v>54</v>
      </c>
      <c r="B64">
        <f t="shared" si="6"/>
        <v>0</v>
      </c>
      <c r="C64" s="28"/>
      <c r="D64" s="28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 x14ac:dyDescent="0.5">
      <c r="A65">
        <v>55</v>
      </c>
      <c r="B65">
        <f t="shared" si="6"/>
        <v>0</v>
      </c>
      <c r="C65" s="28"/>
      <c r="D65" s="28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 x14ac:dyDescent="0.5">
      <c r="A66">
        <v>56</v>
      </c>
      <c r="B66">
        <f t="shared" si="6"/>
        <v>0</v>
      </c>
      <c r="C66" s="28"/>
      <c r="D66" s="28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 x14ac:dyDescent="0.5">
      <c r="A67">
        <v>57</v>
      </c>
      <c r="B67">
        <f t="shared" si="6"/>
        <v>0</v>
      </c>
      <c r="C67" s="28"/>
      <c r="D67" s="28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 x14ac:dyDescent="0.5">
      <c r="A68">
        <v>58</v>
      </c>
      <c r="B68">
        <f t="shared" si="6"/>
        <v>0</v>
      </c>
      <c r="C68" s="28"/>
      <c r="D68" s="28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 x14ac:dyDescent="0.5">
      <c r="A69">
        <v>59</v>
      </c>
      <c r="B69">
        <f t="shared" si="6"/>
        <v>0</v>
      </c>
      <c r="C69" s="28"/>
      <c r="D69" s="28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 x14ac:dyDescent="0.5">
      <c r="A70">
        <v>60</v>
      </c>
      <c r="B70">
        <f t="shared" si="6"/>
        <v>0</v>
      </c>
      <c r="C70" s="28"/>
      <c r="D70" s="28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 x14ac:dyDescent="0.5">
      <c r="A71">
        <v>61</v>
      </c>
      <c r="B71">
        <f t="shared" si="6"/>
        <v>0</v>
      </c>
      <c r="C71" s="28"/>
      <c r="D71" s="28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 x14ac:dyDescent="0.5">
      <c r="A72">
        <v>62</v>
      </c>
      <c r="B72">
        <f t="shared" si="6"/>
        <v>0</v>
      </c>
      <c r="C72" s="28"/>
      <c r="D72" s="28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 x14ac:dyDescent="0.5">
      <c r="A73">
        <v>63</v>
      </c>
      <c r="B73">
        <f t="shared" si="6"/>
        <v>0</v>
      </c>
      <c r="C73" s="28"/>
      <c r="D73" s="28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 x14ac:dyDescent="0.5">
      <c r="A74">
        <v>64</v>
      </c>
      <c r="B74">
        <f t="shared" si="6"/>
        <v>0</v>
      </c>
      <c r="C74" s="28"/>
      <c r="D74" s="28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 x14ac:dyDescent="0.5">
      <c r="A75">
        <v>65</v>
      </c>
      <c r="B75">
        <f t="shared" si="6"/>
        <v>0</v>
      </c>
      <c r="C75" s="28"/>
      <c r="D75" s="28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 x14ac:dyDescent="0.5">
      <c r="A76">
        <v>66</v>
      </c>
      <c r="B76">
        <f t="shared" ref="B76:B139" si="10">C76/1000</f>
        <v>0</v>
      </c>
      <c r="C76" s="28"/>
      <c r="D76" s="28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 x14ac:dyDescent="0.5">
      <c r="A77">
        <v>67</v>
      </c>
      <c r="B77">
        <f t="shared" si="10"/>
        <v>0</v>
      </c>
      <c r="C77" s="28"/>
      <c r="D77" s="28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 x14ac:dyDescent="0.5">
      <c r="A78">
        <v>68</v>
      </c>
      <c r="B78">
        <f t="shared" si="10"/>
        <v>0</v>
      </c>
      <c r="C78" s="28"/>
      <c r="D78" s="28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 x14ac:dyDescent="0.5">
      <c r="A79">
        <v>69</v>
      </c>
      <c r="B79">
        <f t="shared" si="10"/>
        <v>0</v>
      </c>
      <c r="C79" s="28"/>
      <c r="D79" s="28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 x14ac:dyDescent="0.5">
      <c r="A80">
        <v>70</v>
      </c>
      <c r="B80">
        <f t="shared" si="10"/>
        <v>0</v>
      </c>
      <c r="C80" s="28"/>
      <c r="D80" s="28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 x14ac:dyDescent="0.5">
      <c r="A81">
        <v>71</v>
      </c>
      <c r="B81">
        <f t="shared" si="10"/>
        <v>0</v>
      </c>
      <c r="C81" s="28"/>
      <c r="D81" s="28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 x14ac:dyDescent="0.5">
      <c r="A82">
        <v>72</v>
      </c>
      <c r="B82">
        <f t="shared" si="10"/>
        <v>0</v>
      </c>
      <c r="C82" s="28"/>
      <c r="D82" s="28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 x14ac:dyDescent="0.5">
      <c r="A83">
        <v>73</v>
      </c>
      <c r="B83">
        <f t="shared" si="10"/>
        <v>0</v>
      </c>
      <c r="C83" s="28"/>
      <c r="D83" s="28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 x14ac:dyDescent="0.5">
      <c r="A84">
        <v>74</v>
      </c>
      <c r="B84">
        <f t="shared" si="10"/>
        <v>0</v>
      </c>
      <c r="C84" s="28"/>
      <c r="D84" s="28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 x14ac:dyDescent="0.5">
      <c r="A85">
        <v>75</v>
      </c>
      <c r="B85">
        <f t="shared" si="10"/>
        <v>0</v>
      </c>
      <c r="C85" s="28"/>
      <c r="D85" s="28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 x14ac:dyDescent="0.5">
      <c r="A86">
        <v>76</v>
      </c>
      <c r="B86">
        <f t="shared" si="10"/>
        <v>0</v>
      </c>
      <c r="C86" s="28"/>
      <c r="D86" s="28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 x14ac:dyDescent="0.5">
      <c r="A87">
        <v>77</v>
      </c>
      <c r="B87">
        <f t="shared" si="10"/>
        <v>0</v>
      </c>
      <c r="C87" s="28"/>
      <c r="D87" s="28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 x14ac:dyDescent="0.5">
      <c r="A88">
        <v>78</v>
      </c>
      <c r="B88">
        <f t="shared" si="10"/>
        <v>0</v>
      </c>
      <c r="C88" s="28"/>
      <c r="D88" s="28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 x14ac:dyDescent="0.5">
      <c r="A89">
        <v>79</v>
      </c>
      <c r="B89">
        <f t="shared" si="10"/>
        <v>0</v>
      </c>
      <c r="C89" s="28"/>
      <c r="D89" s="28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 x14ac:dyDescent="0.5">
      <c r="A90">
        <v>80</v>
      </c>
      <c r="B90">
        <f t="shared" si="10"/>
        <v>0</v>
      </c>
      <c r="C90" s="28"/>
      <c r="D90" s="28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 x14ac:dyDescent="0.5">
      <c r="A91">
        <v>81</v>
      </c>
      <c r="B91">
        <f t="shared" si="10"/>
        <v>0</v>
      </c>
      <c r="C91" s="28"/>
      <c r="D91" s="28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 x14ac:dyDescent="0.5">
      <c r="A92">
        <v>82</v>
      </c>
      <c r="B92">
        <f t="shared" si="10"/>
        <v>0</v>
      </c>
      <c r="C92" s="28"/>
      <c r="D92" s="28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 x14ac:dyDescent="0.5">
      <c r="A93">
        <v>83</v>
      </c>
      <c r="B93">
        <f t="shared" si="10"/>
        <v>0</v>
      </c>
      <c r="C93" s="28"/>
      <c r="D93" s="28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 x14ac:dyDescent="0.5">
      <c r="A94">
        <v>84</v>
      </c>
      <c r="B94">
        <f t="shared" si="10"/>
        <v>0</v>
      </c>
      <c r="C94" s="28"/>
      <c r="D94" s="28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 x14ac:dyDescent="0.5">
      <c r="A95">
        <v>85</v>
      </c>
      <c r="B95">
        <f t="shared" si="10"/>
        <v>0</v>
      </c>
      <c r="C95" s="28"/>
      <c r="D95" s="28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 x14ac:dyDescent="0.5">
      <c r="A96">
        <v>86</v>
      </c>
      <c r="B96">
        <f t="shared" si="10"/>
        <v>0</v>
      </c>
      <c r="C96" s="28"/>
      <c r="D96" s="28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 x14ac:dyDescent="0.5">
      <c r="A97">
        <v>87</v>
      </c>
      <c r="B97">
        <f t="shared" si="10"/>
        <v>0</v>
      </c>
      <c r="C97" s="28"/>
      <c r="D97" s="28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 x14ac:dyDescent="0.5">
      <c r="A98">
        <v>88</v>
      </c>
      <c r="B98">
        <f t="shared" si="10"/>
        <v>0</v>
      </c>
      <c r="C98" s="28"/>
      <c r="D98" s="28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 x14ac:dyDescent="0.5">
      <c r="A99">
        <v>89</v>
      </c>
      <c r="B99">
        <f t="shared" si="10"/>
        <v>0</v>
      </c>
      <c r="C99" s="28"/>
      <c r="D99" s="28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 x14ac:dyDescent="0.5">
      <c r="A100">
        <v>90</v>
      </c>
      <c r="B100">
        <f t="shared" si="10"/>
        <v>0</v>
      </c>
      <c r="C100" s="28"/>
      <c r="D100" s="28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 x14ac:dyDescent="0.5">
      <c r="A101">
        <v>91</v>
      </c>
      <c r="B101">
        <f t="shared" si="10"/>
        <v>0</v>
      </c>
      <c r="C101" s="28"/>
      <c r="D101" s="28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 x14ac:dyDescent="0.5">
      <c r="A102">
        <v>92</v>
      </c>
      <c r="B102">
        <f t="shared" si="10"/>
        <v>0</v>
      </c>
      <c r="C102" s="28"/>
      <c r="D102" s="28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 x14ac:dyDescent="0.5">
      <c r="A103">
        <v>93</v>
      </c>
      <c r="B103">
        <f t="shared" si="10"/>
        <v>0</v>
      </c>
      <c r="C103" s="28"/>
      <c r="D103" s="28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 x14ac:dyDescent="0.5">
      <c r="A104">
        <v>94</v>
      </c>
      <c r="B104">
        <f t="shared" si="10"/>
        <v>0</v>
      </c>
      <c r="C104" s="28"/>
      <c r="D104" s="28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 x14ac:dyDescent="0.5">
      <c r="A105">
        <v>95</v>
      </c>
      <c r="B105">
        <f t="shared" si="10"/>
        <v>0</v>
      </c>
      <c r="C105" s="28"/>
      <c r="D105" s="28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 x14ac:dyDescent="0.5">
      <c r="A106">
        <v>96</v>
      </c>
      <c r="B106">
        <f t="shared" si="10"/>
        <v>0</v>
      </c>
      <c r="C106" s="28"/>
      <c r="D106" s="28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 x14ac:dyDescent="0.5">
      <c r="A107">
        <v>97</v>
      </c>
      <c r="B107">
        <f t="shared" si="10"/>
        <v>0</v>
      </c>
      <c r="C107" s="28"/>
      <c r="D107" s="28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 x14ac:dyDescent="0.5">
      <c r="A108">
        <v>98</v>
      </c>
      <c r="B108">
        <f t="shared" si="10"/>
        <v>0</v>
      </c>
      <c r="C108" s="28"/>
      <c r="D108" s="28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 x14ac:dyDescent="0.5">
      <c r="A109">
        <v>99</v>
      </c>
      <c r="B109">
        <f t="shared" si="10"/>
        <v>0</v>
      </c>
      <c r="C109" s="28"/>
      <c r="D109" s="28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 x14ac:dyDescent="0.5">
      <c r="A110">
        <v>100</v>
      </c>
      <c r="B110">
        <f t="shared" si="10"/>
        <v>0</v>
      </c>
      <c r="C110" s="28"/>
      <c r="D110" s="28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 x14ac:dyDescent="0.5">
      <c r="A111">
        <v>101</v>
      </c>
      <c r="B111">
        <f t="shared" si="10"/>
        <v>0</v>
      </c>
      <c r="C111" s="28"/>
      <c r="D111" s="28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 x14ac:dyDescent="0.5">
      <c r="A112">
        <v>102</v>
      </c>
      <c r="B112">
        <f t="shared" si="10"/>
        <v>0</v>
      </c>
      <c r="C112" s="28"/>
      <c r="D112" s="28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 x14ac:dyDescent="0.5">
      <c r="A113">
        <v>103</v>
      </c>
      <c r="B113">
        <f t="shared" si="10"/>
        <v>0</v>
      </c>
      <c r="C113" s="28"/>
      <c r="D113" s="28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 x14ac:dyDescent="0.5">
      <c r="A114">
        <v>104</v>
      </c>
      <c r="B114">
        <f t="shared" si="10"/>
        <v>0</v>
      </c>
      <c r="C114" s="28"/>
      <c r="D114" s="28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 x14ac:dyDescent="0.5">
      <c r="A115">
        <v>105</v>
      </c>
      <c r="B115">
        <f t="shared" si="10"/>
        <v>0</v>
      </c>
      <c r="C115" s="28"/>
      <c r="D115" s="28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 x14ac:dyDescent="0.5">
      <c r="A116">
        <v>106</v>
      </c>
      <c r="B116">
        <f t="shared" si="10"/>
        <v>0</v>
      </c>
      <c r="C116" s="28"/>
      <c r="D116" s="28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 x14ac:dyDescent="0.5">
      <c r="A117">
        <v>107</v>
      </c>
      <c r="B117">
        <f t="shared" si="10"/>
        <v>0</v>
      </c>
      <c r="C117" s="28"/>
      <c r="D117" s="28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 x14ac:dyDescent="0.5">
      <c r="A118">
        <v>108</v>
      </c>
      <c r="B118">
        <f t="shared" si="10"/>
        <v>0</v>
      </c>
      <c r="C118" s="28"/>
      <c r="D118" s="28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 x14ac:dyDescent="0.5">
      <c r="A119">
        <v>109</v>
      </c>
      <c r="B119">
        <f t="shared" si="10"/>
        <v>0</v>
      </c>
      <c r="C119" s="28"/>
      <c r="D119" s="28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 x14ac:dyDescent="0.5">
      <c r="A120">
        <v>110</v>
      </c>
      <c r="B120">
        <f t="shared" si="10"/>
        <v>0</v>
      </c>
      <c r="C120" s="28"/>
      <c r="D120" s="28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 x14ac:dyDescent="0.5">
      <c r="A121">
        <v>111</v>
      </c>
      <c r="B121">
        <f t="shared" si="10"/>
        <v>0</v>
      </c>
      <c r="C121" s="28"/>
      <c r="D121" s="28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 x14ac:dyDescent="0.5">
      <c r="A122">
        <v>112</v>
      </c>
      <c r="B122">
        <f t="shared" si="10"/>
        <v>0</v>
      </c>
      <c r="C122" s="28"/>
      <c r="D122" s="28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 x14ac:dyDescent="0.5">
      <c r="A123">
        <v>113</v>
      </c>
      <c r="B123">
        <f t="shared" si="10"/>
        <v>0</v>
      </c>
      <c r="C123" s="28"/>
      <c r="D123" s="28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 x14ac:dyDescent="0.5">
      <c r="A124">
        <v>114</v>
      </c>
      <c r="B124">
        <f t="shared" si="10"/>
        <v>0</v>
      </c>
      <c r="C124" s="28"/>
      <c r="D124" s="28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 x14ac:dyDescent="0.5">
      <c r="A125">
        <v>115</v>
      </c>
      <c r="B125">
        <f t="shared" si="10"/>
        <v>0</v>
      </c>
      <c r="C125" s="28"/>
      <c r="D125" s="28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 x14ac:dyDescent="0.5">
      <c r="A126">
        <v>116</v>
      </c>
      <c r="B126">
        <f t="shared" si="10"/>
        <v>0</v>
      </c>
      <c r="C126" s="28"/>
      <c r="D126" s="28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 x14ac:dyDescent="0.5">
      <c r="A127">
        <v>117</v>
      </c>
      <c r="B127">
        <f t="shared" si="10"/>
        <v>0</v>
      </c>
      <c r="C127" s="28"/>
      <c r="D127" s="28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 x14ac:dyDescent="0.5">
      <c r="A128">
        <v>118</v>
      </c>
      <c r="B128">
        <f t="shared" si="10"/>
        <v>0</v>
      </c>
      <c r="C128" s="28"/>
      <c r="D128" s="28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 x14ac:dyDescent="0.5">
      <c r="A129">
        <v>119</v>
      </c>
      <c r="B129">
        <f t="shared" si="10"/>
        <v>0</v>
      </c>
      <c r="C129" s="28"/>
      <c r="D129" s="28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 x14ac:dyDescent="0.5">
      <c r="A130">
        <v>120</v>
      </c>
      <c r="B130">
        <f t="shared" si="10"/>
        <v>0</v>
      </c>
      <c r="C130" s="28"/>
      <c r="D130" s="28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 x14ac:dyDescent="0.5">
      <c r="A131">
        <v>121</v>
      </c>
      <c r="B131">
        <f t="shared" si="10"/>
        <v>0</v>
      </c>
      <c r="C131" s="28"/>
      <c r="D131" s="28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 x14ac:dyDescent="0.5">
      <c r="A132">
        <v>122</v>
      </c>
      <c r="B132">
        <f t="shared" si="10"/>
        <v>0</v>
      </c>
      <c r="C132" s="28"/>
      <c r="D132" s="28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 x14ac:dyDescent="0.5">
      <c r="A133">
        <v>123</v>
      </c>
      <c r="B133">
        <f t="shared" si="10"/>
        <v>0</v>
      </c>
      <c r="C133" s="28"/>
      <c r="D133" s="28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 x14ac:dyDescent="0.5">
      <c r="A134">
        <v>124</v>
      </c>
      <c r="B134">
        <f t="shared" si="10"/>
        <v>0</v>
      </c>
      <c r="C134" s="28"/>
      <c r="D134" s="28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 x14ac:dyDescent="0.5">
      <c r="A135">
        <v>125</v>
      </c>
      <c r="B135">
        <f t="shared" si="10"/>
        <v>0</v>
      </c>
      <c r="C135" s="28"/>
      <c r="D135" s="28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 x14ac:dyDescent="0.5">
      <c r="A136">
        <v>126</v>
      </c>
      <c r="B136">
        <f t="shared" si="10"/>
        <v>0</v>
      </c>
      <c r="C136" s="28"/>
      <c r="D136" s="28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 x14ac:dyDescent="0.5">
      <c r="A137">
        <v>127</v>
      </c>
      <c r="B137">
        <f t="shared" si="10"/>
        <v>0</v>
      </c>
      <c r="C137" s="28"/>
      <c r="D137" s="28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 x14ac:dyDescent="0.5">
      <c r="A138">
        <v>128</v>
      </c>
      <c r="B138">
        <f t="shared" si="10"/>
        <v>0</v>
      </c>
      <c r="C138" s="28"/>
      <c r="D138" s="28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 x14ac:dyDescent="0.5">
      <c r="A139">
        <v>129</v>
      </c>
      <c r="B139">
        <f t="shared" si="10"/>
        <v>0</v>
      </c>
      <c r="C139" s="28"/>
      <c r="D139" s="28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 x14ac:dyDescent="0.5">
      <c r="A140">
        <v>130</v>
      </c>
      <c r="B140">
        <f t="shared" ref="B140:B203" si="14">C140/1000</f>
        <v>0</v>
      </c>
      <c r="C140" s="28"/>
      <c r="D140" s="28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 x14ac:dyDescent="0.5">
      <c r="A141">
        <v>131</v>
      </c>
      <c r="B141">
        <f t="shared" si="14"/>
        <v>0</v>
      </c>
      <c r="C141" s="28"/>
      <c r="D141" s="28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 x14ac:dyDescent="0.5">
      <c r="A142">
        <v>132</v>
      </c>
      <c r="B142">
        <f t="shared" si="14"/>
        <v>0</v>
      </c>
      <c r="C142" s="28"/>
      <c r="D142" s="28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 x14ac:dyDescent="0.5">
      <c r="A143">
        <v>133</v>
      </c>
      <c r="B143">
        <f t="shared" si="14"/>
        <v>0</v>
      </c>
      <c r="C143" s="28"/>
      <c r="D143" s="28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 x14ac:dyDescent="0.5">
      <c r="A144">
        <v>134</v>
      </c>
      <c r="B144">
        <f t="shared" si="14"/>
        <v>0</v>
      </c>
      <c r="C144" s="28"/>
      <c r="D144" s="28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 x14ac:dyDescent="0.5">
      <c r="A145">
        <v>135</v>
      </c>
      <c r="B145">
        <f t="shared" si="14"/>
        <v>0</v>
      </c>
      <c r="C145" s="28"/>
      <c r="D145" s="28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 x14ac:dyDescent="0.5">
      <c r="A146">
        <v>136</v>
      </c>
      <c r="B146">
        <f t="shared" si="14"/>
        <v>0</v>
      </c>
      <c r="C146" s="28"/>
      <c r="D146" s="28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 x14ac:dyDescent="0.5">
      <c r="A147">
        <v>137</v>
      </c>
      <c r="B147">
        <f t="shared" si="14"/>
        <v>0</v>
      </c>
      <c r="C147" s="28"/>
      <c r="D147" s="28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 x14ac:dyDescent="0.5">
      <c r="A148">
        <v>138</v>
      </c>
      <c r="B148">
        <f t="shared" si="14"/>
        <v>0</v>
      </c>
      <c r="C148" s="28"/>
      <c r="D148" s="28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 x14ac:dyDescent="0.5">
      <c r="A149">
        <v>139</v>
      </c>
      <c r="B149">
        <f t="shared" si="14"/>
        <v>0</v>
      </c>
      <c r="C149" s="28"/>
      <c r="D149" s="28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 x14ac:dyDescent="0.5">
      <c r="A150">
        <v>140</v>
      </c>
      <c r="B150">
        <f t="shared" si="14"/>
        <v>0</v>
      </c>
      <c r="C150" s="28"/>
      <c r="D150" s="28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 x14ac:dyDescent="0.5">
      <c r="A151">
        <v>141</v>
      </c>
      <c r="B151">
        <f t="shared" si="14"/>
        <v>0</v>
      </c>
      <c r="C151" s="28"/>
      <c r="D151" s="28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 x14ac:dyDescent="0.5">
      <c r="A152">
        <v>142</v>
      </c>
      <c r="B152">
        <f t="shared" si="14"/>
        <v>0</v>
      </c>
      <c r="C152" s="28"/>
      <c r="D152" s="28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 x14ac:dyDescent="0.5">
      <c r="A153">
        <v>143</v>
      </c>
      <c r="B153">
        <f t="shared" si="14"/>
        <v>0</v>
      </c>
      <c r="C153" s="28"/>
      <c r="D153" s="28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 x14ac:dyDescent="0.5">
      <c r="A154">
        <v>144</v>
      </c>
      <c r="B154">
        <f t="shared" si="14"/>
        <v>0</v>
      </c>
      <c r="C154" s="28"/>
      <c r="D154" s="28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 x14ac:dyDescent="0.5">
      <c r="A155">
        <v>145</v>
      </c>
      <c r="B155">
        <f t="shared" si="14"/>
        <v>0</v>
      </c>
      <c r="C155" s="28"/>
      <c r="D155" s="28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 x14ac:dyDescent="0.5">
      <c r="A156">
        <v>146</v>
      </c>
      <c r="B156">
        <f t="shared" si="14"/>
        <v>0</v>
      </c>
      <c r="C156" s="28"/>
      <c r="D156" s="28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 x14ac:dyDescent="0.5">
      <c r="A157">
        <v>147</v>
      </c>
      <c r="B157">
        <f t="shared" si="14"/>
        <v>0</v>
      </c>
      <c r="C157" s="28"/>
      <c r="D157" s="28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 x14ac:dyDescent="0.5">
      <c r="A158">
        <v>148</v>
      </c>
      <c r="B158">
        <f t="shared" si="14"/>
        <v>0</v>
      </c>
      <c r="C158" s="28"/>
      <c r="D158" s="28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 x14ac:dyDescent="0.5">
      <c r="A159">
        <v>149</v>
      </c>
      <c r="B159">
        <f t="shared" si="14"/>
        <v>0</v>
      </c>
      <c r="C159" s="28"/>
      <c r="D159" s="28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 x14ac:dyDescent="0.5">
      <c r="A160">
        <v>150</v>
      </c>
      <c r="B160">
        <f t="shared" si="14"/>
        <v>0</v>
      </c>
      <c r="C160" s="28"/>
      <c r="D160" s="28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 x14ac:dyDescent="0.5">
      <c r="A161">
        <v>151</v>
      </c>
      <c r="B161">
        <f t="shared" si="14"/>
        <v>0</v>
      </c>
      <c r="C161" s="28"/>
      <c r="D161" s="28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 x14ac:dyDescent="0.5">
      <c r="A162">
        <v>152</v>
      </c>
      <c r="B162">
        <f t="shared" si="14"/>
        <v>0</v>
      </c>
      <c r="C162" s="28"/>
      <c r="D162" s="28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 x14ac:dyDescent="0.5">
      <c r="A163">
        <v>153</v>
      </c>
      <c r="B163">
        <f t="shared" si="14"/>
        <v>0</v>
      </c>
      <c r="C163" s="28"/>
      <c r="D163" s="28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 x14ac:dyDescent="0.5">
      <c r="A164">
        <v>154</v>
      </c>
      <c r="B164">
        <f t="shared" si="14"/>
        <v>0</v>
      </c>
      <c r="C164" s="28"/>
      <c r="D164" s="28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 x14ac:dyDescent="0.5">
      <c r="A165">
        <v>155</v>
      </c>
      <c r="B165">
        <f t="shared" si="14"/>
        <v>0</v>
      </c>
      <c r="C165" s="28"/>
      <c r="D165" s="28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 x14ac:dyDescent="0.5">
      <c r="A166">
        <v>156</v>
      </c>
      <c r="B166">
        <f t="shared" si="14"/>
        <v>0</v>
      </c>
      <c r="C166" s="28"/>
      <c r="D166" s="28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 x14ac:dyDescent="0.5">
      <c r="A167">
        <v>157</v>
      </c>
      <c r="B167">
        <f t="shared" si="14"/>
        <v>0</v>
      </c>
      <c r="C167" s="28"/>
      <c r="D167" s="28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 x14ac:dyDescent="0.5">
      <c r="A168">
        <v>158</v>
      </c>
      <c r="B168">
        <f t="shared" si="14"/>
        <v>0</v>
      </c>
      <c r="C168" s="28"/>
      <c r="D168" s="28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 x14ac:dyDescent="0.5">
      <c r="A169">
        <v>159</v>
      </c>
      <c r="B169">
        <f t="shared" si="14"/>
        <v>0</v>
      </c>
      <c r="C169" s="28"/>
      <c r="D169" s="28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 x14ac:dyDescent="0.5">
      <c r="A170">
        <v>160</v>
      </c>
      <c r="B170">
        <f t="shared" si="14"/>
        <v>0</v>
      </c>
      <c r="C170" s="28"/>
      <c r="D170" s="28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 x14ac:dyDescent="0.5">
      <c r="A171">
        <v>161</v>
      </c>
      <c r="B171">
        <f t="shared" si="14"/>
        <v>0</v>
      </c>
      <c r="C171" s="28"/>
      <c r="D171" s="28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 x14ac:dyDescent="0.5">
      <c r="A172">
        <v>162</v>
      </c>
      <c r="B172">
        <f t="shared" si="14"/>
        <v>0</v>
      </c>
      <c r="C172" s="28"/>
      <c r="D172" s="28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 x14ac:dyDescent="0.5">
      <c r="A173">
        <v>163</v>
      </c>
      <c r="B173">
        <f t="shared" si="14"/>
        <v>0</v>
      </c>
      <c r="C173" s="28"/>
      <c r="D173" s="28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 x14ac:dyDescent="0.5">
      <c r="A174">
        <v>164</v>
      </c>
      <c r="B174">
        <f t="shared" si="14"/>
        <v>0</v>
      </c>
      <c r="C174" s="28"/>
      <c r="D174" s="28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 x14ac:dyDescent="0.5">
      <c r="A175">
        <v>165</v>
      </c>
      <c r="B175">
        <f t="shared" si="14"/>
        <v>0</v>
      </c>
      <c r="C175" s="28"/>
      <c r="D175" s="28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 x14ac:dyDescent="0.5">
      <c r="A176">
        <v>166</v>
      </c>
      <c r="B176">
        <f t="shared" si="14"/>
        <v>0</v>
      </c>
      <c r="C176" s="28"/>
      <c r="D176" s="28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 x14ac:dyDescent="0.5">
      <c r="A177">
        <v>167</v>
      </c>
      <c r="B177">
        <f t="shared" si="14"/>
        <v>0</v>
      </c>
      <c r="C177" s="28"/>
      <c r="D177" s="28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 x14ac:dyDescent="0.5">
      <c r="A178">
        <v>168</v>
      </c>
      <c r="B178">
        <f t="shared" si="14"/>
        <v>0</v>
      </c>
      <c r="C178" s="28"/>
      <c r="D178" s="28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 x14ac:dyDescent="0.5">
      <c r="A179">
        <v>169</v>
      </c>
      <c r="B179">
        <f t="shared" si="14"/>
        <v>0</v>
      </c>
      <c r="C179" s="28"/>
      <c r="D179" s="28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 x14ac:dyDescent="0.5">
      <c r="A180">
        <v>170</v>
      </c>
      <c r="B180">
        <f t="shared" si="14"/>
        <v>0</v>
      </c>
      <c r="C180" s="28"/>
      <c r="D180" s="28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 x14ac:dyDescent="0.5">
      <c r="A181">
        <v>171</v>
      </c>
      <c r="B181">
        <f t="shared" si="14"/>
        <v>0</v>
      </c>
      <c r="C181" s="28"/>
      <c r="D181" s="28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 x14ac:dyDescent="0.5">
      <c r="A182">
        <v>172</v>
      </c>
      <c r="B182">
        <f t="shared" si="14"/>
        <v>0</v>
      </c>
      <c r="C182" s="28"/>
      <c r="D182" s="28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 x14ac:dyDescent="0.5">
      <c r="A183">
        <v>173</v>
      </c>
      <c r="B183">
        <f t="shared" si="14"/>
        <v>0</v>
      </c>
      <c r="C183" s="28"/>
      <c r="D183" s="28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 x14ac:dyDescent="0.5">
      <c r="A184">
        <v>174</v>
      </c>
      <c r="B184">
        <f t="shared" si="14"/>
        <v>0</v>
      </c>
      <c r="C184" s="28"/>
      <c r="D184" s="28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 x14ac:dyDescent="0.5">
      <c r="A185">
        <v>175</v>
      </c>
      <c r="B185">
        <f t="shared" si="14"/>
        <v>0</v>
      </c>
      <c r="C185" s="28"/>
      <c r="D185" s="28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 x14ac:dyDescent="0.5">
      <c r="A186">
        <v>176</v>
      </c>
      <c r="B186">
        <f t="shared" si="14"/>
        <v>0</v>
      </c>
      <c r="C186" s="28"/>
      <c r="D186" s="28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 x14ac:dyDescent="0.5">
      <c r="A187">
        <v>177</v>
      </c>
      <c r="B187">
        <f t="shared" si="14"/>
        <v>0</v>
      </c>
      <c r="C187" s="28"/>
      <c r="D187" s="28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 x14ac:dyDescent="0.5">
      <c r="A188">
        <v>178</v>
      </c>
      <c r="B188">
        <f t="shared" si="14"/>
        <v>0</v>
      </c>
      <c r="C188" s="28"/>
      <c r="D188" s="28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 x14ac:dyDescent="0.5">
      <c r="A189">
        <v>179</v>
      </c>
      <c r="B189">
        <f t="shared" si="14"/>
        <v>0</v>
      </c>
      <c r="C189" s="28"/>
      <c r="D189" s="28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 x14ac:dyDescent="0.5">
      <c r="A190">
        <v>180</v>
      </c>
      <c r="B190">
        <f t="shared" si="14"/>
        <v>0</v>
      </c>
      <c r="C190" s="28"/>
      <c r="D190" s="28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 x14ac:dyDescent="0.5">
      <c r="A191">
        <v>181</v>
      </c>
      <c r="B191">
        <f t="shared" si="14"/>
        <v>0</v>
      </c>
      <c r="C191" s="28"/>
      <c r="D191" s="28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 x14ac:dyDescent="0.5">
      <c r="A192">
        <v>182</v>
      </c>
      <c r="B192">
        <f t="shared" si="14"/>
        <v>0</v>
      </c>
      <c r="C192" s="28"/>
      <c r="D192" s="28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 x14ac:dyDescent="0.5">
      <c r="A193">
        <v>183</v>
      </c>
      <c r="B193">
        <f t="shared" si="14"/>
        <v>0</v>
      </c>
      <c r="C193" s="28"/>
      <c r="D193" s="28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 x14ac:dyDescent="0.5">
      <c r="A194">
        <v>184</v>
      </c>
      <c r="B194">
        <f t="shared" si="14"/>
        <v>0</v>
      </c>
      <c r="C194" s="28"/>
      <c r="D194" s="28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 x14ac:dyDescent="0.5">
      <c r="A195">
        <v>185</v>
      </c>
      <c r="B195">
        <f t="shared" si="14"/>
        <v>0</v>
      </c>
      <c r="C195" s="28"/>
      <c r="D195" s="28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 x14ac:dyDescent="0.5">
      <c r="A196">
        <v>186</v>
      </c>
      <c r="B196">
        <f t="shared" si="14"/>
        <v>0</v>
      </c>
      <c r="C196" s="28"/>
      <c r="D196" s="28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 x14ac:dyDescent="0.5">
      <c r="A197">
        <v>187</v>
      </c>
      <c r="B197">
        <f t="shared" si="14"/>
        <v>0</v>
      </c>
      <c r="C197" s="28"/>
      <c r="D197" s="28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 x14ac:dyDescent="0.5">
      <c r="A198">
        <v>188</v>
      </c>
      <c r="B198">
        <f t="shared" si="14"/>
        <v>0</v>
      </c>
      <c r="C198" s="28"/>
      <c r="D198" s="28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 x14ac:dyDescent="0.5">
      <c r="A199">
        <v>189</v>
      </c>
      <c r="B199">
        <f t="shared" si="14"/>
        <v>0</v>
      </c>
      <c r="C199" s="28"/>
      <c r="D199" s="28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 x14ac:dyDescent="0.5">
      <c r="A200">
        <v>190</v>
      </c>
      <c r="B200">
        <f t="shared" si="14"/>
        <v>0</v>
      </c>
      <c r="C200" s="28"/>
      <c r="D200" s="28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 x14ac:dyDescent="0.5">
      <c r="A201">
        <v>191</v>
      </c>
      <c r="B201">
        <f t="shared" si="14"/>
        <v>0</v>
      </c>
      <c r="C201" s="28"/>
      <c r="D201" s="28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 x14ac:dyDescent="0.5">
      <c r="A202">
        <v>192</v>
      </c>
      <c r="B202">
        <f t="shared" si="14"/>
        <v>0</v>
      </c>
      <c r="C202" s="28"/>
      <c r="D202" s="28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 x14ac:dyDescent="0.5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 x14ac:dyDescent="0.5">
      <c r="A204">
        <v>194</v>
      </c>
      <c r="B204">
        <f t="shared" ref="B204:B267" si="18">C204/1000</f>
        <v>0</v>
      </c>
      <c r="C204" s="28"/>
      <c r="D204" s="28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 x14ac:dyDescent="0.5">
      <c r="A205">
        <v>195</v>
      </c>
      <c r="B205">
        <f t="shared" si="18"/>
        <v>0</v>
      </c>
      <c r="C205" s="28"/>
      <c r="D205" s="28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 x14ac:dyDescent="0.5">
      <c r="A206">
        <v>196</v>
      </c>
      <c r="B206">
        <f t="shared" si="18"/>
        <v>0</v>
      </c>
      <c r="C206" s="28"/>
      <c r="D206" s="28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 x14ac:dyDescent="0.5">
      <c r="A207">
        <v>197</v>
      </c>
      <c r="B207">
        <f t="shared" si="18"/>
        <v>0</v>
      </c>
      <c r="C207" s="28"/>
      <c r="D207" s="28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 x14ac:dyDescent="0.5">
      <c r="A208">
        <v>198</v>
      </c>
      <c r="B208">
        <f t="shared" si="18"/>
        <v>0</v>
      </c>
      <c r="C208" s="28"/>
      <c r="D208" s="28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 x14ac:dyDescent="0.5">
      <c r="A209">
        <v>199</v>
      </c>
      <c r="B209">
        <f t="shared" si="18"/>
        <v>0</v>
      </c>
      <c r="C209" s="28"/>
      <c r="D209" s="28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 x14ac:dyDescent="0.5">
      <c r="A210">
        <v>200</v>
      </c>
      <c r="B210">
        <f t="shared" si="18"/>
        <v>0</v>
      </c>
      <c r="C210" s="28"/>
      <c r="D210" s="28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 x14ac:dyDescent="0.5">
      <c r="A211">
        <v>201</v>
      </c>
      <c r="B211">
        <f t="shared" si="18"/>
        <v>0</v>
      </c>
      <c r="C211" s="28"/>
      <c r="D211" s="28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 x14ac:dyDescent="0.5">
      <c r="A212">
        <v>202</v>
      </c>
      <c r="B212">
        <f t="shared" si="18"/>
        <v>0</v>
      </c>
      <c r="C212" s="28"/>
      <c r="D212" s="28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 x14ac:dyDescent="0.5">
      <c r="A213">
        <v>203</v>
      </c>
      <c r="B213">
        <f t="shared" si="18"/>
        <v>0</v>
      </c>
      <c r="C213" s="28"/>
      <c r="D213" s="28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 x14ac:dyDescent="0.5">
      <c r="A214">
        <v>204</v>
      </c>
      <c r="B214">
        <f t="shared" si="18"/>
        <v>0</v>
      </c>
      <c r="C214" s="28"/>
      <c r="D214" s="28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 x14ac:dyDescent="0.5">
      <c r="A215">
        <v>205</v>
      </c>
      <c r="B215">
        <f t="shared" si="18"/>
        <v>0</v>
      </c>
      <c r="C215" s="28"/>
      <c r="D215" s="28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 x14ac:dyDescent="0.5">
      <c r="A216">
        <v>206</v>
      </c>
      <c r="B216">
        <f t="shared" si="18"/>
        <v>0</v>
      </c>
      <c r="C216" s="28"/>
      <c r="D216" s="28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 x14ac:dyDescent="0.5">
      <c r="A217">
        <v>207</v>
      </c>
      <c r="B217">
        <f t="shared" si="18"/>
        <v>0</v>
      </c>
      <c r="C217" s="28"/>
      <c r="D217" s="28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 x14ac:dyDescent="0.5">
      <c r="A218">
        <v>208</v>
      </c>
      <c r="B218">
        <f t="shared" si="18"/>
        <v>0</v>
      </c>
      <c r="C218" s="28"/>
      <c r="D218" s="28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 x14ac:dyDescent="0.5">
      <c r="A219">
        <v>209</v>
      </c>
      <c r="B219">
        <f t="shared" si="18"/>
        <v>0</v>
      </c>
      <c r="C219" s="28"/>
      <c r="D219" s="28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 x14ac:dyDescent="0.5">
      <c r="A220">
        <v>210</v>
      </c>
      <c r="B220">
        <f t="shared" si="18"/>
        <v>0</v>
      </c>
      <c r="C220" s="28"/>
      <c r="D220" s="28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 x14ac:dyDescent="0.5">
      <c r="A221">
        <v>211</v>
      </c>
      <c r="B221">
        <f t="shared" si="18"/>
        <v>0</v>
      </c>
      <c r="C221" s="28"/>
      <c r="D221" s="28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 x14ac:dyDescent="0.5">
      <c r="A222">
        <v>212</v>
      </c>
      <c r="B222">
        <f t="shared" si="18"/>
        <v>0</v>
      </c>
      <c r="C222" s="28"/>
      <c r="D222" s="28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 x14ac:dyDescent="0.5">
      <c r="A223">
        <v>213</v>
      </c>
      <c r="B223">
        <f t="shared" si="18"/>
        <v>0</v>
      </c>
      <c r="C223" s="28"/>
      <c r="D223" s="28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 x14ac:dyDescent="0.5">
      <c r="A224">
        <v>214</v>
      </c>
      <c r="B224">
        <f t="shared" si="18"/>
        <v>0</v>
      </c>
      <c r="C224" s="28"/>
      <c r="D224" s="28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 x14ac:dyDescent="0.5">
      <c r="A225">
        <v>215</v>
      </c>
      <c r="B225">
        <f t="shared" si="18"/>
        <v>0</v>
      </c>
      <c r="C225" s="28"/>
      <c r="D225" s="28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 x14ac:dyDescent="0.5">
      <c r="A226">
        <v>216</v>
      </c>
      <c r="B226">
        <f t="shared" si="18"/>
        <v>0</v>
      </c>
      <c r="C226" s="28"/>
      <c r="D226" s="28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 x14ac:dyDescent="0.5">
      <c r="A227">
        <v>217</v>
      </c>
      <c r="B227">
        <f t="shared" si="18"/>
        <v>0</v>
      </c>
      <c r="C227" s="28"/>
      <c r="D227" s="28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 x14ac:dyDescent="0.5">
      <c r="A228">
        <v>218</v>
      </c>
      <c r="B228">
        <f t="shared" si="18"/>
        <v>0</v>
      </c>
      <c r="C228" s="28"/>
      <c r="D228" s="28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 x14ac:dyDescent="0.5">
      <c r="A229">
        <v>219</v>
      </c>
      <c r="B229">
        <f t="shared" si="18"/>
        <v>0</v>
      </c>
      <c r="C229" s="28"/>
      <c r="D229" s="28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 x14ac:dyDescent="0.5">
      <c r="A230">
        <v>220</v>
      </c>
      <c r="B230">
        <f t="shared" si="18"/>
        <v>0</v>
      </c>
      <c r="C230" s="28"/>
      <c r="D230" s="28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 x14ac:dyDescent="0.5">
      <c r="A231">
        <v>221</v>
      </c>
      <c r="B231">
        <f t="shared" si="18"/>
        <v>0</v>
      </c>
      <c r="C231" s="28"/>
      <c r="D231" s="28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 x14ac:dyDescent="0.5">
      <c r="A232">
        <v>222</v>
      </c>
      <c r="B232">
        <f t="shared" si="18"/>
        <v>0</v>
      </c>
      <c r="C232" s="28"/>
      <c r="D232" s="28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 x14ac:dyDescent="0.5">
      <c r="A233">
        <v>223</v>
      </c>
      <c r="B233">
        <f t="shared" si="18"/>
        <v>0</v>
      </c>
      <c r="C233" s="28"/>
      <c r="D233" s="28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 x14ac:dyDescent="0.5">
      <c r="A234">
        <v>224</v>
      </c>
      <c r="B234">
        <f t="shared" si="18"/>
        <v>0</v>
      </c>
      <c r="C234" s="28"/>
      <c r="D234" s="28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 x14ac:dyDescent="0.5">
      <c r="A235">
        <v>225</v>
      </c>
      <c r="B235">
        <f t="shared" si="18"/>
        <v>0</v>
      </c>
      <c r="C235" s="28"/>
      <c r="D235" s="28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 x14ac:dyDescent="0.5">
      <c r="A236">
        <v>226</v>
      </c>
      <c r="B236">
        <f t="shared" si="18"/>
        <v>0</v>
      </c>
      <c r="C236" s="28"/>
      <c r="D236" s="28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 x14ac:dyDescent="0.5">
      <c r="A237">
        <v>227</v>
      </c>
      <c r="B237">
        <f t="shared" si="18"/>
        <v>0</v>
      </c>
      <c r="C237" s="28"/>
      <c r="D237" s="28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 x14ac:dyDescent="0.5">
      <c r="A238">
        <v>228</v>
      </c>
      <c r="B238">
        <f t="shared" si="18"/>
        <v>0</v>
      </c>
      <c r="C238" s="28"/>
      <c r="D238" s="28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 x14ac:dyDescent="0.5">
      <c r="A239">
        <v>229</v>
      </c>
      <c r="B239">
        <f t="shared" si="18"/>
        <v>0</v>
      </c>
      <c r="C239" s="28"/>
      <c r="D239" s="28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 x14ac:dyDescent="0.5">
      <c r="A240">
        <v>230</v>
      </c>
      <c r="B240">
        <f t="shared" si="18"/>
        <v>0</v>
      </c>
      <c r="C240" s="28"/>
      <c r="D240" s="28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 x14ac:dyDescent="0.5">
      <c r="A241">
        <v>231</v>
      </c>
      <c r="B241">
        <f t="shared" si="18"/>
        <v>0</v>
      </c>
      <c r="C241" s="28"/>
      <c r="D241" s="28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 x14ac:dyDescent="0.5">
      <c r="A242">
        <v>232</v>
      </c>
      <c r="B242">
        <f t="shared" si="18"/>
        <v>0</v>
      </c>
      <c r="C242" s="28"/>
      <c r="D242" s="28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 x14ac:dyDescent="0.5">
      <c r="A243">
        <v>233</v>
      </c>
      <c r="B243">
        <f t="shared" si="18"/>
        <v>0</v>
      </c>
      <c r="C243" s="28"/>
      <c r="D243" s="28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 x14ac:dyDescent="0.5">
      <c r="A244">
        <v>234</v>
      </c>
      <c r="B244">
        <f t="shared" si="18"/>
        <v>0</v>
      </c>
      <c r="C244" s="28"/>
      <c r="D244" s="28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 x14ac:dyDescent="0.5">
      <c r="A245">
        <v>235</v>
      </c>
      <c r="B245">
        <f t="shared" si="18"/>
        <v>0</v>
      </c>
      <c r="C245" s="28"/>
      <c r="D245" s="28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 x14ac:dyDescent="0.5">
      <c r="A246">
        <v>236</v>
      </c>
      <c r="B246">
        <f t="shared" si="18"/>
        <v>0</v>
      </c>
      <c r="C246" s="28"/>
      <c r="D246" s="28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 x14ac:dyDescent="0.5">
      <c r="A247">
        <v>237</v>
      </c>
      <c r="B247">
        <f t="shared" si="18"/>
        <v>0</v>
      </c>
      <c r="C247" s="28"/>
      <c r="D247" s="28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 x14ac:dyDescent="0.5">
      <c r="A248">
        <v>238</v>
      </c>
      <c r="B248">
        <f t="shared" si="18"/>
        <v>0</v>
      </c>
      <c r="C248" s="28"/>
      <c r="D248" s="28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 x14ac:dyDescent="0.5">
      <c r="A249">
        <v>239</v>
      </c>
      <c r="B249">
        <f t="shared" si="18"/>
        <v>0</v>
      </c>
      <c r="C249" s="28"/>
      <c r="D249" s="28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 x14ac:dyDescent="0.5">
      <c r="A250">
        <v>240</v>
      </c>
      <c r="B250">
        <f t="shared" si="18"/>
        <v>0</v>
      </c>
      <c r="C250" s="28"/>
      <c r="D250" s="28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 x14ac:dyDescent="0.5">
      <c r="A251">
        <v>241</v>
      </c>
      <c r="B251">
        <f t="shared" si="18"/>
        <v>0</v>
      </c>
      <c r="C251" s="28"/>
      <c r="D251" s="28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 x14ac:dyDescent="0.5">
      <c r="A252">
        <v>242</v>
      </c>
      <c r="B252">
        <f t="shared" si="18"/>
        <v>0</v>
      </c>
      <c r="C252" s="28"/>
      <c r="D252" s="28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 x14ac:dyDescent="0.5">
      <c r="A253">
        <v>243</v>
      </c>
      <c r="B253">
        <f t="shared" si="18"/>
        <v>0</v>
      </c>
      <c r="C253" s="28"/>
      <c r="D253" s="28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 x14ac:dyDescent="0.5">
      <c r="A254">
        <v>244</v>
      </c>
      <c r="B254">
        <f t="shared" si="18"/>
        <v>0</v>
      </c>
      <c r="C254" s="28"/>
      <c r="D254" s="28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 x14ac:dyDescent="0.5">
      <c r="A255">
        <v>245</v>
      </c>
      <c r="B255">
        <f t="shared" si="18"/>
        <v>0</v>
      </c>
      <c r="C255" s="28"/>
      <c r="D255" s="28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 x14ac:dyDescent="0.5">
      <c r="A256">
        <v>246</v>
      </c>
      <c r="B256">
        <f t="shared" si="18"/>
        <v>0</v>
      </c>
      <c r="C256" s="28"/>
      <c r="D256" s="28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 x14ac:dyDescent="0.5">
      <c r="A257">
        <v>247</v>
      </c>
      <c r="B257">
        <f t="shared" si="18"/>
        <v>0</v>
      </c>
      <c r="C257" s="28"/>
      <c r="D257" s="28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 x14ac:dyDescent="0.5">
      <c r="A258">
        <v>248</v>
      </c>
      <c r="B258">
        <f t="shared" si="18"/>
        <v>0</v>
      </c>
      <c r="C258" s="28"/>
      <c r="D258" s="28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 x14ac:dyDescent="0.5">
      <c r="A259">
        <v>249</v>
      </c>
      <c r="B259">
        <f t="shared" si="18"/>
        <v>0</v>
      </c>
      <c r="C259" s="28"/>
      <c r="D259" s="28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 x14ac:dyDescent="0.5">
      <c r="A260">
        <v>250</v>
      </c>
      <c r="B260">
        <f t="shared" si="18"/>
        <v>0</v>
      </c>
      <c r="C260" s="28"/>
      <c r="D260" s="28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 x14ac:dyDescent="0.5">
      <c r="A261">
        <v>251</v>
      </c>
      <c r="B261">
        <f t="shared" si="18"/>
        <v>0</v>
      </c>
      <c r="C261" s="28"/>
      <c r="D261" s="28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 x14ac:dyDescent="0.5">
      <c r="A262">
        <v>252</v>
      </c>
      <c r="B262">
        <f t="shared" si="18"/>
        <v>0</v>
      </c>
      <c r="C262" s="28"/>
      <c r="D262" s="28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 x14ac:dyDescent="0.5">
      <c r="A263">
        <v>253</v>
      </c>
      <c r="B263">
        <f t="shared" si="18"/>
        <v>0</v>
      </c>
      <c r="C263" s="28"/>
      <c r="D263" s="28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 x14ac:dyDescent="0.5">
      <c r="A264">
        <v>254</v>
      </c>
      <c r="B264">
        <f t="shared" si="18"/>
        <v>0</v>
      </c>
      <c r="C264" s="28"/>
      <c r="D264" s="28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 x14ac:dyDescent="0.5">
      <c r="A265">
        <v>255</v>
      </c>
      <c r="B265">
        <f t="shared" si="18"/>
        <v>0</v>
      </c>
      <c r="C265" s="28"/>
      <c r="D265" s="28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 x14ac:dyDescent="0.5">
      <c r="A266">
        <v>256</v>
      </c>
      <c r="B266">
        <f t="shared" si="18"/>
        <v>0</v>
      </c>
      <c r="C266" s="28"/>
      <c r="D266" s="28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 x14ac:dyDescent="0.5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 x14ac:dyDescent="0.5">
      <c r="A268">
        <v>258</v>
      </c>
      <c r="B268">
        <f t="shared" ref="B268:B331" si="22">C268/1000</f>
        <v>0</v>
      </c>
      <c r="C268" s="28"/>
      <c r="D268" s="28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 x14ac:dyDescent="0.5">
      <c r="A269">
        <v>259</v>
      </c>
      <c r="B269">
        <f t="shared" si="22"/>
        <v>0</v>
      </c>
      <c r="C269" s="28"/>
      <c r="D269" s="28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 x14ac:dyDescent="0.5">
      <c r="A270">
        <v>260</v>
      </c>
      <c r="B270">
        <f t="shared" si="22"/>
        <v>0</v>
      </c>
      <c r="C270" s="28"/>
      <c r="D270" s="28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 x14ac:dyDescent="0.5">
      <c r="A271">
        <v>261</v>
      </c>
      <c r="B271">
        <f t="shared" si="22"/>
        <v>0</v>
      </c>
      <c r="C271" s="28"/>
      <c r="D271" s="28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 x14ac:dyDescent="0.5">
      <c r="A272">
        <v>262</v>
      </c>
      <c r="B272">
        <f t="shared" si="22"/>
        <v>0</v>
      </c>
      <c r="C272" s="28"/>
      <c r="D272" s="28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 x14ac:dyDescent="0.5">
      <c r="A273">
        <v>263</v>
      </c>
      <c r="B273">
        <f t="shared" si="22"/>
        <v>0</v>
      </c>
      <c r="C273" s="28"/>
      <c r="D273" s="28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 x14ac:dyDescent="0.5">
      <c r="A274">
        <v>264</v>
      </c>
      <c r="B274">
        <f t="shared" si="22"/>
        <v>0</v>
      </c>
      <c r="C274" s="28"/>
      <c r="D274" s="28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 x14ac:dyDescent="0.5">
      <c r="A275">
        <v>265</v>
      </c>
      <c r="B275">
        <f t="shared" si="22"/>
        <v>0</v>
      </c>
      <c r="C275" s="28"/>
      <c r="D275" s="28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 x14ac:dyDescent="0.5">
      <c r="A276">
        <v>266</v>
      </c>
      <c r="B276">
        <f t="shared" si="22"/>
        <v>0</v>
      </c>
      <c r="C276" s="28"/>
      <c r="D276" s="28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 x14ac:dyDescent="0.5">
      <c r="A277">
        <v>267</v>
      </c>
      <c r="B277">
        <f t="shared" si="22"/>
        <v>0</v>
      </c>
      <c r="C277" s="28"/>
      <c r="D277" s="28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 x14ac:dyDescent="0.5">
      <c r="A278">
        <v>268</v>
      </c>
      <c r="B278">
        <f t="shared" si="22"/>
        <v>0</v>
      </c>
      <c r="C278" s="28"/>
      <c r="D278" s="28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 x14ac:dyDescent="0.5">
      <c r="A279">
        <v>269</v>
      </c>
      <c r="B279">
        <f t="shared" si="22"/>
        <v>0</v>
      </c>
      <c r="C279" s="28"/>
      <c r="D279" s="28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 x14ac:dyDescent="0.5">
      <c r="A280">
        <v>270</v>
      </c>
      <c r="B280">
        <f t="shared" si="22"/>
        <v>0</v>
      </c>
      <c r="C280" s="28"/>
      <c r="D280" s="28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 x14ac:dyDescent="0.5">
      <c r="A281">
        <v>271</v>
      </c>
      <c r="B281">
        <f t="shared" si="22"/>
        <v>0</v>
      </c>
      <c r="C281" s="28"/>
      <c r="D281" s="28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 x14ac:dyDescent="0.5">
      <c r="A282">
        <v>272</v>
      </c>
      <c r="B282">
        <f t="shared" si="22"/>
        <v>0</v>
      </c>
      <c r="C282" s="28"/>
      <c r="D282" s="28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 x14ac:dyDescent="0.5">
      <c r="A283">
        <v>273</v>
      </c>
      <c r="B283">
        <f t="shared" si="22"/>
        <v>0</v>
      </c>
      <c r="C283" s="28"/>
      <c r="D283" s="28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 x14ac:dyDescent="0.5">
      <c r="A284">
        <v>274</v>
      </c>
      <c r="B284">
        <f t="shared" si="22"/>
        <v>0</v>
      </c>
      <c r="C284" s="28"/>
      <c r="D284" s="28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 x14ac:dyDescent="0.5">
      <c r="A285">
        <v>275</v>
      </c>
      <c r="B285">
        <f t="shared" si="22"/>
        <v>0</v>
      </c>
      <c r="C285" s="28"/>
      <c r="D285" s="28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 x14ac:dyDescent="0.5">
      <c r="A286">
        <v>276</v>
      </c>
      <c r="B286">
        <f t="shared" si="22"/>
        <v>0</v>
      </c>
      <c r="C286" s="28"/>
      <c r="D286" s="28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 x14ac:dyDescent="0.5">
      <c r="A287">
        <v>277</v>
      </c>
      <c r="B287">
        <f t="shared" si="22"/>
        <v>0</v>
      </c>
      <c r="C287" s="28"/>
      <c r="D287" s="28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 x14ac:dyDescent="0.5">
      <c r="A288">
        <v>278</v>
      </c>
      <c r="B288">
        <f t="shared" si="22"/>
        <v>0</v>
      </c>
      <c r="C288" s="28"/>
      <c r="D288" s="28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 x14ac:dyDescent="0.5">
      <c r="A289">
        <v>279</v>
      </c>
      <c r="B289">
        <f t="shared" si="22"/>
        <v>0</v>
      </c>
      <c r="C289" s="28"/>
      <c r="D289" s="28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 x14ac:dyDescent="0.5">
      <c r="A290">
        <v>280</v>
      </c>
      <c r="B290">
        <f t="shared" si="22"/>
        <v>0</v>
      </c>
      <c r="C290" s="28"/>
      <c r="D290" s="28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 x14ac:dyDescent="0.5">
      <c r="A291">
        <v>281</v>
      </c>
      <c r="B291">
        <f t="shared" si="22"/>
        <v>0</v>
      </c>
      <c r="C291" s="28"/>
      <c r="D291" s="28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 x14ac:dyDescent="0.5">
      <c r="A292">
        <v>282</v>
      </c>
      <c r="B292">
        <f t="shared" si="22"/>
        <v>0</v>
      </c>
      <c r="C292" s="28"/>
      <c r="D292" s="28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 x14ac:dyDescent="0.5">
      <c r="A293">
        <v>283</v>
      </c>
      <c r="B293">
        <f t="shared" si="22"/>
        <v>0</v>
      </c>
      <c r="C293" s="28"/>
      <c r="D293" s="28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 x14ac:dyDescent="0.5">
      <c r="A294">
        <v>284</v>
      </c>
      <c r="B294">
        <f t="shared" si="22"/>
        <v>0</v>
      </c>
      <c r="C294" s="28"/>
      <c r="D294" s="28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 x14ac:dyDescent="0.5">
      <c r="A295">
        <v>285</v>
      </c>
      <c r="B295">
        <f t="shared" si="22"/>
        <v>0</v>
      </c>
      <c r="C295" s="28"/>
      <c r="D295" s="28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 x14ac:dyDescent="0.5">
      <c r="A296">
        <v>286</v>
      </c>
      <c r="B296">
        <f t="shared" si="22"/>
        <v>0</v>
      </c>
      <c r="C296" s="28"/>
      <c r="D296" s="28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 x14ac:dyDescent="0.5">
      <c r="A297">
        <v>287</v>
      </c>
      <c r="B297">
        <f t="shared" si="22"/>
        <v>0</v>
      </c>
      <c r="C297" s="28"/>
      <c r="D297" s="28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 x14ac:dyDescent="0.5">
      <c r="A298">
        <v>288</v>
      </c>
      <c r="B298">
        <f t="shared" si="22"/>
        <v>0</v>
      </c>
      <c r="C298" s="28"/>
      <c r="D298" s="28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 x14ac:dyDescent="0.5">
      <c r="A299">
        <v>289</v>
      </c>
      <c r="B299">
        <f t="shared" si="22"/>
        <v>0</v>
      </c>
      <c r="C299" s="28"/>
      <c r="D299" s="28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 x14ac:dyDescent="0.5">
      <c r="A300">
        <v>290</v>
      </c>
      <c r="B300">
        <f t="shared" si="22"/>
        <v>0</v>
      </c>
      <c r="C300" s="28"/>
      <c r="D300" s="28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 x14ac:dyDescent="0.5">
      <c r="A301">
        <v>291</v>
      </c>
      <c r="B301">
        <f t="shared" si="22"/>
        <v>0</v>
      </c>
      <c r="C301" s="28"/>
      <c r="D301" s="28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 x14ac:dyDescent="0.5">
      <c r="A302">
        <v>292</v>
      </c>
      <c r="B302">
        <f t="shared" si="22"/>
        <v>0</v>
      </c>
      <c r="C302" s="28"/>
      <c r="D302" s="28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 x14ac:dyDescent="0.5">
      <c r="A303">
        <v>293</v>
      </c>
      <c r="B303">
        <f t="shared" si="22"/>
        <v>0</v>
      </c>
      <c r="C303" s="28"/>
      <c r="D303" s="28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 x14ac:dyDescent="0.5">
      <c r="A304">
        <v>294</v>
      </c>
      <c r="B304">
        <f t="shared" si="22"/>
        <v>0</v>
      </c>
      <c r="C304" s="28"/>
      <c r="D304" s="28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 x14ac:dyDescent="0.5">
      <c r="A305">
        <v>295</v>
      </c>
      <c r="B305">
        <f t="shared" si="22"/>
        <v>0</v>
      </c>
      <c r="C305" s="28"/>
      <c r="D305" s="28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 x14ac:dyDescent="0.5">
      <c r="A306">
        <v>296</v>
      </c>
      <c r="B306">
        <f t="shared" si="22"/>
        <v>0</v>
      </c>
      <c r="C306" s="28"/>
      <c r="D306" s="28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 x14ac:dyDescent="0.5">
      <c r="A307">
        <v>297</v>
      </c>
      <c r="B307">
        <f t="shared" si="22"/>
        <v>0</v>
      </c>
      <c r="C307" s="28"/>
      <c r="D307" s="28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 x14ac:dyDescent="0.5">
      <c r="A308">
        <v>298</v>
      </c>
      <c r="B308">
        <f t="shared" si="22"/>
        <v>0</v>
      </c>
      <c r="C308" s="28"/>
      <c r="D308" s="28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 x14ac:dyDescent="0.5">
      <c r="A309">
        <v>299</v>
      </c>
      <c r="B309">
        <f t="shared" si="22"/>
        <v>0</v>
      </c>
      <c r="C309" s="28"/>
      <c r="D309" s="28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 x14ac:dyDescent="0.5">
      <c r="A310">
        <v>300</v>
      </c>
      <c r="B310">
        <f t="shared" si="22"/>
        <v>0</v>
      </c>
      <c r="C310" s="28"/>
      <c r="D310" s="28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 x14ac:dyDescent="0.5">
      <c r="A311">
        <v>301</v>
      </c>
      <c r="B311">
        <f t="shared" si="22"/>
        <v>0</v>
      </c>
      <c r="C311" s="28"/>
      <c r="D311" s="28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 x14ac:dyDescent="0.5">
      <c r="A312">
        <v>302</v>
      </c>
      <c r="B312">
        <f t="shared" si="22"/>
        <v>0</v>
      </c>
      <c r="C312" s="28"/>
      <c r="D312" s="28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 x14ac:dyDescent="0.5">
      <c r="A313">
        <v>303</v>
      </c>
      <c r="B313">
        <f t="shared" si="22"/>
        <v>0</v>
      </c>
      <c r="C313" s="28"/>
      <c r="D313" s="28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 x14ac:dyDescent="0.5">
      <c r="A314">
        <v>304</v>
      </c>
      <c r="B314">
        <f t="shared" si="22"/>
        <v>0</v>
      </c>
      <c r="C314" s="28"/>
      <c r="D314" s="28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 x14ac:dyDescent="0.5">
      <c r="A315">
        <v>305</v>
      </c>
      <c r="B315">
        <f t="shared" si="22"/>
        <v>0</v>
      </c>
      <c r="C315" s="28"/>
      <c r="D315" s="28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 x14ac:dyDescent="0.5">
      <c r="A316">
        <v>306</v>
      </c>
      <c r="B316">
        <f t="shared" si="22"/>
        <v>0</v>
      </c>
      <c r="C316" s="28"/>
      <c r="D316" s="28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 x14ac:dyDescent="0.5">
      <c r="A317">
        <v>307</v>
      </c>
      <c r="B317">
        <f t="shared" si="22"/>
        <v>0</v>
      </c>
      <c r="C317" s="28"/>
      <c r="D317" s="28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 x14ac:dyDescent="0.5">
      <c r="A318">
        <v>308</v>
      </c>
      <c r="B318">
        <f t="shared" si="22"/>
        <v>0</v>
      </c>
      <c r="C318" s="28"/>
      <c r="D318" s="28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 x14ac:dyDescent="0.5">
      <c r="A319">
        <v>309</v>
      </c>
      <c r="B319">
        <f t="shared" si="22"/>
        <v>0</v>
      </c>
      <c r="C319" s="28"/>
      <c r="D319" s="28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 x14ac:dyDescent="0.5">
      <c r="A320">
        <v>310</v>
      </c>
      <c r="B320">
        <f t="shared" si="22"/>
        <v>0</v>
      </c>
      <c r="C320" s="28"/>
      <c r="D320" s="28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 x14ac:dyDescent="0.5">
      <c r="A321">
        <v>311</v>
      </c>
      <c r="B321">
        <f t="shared" si="22"/>
        <v>0</v>
      </c>
      <c r="C321" s="28"/>
      <c r="D321" s="28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 x14ac:dyDescent="0.5">
      <c r="A322">
        <v>312</v>
      </c>
      <c r="B322">
        <f t="shared" si="22"/>
        <v>0</v>
      </c>
      <c r="C322" s="28"/>
      <c r="D322" s="28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 x14ac:dyDescent="0.5">
      <c r="A323">
        <v>313</v>
      </c>
      <c r="B323">
        <f t="shared" si="22"/>
        <v>0</v>
      </c>
      <c r="C323" s="28"/>
      <c r="D323" s="28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 x14ac:dyDescent="0.5">
      <c r="A324">
        <v>314</v>
      </c>
      <c r="B324">
        <f t="shared" si="22"/>
        <v>0</v>
      </c>
      <c r="C324" s="28"/>
      <c r="D324" s="28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 x14ac:dyDescent="0.5">
      <c r="A325">
        <v>315</v>
      </c>
      <c r="B325">
        <f t="shared" si="22"/>
        <v>0</v>
      </c>
      <c r="C325" s="28"/>
      <c r="D325" s="28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 x14ac:dyDescent="0.5">
      <c r="A326">
        <v>316</v>
      </c>
      <c r="B326">
        <f t="shared" si="22"/>
        <v>0</v>
      </c>
      <c r="C326" s="28"/>
      <c r="D326" s="28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 x14ac:dyDescent="0.5">
      <c r="A327">
        <v>317</v>
      </c>
      <c r="B327">
        <f t="shared" si="22"/>
        <v>0</v>
      </c>
      <c r="C327" s="28"/>
      <c r="D327" s="28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 x14ac:dyDescent="0.5">
      <c r="A328">
        <v>318</v>
      </c>
      <c r="B328">
        <f t="shared" si="22"/>
        <v>0</v>
      </c>
      <c r="C328" s="28"/>
      <c r="D328" s="28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 x14ac:dyDescent="0.5">
      <c r="A329">
        <v>319</v>
      </c>
      <c r="B329">
        <f t="shared" si="22"/>
        <v>0</v>
      </c>
      <c r="C329" s="28"/>
      <c r="D329" s="28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 x14ac:dyDescent="0.5">
      <c r="A330">
        <v>320</v>
      </c>
      <c r="B330">
        <f t="shared" si="22"/>
        <v>0</v>
      </c>
      <c r="C330" s="28"/>
      <c r="D330" s="28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 x14ac:dyDescent="0.5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 x14ac:dyDescent="0.5">
      <c r="A332">
        <v>322</v>
      </c>
      <c r="B332">
        <f t="shared" ref="B332:B395" si="26">C332/1000</f>
        <v>0</v>
      </c>
      <c r="C332" s="28"/>
      <c r="D332" s="28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 x14ac:dyDescent="0.5">
      <c r="A333">
        <v>323</v>
      </c>
      <c r="B333">
        <f t="shared" si="26"/>
        <v>0</v>
      </c>
      <c r="C333" s="28"/>
      <c r="D333" s="28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 x14ac:dyDescent="0.5">
      <c r="A334">
        <v>324</v>
      </c>
      <c r="B334">
        <f t="shared" si="26"/>
        <v>0</v>
      </c>
      <c r="C334" s="28"/>
      <c r="D334" s="28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 x14ac:dyDescent="0.5">
      <c r="A335">
        <v>325</v>
      </c>
      <c r="B335">
        <f t="shared" si="26"/>
        <v>0</v>
      </c>
      <c r="C335" s="28"/>
      <c r="D335" s="28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 x14ac:dyDescent="0.5">
      <c r="A336">
        <v>326</v>
      </c>
      <c r="B336">
        <f t="shared" si="26"/>
        <v>0</v>
      </c>
      <c r="C336" s="28"/>
      <c r="D336" s="28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 x14ac:dyDescent="0.5">
      <c r="A337">
        <v>327</v>
      </c>
      <c r="B337">
        <f t="shared" si="26"/>
        <v>0</v>
      </c>
      <c r="C337" s="28"/>
      <c r="D337" s="28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 x14ac:dyDescent="0.5">
      <c r="A338">
        <v>328</v>
      </c>
      <c r="B338">
        <f t="shared" si="26"/>
        <v>0</v>
      </c>
      <c r="C338" s="28"/>
      <c r="D338" s="28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 x14ac:dyDescent="0.5">
      <c r="A339">
        <v>329</v>
      </c>
      <c r="B339">
        <f t="shared" si="26"/>
        <v>0</v>
      </c>
      <c r="C339" s="28"/>
      <c r="D339" s="28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 x14ac:dyDescent="0.5">
      <c r="A340">
        <v>330</v>
      </c>
      <c r="B340">
        <f t="shared" si="26"/>
        <v>0</v>
      </c>
      <c r="C340" s="28"/>
      <c r="D340" s="28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 x14ac:dyDescent="0.5">
      <c r="A341">
        <v>331</v>
      </c>
      <c r="B341">
        <f t="shared" si="26"/>
        <v>0</v>
      </c>
      <c r="C341" s="28"/>
      <c r="D341" s="28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 x14ac:dyDescent="0.5">
      <c r="A342">
        <v>332</v>
      </c>
      <c r="B342">
        <f t="shared" si="26"/>
        <v>0</v>
      </c>
      <c r="C342" s="28"/>
      <c r="D342" s="28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 x14ac:dyDescent="0.5">
      <c r="A343">
        <v>333</v>
      </c>
      <c r="B343">
        <f t="shared" si="26"/>
        <v>0</v>
      </c>
      <c r="C343" s="28"/>
      <c r="D343" s="28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 x14ac:dyDescent="0.5">
      <c r="A344">
        <v>334</v>
      </c>
      <c r="B344">
        <f t="shared" si="26"/>
        <v>0</v>
      </c>
      <c r="C344" s="28"/>
      <c r="D344" s="28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 x14ac:dyDescent="0.5">
      <c r="A345">
        <v>335</v>
      </c>
      <c r="B345">
        <f t="shared" si="26"/>
        <v>0</v>
      </c>
      <c r="C345" s="28"/>
      <c r="D345" s="28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 x14ac:dyDescent="0.5">
      <c r="A346">
        <v>336</v>
      </c>
      <c r="B346">
        <f t="shared" si="26"/>
        <v>0</v>
      </c>
      <c r="C346" s="28"/>
      <c r="D346" s="28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 x14ac:dyDescent="0.5">
      <c r="A347">
        <v>337</v>
      </c>
      <c r="B347">
        <f t="shared" si="26"/>
        <v>0</v>
      </c>
      <c r="C347" s="28"/>
      <c r="D347" s="28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 x14ac:dyDescent="0.5">
      <c r="A348">
        <v>338</v>
      </c>
      <c r="B348">
        <f t="shared" si="26"/>
        <v>0</v>
      </c>
      <c r="C348" s="28"/>
      <c r="D348" s="28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 x14ac:dyDescent="0.5">
      <c r="A349">
        <v>339</v>
      </c>
      <c r="B349">
        <f t="shared" si="26"/>
        <v>0</v>
      </c>
      <c r="C349" s="28"/>
      <c r="D349" s="28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 x14ac:dyDescent="0.5">
      <c r="A350">
        <v>340</v>
      </c>
      <c r="B350">
        <f t="shared" si="26"/>
        <v>0</v>
      </c>
      <c r="C350" s="28"/>
      <c r="D350" s="28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 x14ac:dyDescent="0.5">
      <c r="A351">
        <v>341</v>
      </c>
      <c r="B351">
        <f t="shared" si="26"/>
        <v>0</v>
      </c>
      <c r="C351" s="28"/>
      <c r="D351" s="28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 x14ac:dyDescent="0.5">
      <c r="A352">
        <v>342</v>
      </c>
      <c r="B352">
        <f t="shared" si="26"/>
        <v>0</v>
      </c>
      <c r="C352" s="28"/>
      <c r="D352" s="28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 x14ac:dyDescent="0.5">
      <c r="A353">
        <v>343</v>
      </c>
      <c r="B353">
        <f t="shared" si="26"/>
        <v>0</v>
      </c>
      <c r="C353" s="28"/>
      <c r="D353" s="28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 x14ac:dyDescent="0.5">
      <c r="A354">
        <v>344</v>
      </c>
      <c r="B354">
        <f t="shared" si="26"/>
        <v>0</v>
      </c>
      <c r="C354" s="28"/>
      <c r="D354" s="28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 x14ac:dyDescent="0.5">
      <c r="A355">
        <v>345</v>
      </c>
      <c r="B355">
        <f t="shared" si="26"/>
        <v>0</v>
      </c>
      <c r="C355" s="28"/>
      <c r="D355" s="28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 x14ac:dyDescent="0.5">
      <c r="A356">
        <v>346</v>
      </c>
      <c r="B356">
        <f t="shared" si="26"/>
        <v>0</v>
      </c>
      <c r="C356" s="28"/>
      <c r="D356" s="28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 x14ac:dyDescent="0.5">
      <c r="A357">
        <v>347</v>
      </c>
      <c r="B357">
        <f t="shared" si="26"/>
        <v>0</v>
      </c>
      <c r="C357" s="28"/>
      <c r="D357" s="28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 x14ac:dyDescent="0.5">
      <c r="A358">
        <v>348</v>
      </c>
      <c r="B358">
        <f t="shared" si="26"/>
        <v>0</v>
      </c>
      <c r="C358" s="28"/>
      <c r="D358" s="28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 x14ac:dyDescent="0.5">
      <c r="A359">
        <v>349</v>
      </c>
      <c r="B359">
        <f t="shared" si="26"/>
        <v>0</v>
      </c>
      <c r="C359" s="28"/>
      <c r="D359" s="28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 x14ac:dyDescent="0.5">
      <c r="A360">
        <v>350</v>
      </c>
      <c r="B360">
        <f t="shared" si="26"/>
        <v>0</v>
      </c>
      <c r="C360" s="28"/>
      <c r="D360" s="28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 x14ac:dyDescent="0.5">
      <c r="A361">
        <v>351</v>
      </c>
      <c r="B361">
        <f t="shared" si="26"/>
        <v>0</v>
      </c>
      <c r="C361" s="28"/>
      <c r="D361" s="28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 x14ac:dyDescent="0.5">
      <c r="A362">
        <v>352</v>
      </c>
      <c r="B362">
        <f t="shared" si="26"/>
        <v>0</v>
      </c>
      <c r="C362" s="28"/>
      <c r="D362" s="28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 x14ac:dyDescent="0.5">
      <c r="A363">
        <v>353</v>
      </c>
      <c r="B363">
        <f t="shared" si="26"/>
        <v>0</v>
      </c>
      <c r="C363" s="28"/>
      <c r="D363" s="28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 x14ac:dyDescent="0.5">
      <c r="A364">
        <v>354</v>
      </c>
      <c r="B364">
        <f t="shared" si="26"/>
        <v>0</v>
      </c>
      <c r="C364" s="28"/>
      <c r="D364" s="28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 x14ac:dyDescent="0.5">
      <c r="A365">
        <v>355</v>
      </c>
      <c r="B365">
        <f t="shared" si="26"/>
        <v>0</v>
      </c>
      <c r="C365" s="28"/>
      <c r="D365" s="28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 x14ac:dyDescent="0.5">
      <c r="A366">
        <v>356</v>
      </c>
      <c r="B366">
        <f t="shared" si="26"/>
        <v>0</v>
      </c>
      <c r="C366" s="28"/>
      <c r="D366" s="28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 x14ac:dyDescent="0.5">
      <c r="A367">
        <v>357</v>
      </c>
      <c r="B367">
        <f t="shared" si="26"/>
        <v>0</v>
      </c>
      <c r="C367" s="28"/>
      <c r="D367" s="28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 x14ac:dyDescent="0.5">
      <c r="A368">
        <v>358</v>
      </c>
      <c r="B368">
        <f t="shared" si="26"/>
        <v>0</v>
      </c>
      <c r="C368" s="28"/>
      <c r="D368" s="28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 x14ac:dyDescent="0.5">
      <c r="A369">
        <v>359</v>
      </c>
      <c r="B369">
        <f t="shared" si="26"/>
        <v>0</v>
      </c>
      <c r="C369" s="28"/>
      <c r="D369" s="28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 x14ac:dyDescent="0.5">
      <c r="A370">
        <v>360</v>
      </c>
      <c r="B370">
        <f t="shared" si="26"/>
        <v>0</v>
      </c>
      <c r="C370" s="28"/>
      <c r="D370" s="28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 x14ac:dyDescent="0.5">
      <c r="A371">
        <v>361</v>
      </c>
      <c r="B371">
        <f t="shared" si="26"/>
        <v>0</v>
      </c>
      <c r="C371" s="28"/>
      <c r="D371" s="28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 x14ac:dyDescent="0.5">
      <c r="A372">
        <v>362</v>
      </c>
      <c r="B372">
        <f t="shared" si="26"/>
        <v>0</v>
      </c>
      <c r="C372" s="28"/>
      <c r="D372" s="28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 x14ac:dyDescent="0.5">
      <c r="A373">
        <v>363</v>
      </c>
      <c r="B373">
        <f t="shared" si="26"/>
        <v>0</v>
      </c>
      <c r="C373" s="28"/>
      <c r="D373" s="28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 x14ac:dyDescent="0.5">
      <c r="A374">
        <v>364</v>
      </c>
      <c r="B374">
        <f t="shared" si="26"/>
        <v>0</v>
      </c>
      <c r="C374" s="28"/>
      <c r="D374" s="28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 x14ac:dyDescent="0.5">
      <c r="A375">
        <v>365</v>
      </c>
      <c r="B375">
        <f t="shared" si="26"/>
        <v>0</v>
      </c>
      <c r="C375" s="28"/>
      <c r="D375" s="28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 x14ac:dyDescent="0.5">
      <c r="A376">
        <v>366</v>
      </c>
      <c r="B376">
        <f t="shared" si="26"/>
        <v>0</v>
      </c>
      <c r="C376" s="28"/>
      <c r="D376" s="28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 x14ac:dyDescent="0.5">
      <c r="A377">
        <v>367</v>
      </c>
      <c r="B377">
        <f t="shared" si="26"/>
        <v>0</v>
      </c>
      <c r="C377" s="28"/>
      <c r="D377" s="28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 x14ac:dyDescent="0.5">
      <c r="A378">
        <v>368</v>
      </c>
      <c r="B378">
        <f t="shared" si="26"/>
        <v>0</v>
      </c>
      <c r="C378" s="28"/>
      <c r="D378" s="28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 x14ac:dyDescent="0.5">
      <c r="A379">
        <v>369</v>
      </c>
      <c r="B379">
        <f t="shared" si="26"/>
        <v>0</v>
      </c>
      <c r="C379" s="28"/>
      <c r="D379" s="28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 x14ac:dyDescent="0.5">
      <c r="A380">
        <v>370</v>
      </c>
      <c r="B380">
        <f t="shared" si="26"/>
        <v>0</v>
      </c>
      <c r="C380" s="28"/>
      <c r="D380" s="28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 x14ac:dyDescent="0.5">
      <c r="A381">
        <v>371</v>
      </c>
      <c r="B381">
        <f t="shared" si="26"/>
        <v>0</v>
      </c>
      <c r="C381" s="28"/>
      <c r="D381" s="28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 x14ac:dyDescent="0.5">
      <c r="A382">
        <v>372</v>
      </c>
      <c r="B382">
        <f t="shared" si="26"/>
        <v>0</v>
      </c>
      <c r="C382" s="28"/>
      <c r="D382" s="28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 x14ac:dyDescent="0.5">
      <c r="A383">
        <v>373</v>
      </c>
      <c r="B383">
        <f t="shared" si="26"/>
        <v>0</v>
      </c>
      <c r="C383" s="28"/>
      <c r="D383" s="28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 x14ac:dyDescent="0.5">
      <c r="A384">
        <v>374</v>
      </c>
      <c r="B384">
        <f t="shared" si="26"/>
        <v>0</v>
      </c>
      <c r="C384" s="28"/>
      <c r="D384" s="28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 x14ac:dyDescent="0.5">
      <c r="A385">
        <v>375</v>
      </c>
      <c r="B385">
        <f t="shared" si="26"/>
        <v>0</v>
      </c>
      <c r="C385" s="28"/>
      <c r="D385" s="28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 x14ac:dyDescent="0.5">
      <c r="A386">
        <v>376</v>
      </c>
      <c r="B386">
        <f t="shared" si="26"/>
        <v>0</v>
      </c>
      <c r="C386" s="28"/>
      <c r="D386" s="28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 x14ac:dyDescent="0.5">
      <c r="A387">
        <v>377</v>
      </c>
      <c r="B387">
        <f t="shared" si="26"/>
        <v>0</v>
      </c>
      <c r="C387" s="28"/>
      <c r="D387" s="28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 x14ac:dyDescent="0.5">
      <c r="A388">
        <v>378</v>
      </c>
      <c r="B388">
        <f t="shared" si="26"/>
        <v>0</v>
      </c>
      <c r="C388" s="28"/>
      <c r="D388" s="28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 x14ac:dyDescent="0.5">
      <c r="A389">
        <v>379</v>
      </c>
      <c r="B389">
        <f t="shared" si="26"/>
        <v>0</v>
      </c>
      <c r="C389" s="28"/>
      <c r="D389" s="28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 x14ac:dyDescent="0.5">
      <c r="A390">
        <v>380</v>
      </c>
      <c r="B390">
        <f t="shared" si="26"/>
        <v>0</v>
      </c>
      <c r="C390" s="28"/>
      <c r="D390" s="28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 x14ac:dyDescent="0.5">
      <c r="A391">
        <v>381</v>
      </c>
      <c r="B391">
        <f t="shared" si="26"/>
        <v>0</v>
      </c>
      <c r="C391" s="28"/>
      <c r="D391" s="28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 x14ac:dyDescent="0.5">
      <c r="A392">
        <v>382</v>
      </c>
      <c r="B392">
        <f t="shared" si="26"/>
        <v>0</v>
      </c>
      <c r="C392" s="28"/>
      <c r="D392" s="28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 x14ac:dyDescent="0.5">
      <c r="A393">
        <v>383</v>
      </c>
      <c r="B393">
        <f t="shared" si="26"/>
        <v>0</v>
      </c>
      <c r="C393" s="28"/>
      <c r="D393" s="28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 x14ac:dyDescent="0.5">
      <c r="A394">
        <v>384</v>
      </c>
      <c r="B394">
        <f t="shared" si="26"/>
        <v>0</v>
      </c>
      <c r="C394" s="28"/>
      <c r="D394" s="28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 x14ac:dyDescent="0.5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 x14ac:dyDescent="0.5">
      <c r="A396">
        <v>386</v>
      </c>
      <c r="B396">
        <f t="shared" ref="B396:B459" si="30">C396/1000</f>
        <v>0</v>
      </c>
      <c r="C396" s="28"/>
      <c r="D396" s="28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 x14ac:dyDescent="0.5">
      <c r="A397">
        <v>387</v>
      </c>
      <c r="B397">
        <f t="shared" si="30"/>
        <v>0</v>
      </c>
      <c r="C397" s="28"/>
      <c r="D397" s="28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 x14ac:dyDescent="0.5">
      <c r="A398">
        <v>388</v>
      </c>
      <c r="B398">
        <f t="shared" si="30"/>
        <v>0</v>
      </c>
      <c r="C398" s="28"/>
      <c r="D398" s="28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 x14ac:dyDescent="0.5">
      <c r="A399">
        <v>389</v>
      </c>
      <c r="B399">
        <f t="shared" si="30"/>
        <v>0</v>
      </c>
      <c r="C399" s="28"/>
      <c r="D399" s="28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 x14ac:dyDescent="0.5">
      <c r="A400">
        <v>390</v>
      </c>
      <c r="B400">
        <f t="shared" si="30"/>
        <v>0</v>
      </c>
      <c r="C400" s="28"/>
      <c r="D400" s="28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 x14ac:dyDescent="0.5">
      <c r="A401">
        <v>391</v>
      </c>
      <c r="B401">
        <f t="shared" si="30"/>
        <v>0</v>
      </c>
      <c r="C401" s="28"/>
      <c r="D401" s="28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 x14ac:dyDescent="0.5">
      <c r="A402">
        <v>392</v>
      </c>
      <c r="B402">
        <f t="shared" si="30"/>
        <v>0</v>
      </c>
      <c r="C402" s="28"/>
      <c r="D402" s="28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 x14ac:dyDescent="0.5">
      <c r="A403">
        <v>393</v>
      </c>
      <c r="B403">
        <f t="shared" si="30"/>
        <v>0</v>
      </c>
      <c r="C403" s="28"/>
      <c r="D403" s="28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 x14ac:dyDescent="0.5">
      <c r="A404">
        <v>394</v>
      </c>
      <c r="B404">
        <f t="shared" si="30"/>
        <v>0</v>
      </c>
      <c r="C404" s="28"/>
      <c r="D404" s="28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 x14ac:dyDescent="0.5">
      <c r="A405">
        <v>395</v>
      </c>
      <c r="B405">
        <f t="shared" si="30"/>
        <v>0</v>
      </c>
      <c r="C405" s="28"/>
      <c r="D405" s="28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 x14ac:dyDescent="0.5">
      <c r="A406">
        <v>396</v>
      </c>
      <c r="B406">
        <f t="shared" si="30"/>
        <v>0</v>
      </c>
      <c r="C406" s="28"/>
      <c r="D406" s="28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 x14ac:dyDescent="0.5">
      <c r="A407">
        <v>397</v>
      </c>
      <c r="B407">
        <f t="shared" si="30"/>
        <v>0</v>
      </c>
      <c r="C407" s="28"/>
      <c r="D407" s="28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 x14ac:dyDescent="0.5">
      <c r="A408">
        <v>398</v>
      </c>
      <c r="B408">
        <f t="shared" si="30"/>
        <v>0</v>
      </c>
      <c r="C408" s="28"/>
      <c r="D408" s="28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 x14ac:dyDescent="0.5">
      <c r="A409">
        <v>399</v>
      </c>
      <c r="B409">
        <f t="shared" si="30"/>
        <v>0</v>
      </c>
      <c r="C409" s="28"/>
      <c r="D409" s="28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 x14ac:dyDescent="0.5">
      <c r="A410">
        <v>400</v>
      </c>
      <c r="B410">
        <f t="shared" si="30"/>
        <v>0</v>
      </c>
      <c r="C410" s="28"/>
      <c r="D410" s="28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 x14ac:dyDescent="0.5">
      <c r="A411">
        <v>401</v>
      </c>
      <c r="B411">
        <f t="shared" si="30"/>
        <v>0</v>
      </c>
      <c r="C411" s="28"/>
      <c r="D411" s="28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 x14ac:dyDescent="0.5">
      <c r="A412">
        <v>402</v>
      </c>
      <c r="B412">
        <f t="shared" si="30"/>
        <v>0</v>
      </c>
      <c r="C412" s="28"/>
      <c r="D412" s="28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 x14ac:dyDescent="0.5">
      <c r="A413">
        <v>403</v>
      </c>
      <c r="B413">
        <f t="shared" si="30"/>
        <v>0</v>
      </c>
      <c r="C413" s="28"/>
      <c r="D413" s="28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 x14ac:dyDescent="0.5">
      <c r="A414">
        <v>404</v>
      </c>
      <c r="B414">
        <f t="shared" si="30"/>
        <v>0</v>
      </c>
      <c r="C414" s="28"/>
      <c r="D414" s="28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 x14ac:dyDescent="0.5">
      <c r="A415">
        <v>405</v>
      </c>
      <c r="B415">
        <f t="shared" si="30"/>
        <v>0</v>
      </c>
      <c r="C415" s="28"/>
      <c r="D415" s="28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 x14ac:dyDescent="0.5">
      <c r="A416">
        <v>406</v>
      </c>
      <c r="B416">
        <f t="shared" si="30"/>
        <v>0</v>
      </c>
      <c r="C416" s="28"/>
      <c r="D416" s="28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 x14ac:dyDescent="0.5">
      <c r="A417">
        <v>407</v>
      </c>
      <c r="B417">
        <f t="shared" si="30"/>
        <v>0</v>
      </c>
      <c r="C417" s="28"/>
      <c r="D417" s="28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 x14ac:dyDescent="0.5">
      <c r="A418">
        <v>408</v>
      </c>
      <c r="B418">
        <f t="shared" si="30"/>
        <v>0</v>
      </c>
      <c r="C418" s="28"/>
      <c r="D418" s="28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 x14ac:dyDescent="0.5">
      <c r="A419">
        <v>409</v>
      </c>
      <c r="B419">
        <f t="shared" si="30"/>
        <v>0</v>
      </c>
      <c r="C419" s="28"/>
      <c r="D419" s="28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 x14ac:dyDescent="0.5">
      <c r="A420">
        <v>410</v>
      </c>
      <c r="B420">
        <f t="shared" si="30"/>
        <v>0</v>
      </c>
      <c r="C420" s="28"/>
      <c r="D420" s="28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 x14ac:dyDescent="0.5">
      <c r="A421">
        <v>411</v>
      </c>
      <c r="B421">
        <f t="shared" si="30"/>
        <v>0</v>
      </c>
      <c r="C421" s="28"/>
      <c r="D421" s="28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 x14ac:dyDescent="0.5">
      <c r="A422">
        <v>412</v>
      </c>
      <c r="B422">
        <f t="shared" si="30"/>
        <v>0</v>
      </c>
      <c r="C422" s="28"/>
      <c r="D422" s="28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 x14ac:dyDescent="0.5">
      <c r="A423">
        <v>413</v>
      </c>
      <c r="B423">
        <f t="shared" si="30"/>
        <v>0</v>
      </c>
      <c r="C423" s="28"/>
      <c r="D423" s="28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 x14ac:dyDescent="0.5">
      <c r="A424">
        <v>414</v>
      </c>
      <c r="B424">
        <f t="shared" si="30"/>
        <v>0</v>
      </c>
      <c r="C424" s="28"/>
      <c r="D424" s="28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 x14ac:dyDescent="0.5">
      <c r="A425">
        <v>415</v>
      </c>
      <c r="B425">
        <f t="shared" si="30"/>
        <v>0</v>
      </c>
      <c r="C425" s="28"/>
      <c r="D425" s="28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 x14ac:dyDescent="0.5">
      <c r="A426">
        <v>416</v>
      </c>
      <c r="B426">
        <f t="shared" si="30"/>
        <v>0</v>
      </c>
      <c r="C426" s="28"/>
      <c r="D426" s="28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 x14ac:dyDescent="0.5">
      <c r="A427">
        <v>417</v>
      </c>
      <c r="B427">
        <f t="shared" si="30"/>
        <v>0</v>
      </c>
      <c r="C427" s="28"/>
      <c r="D427" s="28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 x14ac:dyDescent="0.5">
      <c r="A428">
        <v>418</v>
      </c>
      <c r="B428">
        <f t="shared" si="30"/>
        <v>0</v>
      </c>
      <c r="C428" s="28"/>
      <c r="D428" s="28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 x14ac:dyDescent="0.5">
      <c r="A429">
        <v>419</v>
      </c>
      <c r="B429">
        <f t="shared" si="30"/>
        <v>0</v>
      </c>
      <c r="C429" s="28"/>
      <c r="D429" s="28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 x14ac:dyDescent="0.5">
      <c r="A430">
        <v>420</v>
      </c>
      <c r="B430">
        <f t="shared" si="30"/>
        <v>0</v>
      </c>
      <c r="C430" s="28"/>
      <c r="D430" s="28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 x14ac:dyDescent="0.5">
      <c r="A431">
        <v>421</v>
      </c>
      <c r="B431">
        <f t="shared" si="30"/>
        <v>0</v>
      </c>
      <c r="C431" s="28"/>
      <c r="D431" s="28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 x14ac:dyDescent="0.5">
      <c r="A432">
        <v>422</v>
      </c>
      <c r="B432">
        <f t="shared" si="30"/>
        <v>0</v>
      </c>
      <c r="C432" s="28"/>
      <c r="D432" s="28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 x14ac:dyDescent="0.5">
      <c r="A433">
        <v>423</v>
      </c>
      <c r="B433">
        <f t="shared" si="30"/>
        <v>0</v>
      </c>
      <c r="C433" s="28"/>
      <c r="D433" s="28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 x14ac:dyDescent="0.5">
      <c r="A434">
        <v>424</v>
      </c>
      <c r="B434">
        <f t="shared" si="30"/>
        <v>0</v>
      </c>
      <c r="C434" s="28"/>
      <c r="D434" s="28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 x14ac:dyDescent="0.5">
      <c r="A435">
        <v>425</v>
      </c>
      <c r="B435">
        <f t="shared" si="30"/>
        <v>0</v>
      </c>
      <c r="C435" s="28"/>
      <c r="D435" s="28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 x14ac:dyDescent="0.5">
      <c r="A436">
        <v>426</v>
      </c>
      <c r="B436">
        <f t="shared" si="30"/>
        <v>0</v>
      </c>
      <c r="C436" s="28"/>
      <c r="D436" s="28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 x14ac:dyDescent="0.5">
      <c r="A437">
        <v>427</v>
      </c>
      <c r="B437">
        <f t="shared" si="30"/>
        <v>0</v>
      </c>
      <c r="C437" s="28"/>
      <c r="D437" s="28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 x14ac:dyDescent="0.5">
      <c r="A438">
        <v>428</v>
      </c>
      <c r="B438">
        <f t="shared" si="30"/>
        <v>0</v>
      </c>
      <c r="C438" s="28"/>
      <c r="D438" s="28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 x14ac:dyDescent="0.5">
      <c r="A439">
        <v>429</v>
      </c>
      <c r="B439">
        <f t="shared" si="30"/>
        <v>0</v>
      </c>
      <c r="C439" s="28"/>
      <c r="D439" s="28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 x14ac:dyDescent="0.5">
      <c r="A440">
        <v>430</v>
      </c>
      <c r="B440">
        <f t="shared" si="30"/>
        <v>0</v>
      </c>
      <c r="C440" s="28"/>
      <c r="D440" s="28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 x14ac:dyDescent="0.5">
      <c r="A441">
        <v>431</v>
      </c>
      <c r="B441">
        <f t="shared" si="30"/>
        <v>0</v>
      </c>
      <c r="C441" s="28"/>
      <c r="D441" s="28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 x14ac:dyDescent="0.5">
      <c r="A442">
        <v>432</v>
      </c>
      <c r="B442">
        <f t="shared" si="30"/>
        <v>0</v>
      </c>
      <c r="C442" s="28"/>
      <c r="D442" s="28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 x14ac:dyDescent="0.5">
      <c r="A443">
        <v>433</v>
      </c>
      <c r="B443">
        <f t="shared" si="30"/>
        <v>0</v>
      </c>
      <c r="C443" s="28"/>
      <c r="D443" s="28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 x14ac:dyDescent="0.5">
      <c r="A444">
        <v>434</v>
      </c>
      <c r="B444">
        <f t="shared" si="30"/>
        <v>0</v>
      </c>
      <c r="C444" s="28"/>
      <c r="D444" s="28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 x14ac:dyDescent="0.5">
      <c r="A445">
        <v>435</v>
      </c>
      <c r="B445">
        <f t="shared" si="30"/>
        <v>0</v>
      </c>
      <c r="C445" s="28"/>
      <c r="D445" s="28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 x14ac:dyDescent="0.5">
      <c r="A446">
        <v>436</v>
      </c>
      <c r="B446">
        <f t="shared" si="30"/>
        <v>0</v>
      </c>
      <c r="C446" s="28"/>
      <c r="D446" s="28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 x14ac:dyDescent="0.5">
      <c r="A447">
        <v>437</v>
      </c>
      <c r="B447">
        <f t="shared" si="30"/>
        <v>0</v>
      </c>
      <c r="C447" s="28"/>
      <c r="D447" s="28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 x14ac:dyDescent="0.5">
      <c r="A448">
        <v>438</v>
      </c>
      <c r="B448">
        <f t="shared" si="30"/>
        <v>0</v>
      </c>
      <c r="C448" s="28"/>
      <c r="D448" s="28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 x14ac:dyDescent="0.5">
      <c r="A449">
        <v>439</v>
      </c>
      <c r="B449">
        <f t="shared" si="30"/>
        <v>0</v>
      </c>
      <c r="C449" s="28"/>
      <c r="D449" s="28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 x14ac:dyDescent="0.5">
      <c r="A450">
        <v>440</v>
      </c>
      <c r="B450">
        <f t="shared" si="30"/>
        <v>0</v>
      </c>
      <c r="C450" s="28"/>
      <c r="D450" s="28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 x14ac:dyDescent="0.5">
      <c r="A451">
        <v>441</v>
      </c>
      <c r="B451">
        <f t="shared" si="30"/>
        <v>0</v>
      </c>
      <c r="C451" s="28"/>
      <c r="D451" s="28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 x14ac:dyDescent="0.5">
      <c r="A452">
        <v>442</v>
      </c>
      <c r="B452">
        <f t="shared" si="30"/>
        <v>0</v>
      </c>
      <c r="C452" s="28"/>
      <c r="D452" s="28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 x14ac:dyDescent="0.5">
      <c r="A453">
        <v>443</v>
      </c>
      <c r="B453">
        <f t="shared" si="30"/>
        <v>0</v>
      </c>
      <c r="C453" s="28"/>
      <c r="D453" s="28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 x14ac:dyDescent="0.5">
      <c r="A454">
        <v>444</v>
      </c>
      <c r="B454">
        <f t="shared" si="30"/>
        <v>0</v>
      </c>
      <c r="C454" s="28"/>
      <c r="D454" s="28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 x14ac:dyDescent="0.5">
      <c r="A455">
        <v>445</v>
      </c>
      <c r="B455">
        <f t="shared" si="30"/>
        <v>0</v>
      </c>
      <c r="C455" s="28"/>
      <c r="D455" s="28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 x14ac:dyDescent="0.5">
      <c r="A456">
        <v>446</v>
      </c>
      <c r="B456">
        <f t="shared" si="30"/>
        <v>0</v>
      </c>
      <c r="C456" s="28"/>
      <c r="D456" s="28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 x14ac:dyDescent="0.5">
      <c r="A457">
        <v>447</v>
      </c>
      <c r="B457">
        <f t="shared" si="30"/>
        <v>0</v>
      </c>
      <c r="C457" s="28"/>
      <c r="D457" s="28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 x14ac:dyDescent="0.5">
      <c r="A458">
        <v>448</v>
      </c>
      <c r="B458">
        <f t="shared" si="30"/>
        <v>0</v>
      </c>
      <c r="C458" s="28"/>
      <c r="D458" s="28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 x14ac:dyDescent="0.5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 x14ac:dyDescent="0.5">
      <c r="A460">
        <v>450</v>
      </c>
      <c r="B460">
        <f t="shared" ref="B460:B523" si="34">C460/1000</f>
        <v>0</v>
      </c>
      <c r="C460" s="28"/>
      <c r="D460" s="28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 x14ac:dyDescent="0.5">
      <c r="A461">
        <v>451</v>
      </c>
      <c r="B461">
        <f t="shared" si="34"/>
        <v>0</v>
      </c>
      <c r="C461" s="28"/>
      <c r="D461" s="28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 x14ac:dyDescent="0.5">
      <c r="A462">
        <v>452</v>
      </c>
      <c r="B462">
        <f t="shared" si="34"/>
        <v>0</v>
      </c>
      <c r="C462" s="28"/>
      <c r="D462" s="28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 x14ac:dyDescent="0.5">
      <c r="A463">
        <v>453</v>
      </c>
      <c r="B463">
        <f t="shared" si="34"/>
        <v>0</v>
      </c>
      <c r="C463" s="28"/>
      <c r="D463" s="28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 x14ac:dyDescent="0.5">
      <c r="A464">
        <v>454</v>
      </c>
      <c r="B464">
        <f t="shared" si="34"/>
        <v>0</v>
      </c>
      <c r="C464" s="28"/>
      <c r="D464" s="28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 x14ac:dyDescent="0.5">
      <c r="A465">
        <v>455</v>
      </c>
      <c r="B465">
        <f t="shared" si="34"/>
        <v>0</v>
      </c>
      <c r="C465" s="28"/>
      <c r="D465" s="28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 x14ac:dyDescent="0.5">
      <c r="A466">
        <v>456</v>
      </c>
      <c r="B466">
        <f t="shared" si="34"/>
        <v>0</v>
      </c>
      <c r="C466" s="28"/>
      <c r="D466" s="28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 x14ac:dyDescent="0.5">
      <c r="A467">
        <v>457</v>
      </c>
      <c r="B467">
        <f t="shared" si="34"/>
        <v>0</v>
      </c>
      <c r="C467" s="28"/>
      <c r="D467" s="28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 x14ac:dyDescent="0.5">
      <c r="A468">
        <v>458</v>
      </c>
      <c r="B468">
        <f t="shared" si="34"/>
        <v>0</v>
      </c>
      <c r="C468" s="28"/>
      <c r="D468" s="28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 x14ac:dyDescent="0.5">
      <c r="A469">
        <v>459</v>
      </c>
      <c r="B469">
        <f t="shared" si="34"/>
        <v>0</v>
      </c>
      <c r="C469" s="28"/>
      <c r="D469" s="28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 x14ac:dyDescent="0.5">
      <c r="A470">
        <v>460</v>
      </c>
      <c r="B470">
        <f t="shared" si="34"/>
        <v>0</v>
      </c>
      <c r="C470" s="28"/>
      <c r="D470" s="28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 x14ac:dyDescent="0.5">
      <c r="A471">
        <v>461</v>
      </c>
      <c r="B471">
        <f t="shared" si="34"/>
        <v>0</v>
      </c>
      <c r="C471" s="28"/>
      <c r="D471" s="28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 x14ac:dyDescent="0.5">
      <c r="A472">
        <v>462</v>
      </c>
      <c r="B472">
        <f t="shared" si="34"/>
        <v>0</v>
      </c>
      <c r="C472" s="28"/>
      <c r="D472" s="28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 x14ac:dyDescent="0.5">
      <c r="A473">
        <v>463</v>
      </c>
      <c r="B473">
        <f t="shared" si="34"/>
        <v>0</v>
      </c>
      <c r="C473" s="28"/>
      <c r="D473" s="28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 x14ac:dyDescent="0.5">
      <c r="A474">
        <v>464</v>
      </c>
      <c r="B474">
        <f t="shared" si="34"/>
        <v>0</v>
      </c>
      <c r="C474" s="28"/>
      <c r="D474" s="28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 x14ac:dyDescent="0.5">
      <c r="A475">
        <v>465</v>
      </c>
      <c r="B475">
        <f t="shared" si="34"/>
        <v>0</v>
      </c>
      <c r="C475" s="28"/>
      <c r="D475" s="28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 x14ac:dyDescent="0.5">
      <c r="A476">
        <v>466</v>
      </c>
      <c r="B476">
        <f t="shared" si="34"/>
        <v>0</v>
      </c>
      <c r="C476" s="28"/>
      <c r="D476" s="28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 x14ac:dyDescent="0.5">
      <c r="A477">
        <v>467</v>
      </c>
      <c r="B477">
        <f t="shared" si="34"/>
        <v>0</v>
      </c>
      <c r="C477" s="28"/>
      <c r="D477" s="28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 x14ac:dyDescent="0.5">
      <c r="A478">
        <v>468</v>
      </c>
      <c r="B478">
        <f t="shared" si="34"/>
        <v>0</v>
      </c>
      <c r="C478" s="28"/>
      <c r="D478" s="28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 x14ac:dyDescent="0.5">
      <c r="A479">
        <v>469</v>
      </c>
      <c r="B479">
        <f t="shared" si="34"/>
        <v>0</v>
      </c>
      <c r="C479" s="28"/>
      <c r="D479" s="28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 x14ac:dyDescent="0.5">
      <c r="A480">
        <v>470</v>
      </c>
      <c r="B480">
        <f t="shared" si="34"/>
        <v>0</v>
      </c>
      <c r="C480" s="28"/>
      <c r="D480" s="28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 x14ac:dyDescent="0.5">
      <c r="A481">
        <v>471</v>
      </c>
      <c r="B481">
        <f t="shared" si="34"/>
        <v>0</v>
      </c>
      <c r="C481" s="28"/>
      <c r="D481" s="28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 x14ac:dyDescent="0.5">
      <c r="A482">
        <v>472</v>
      </c>
      <c r="B482">
        <f t="shared" si="34"/>
        <v>0</v>
      </c>
      <c r="C482" s="28"/>
      <c r="D482" s="28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 x14ac:dyDescent="0.5">
      <c r="A483">
        <v>473</v>
      </c>
      <c r="B483">
        <f t="shared" si="34"/>
        <v>0</v>
      </c>
      <c r="C483" s="28"/>
      <c r="D483" s="28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 x14ac:dyDescent="0.5">
      <c r="A484">
        <v>474</v>
      </c>
      <c r="B484">
        <f t="shared" si="34"/>
        <v>0</v>
      </c>
      <c r="C484" s="28"/>
      <c r="D484" s="28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 x14ac:dyDescent="0.5">
      <c r="A485">
        <v>475</v>
      </c>
      <c r="B485">
        <f t="shared" si="34"/>
        <v>0</v>
      </c>
      <c r="C485" s="28"/>
      <c r="D485" s="28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 x14ac:dyDescent="0.5">
      <c r="A486">
        <v>476</v>
      </c>
      <c r="B486">
        <f t="shared" si="34"/>
        <v>0</v>
      </c>
      <c r="C486" s="28"/>
      <c r="D486" s="28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 x14ac:dyDescent="0.5">
      <c r="A487">
        <v>477</v>
      </c>
      <c r="B487">
        <f t="shared" si="34"/>
        <v>0</v>
      </c>
      <c r="C487" s="28"/>
      <c r="D487" s="28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 x14ac:dyDescent="0.5">
      <c r="A488">
        <v>478</v>
      </c>
      <c r="B488">
        <f t="shared" si="34"/>
        <v>0</v>
      </c>
      <c r="C488" s="28"/>
      <c r="D488" s="28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 x14ac:dyDescent="0.5">
      <c r="A489">
        <v>479</v>
      </c>
      <c r="B489">
        <f t="shared" si="34"/>
        <v>0</v>
      </c>
      <c r="C489" s="28"/>
      <c r="D489" s="28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 x14ac:dyDescent="0.5">
      <c r="A490">
        <v>480</v>
      </c>
      <c r="B490">
        <f t="shared" si="34"/>
        <v>0</v>
      </c>
      <c r="C490" s="28"/>
      <c r="D490" s="28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 x14ac:dyDescent="0.5">
      <c r="A491">
        <v>481</v>
      </c>
      <c r="B491">
        <f t="shared" si="34"/>
        <v>0</v>
      </c>
      <c r="C491" s="28"/>
      <c r="D491" s="28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 x14ac:dyDescent="0.5">
      <c r="A492">
        <v>482</v>
      </c>
      <c r="B492">
        <f t="shared" si="34"/>
        <v>0</v>
      </c>
      <c r="C492" s="28"/>
      <c r="D492" s="28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 x14ac:dyDescent="0.5">
      <c r="A493">
        <v>483</v>
      </c>
      <c r="B493">
        <f t="shared" si="34"/>
        <v>0</v>
      </c>
      <c r="C493" s="28"/>
      <c r="D493" s="28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 x14ac:dyDescent="0.5">
      <c r="A494">
        <v>484</v>
      </c>
      <c r="B494">
        <f t="shared" si="34"/>
        <v>0</v>
      </c>
      <c r="C494" s="28"/>
      <c r="D494" s="28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 x14ac:dyDescent="0.5">
      <c r="A495">
        <v>485</v>
      </c>
      <c r="B495">
        <f t="shared" si="34"/>
        <v>0</v>
      </c>
      <c r="C495" s="28"/>
      <c r="D495" s="28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 x14ac:dyDescent="0.5">
      <c r="A496">
        <v>486</v>
      </c>
      <c r="B496">
        <f t="shared" si="34"/>
        <v>0</v>
      </c>
      <c r="C496" s="28"/>
      <c r="D496" s="28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 x14ac:dyDescent="0.5">
      <c r="A497">
        <v>487</v>
      </c>
      <c r="B497">
        <f t="shared" si="34"/>
        <v>0</v>
      </c>
      <c r="C497" s="28"/>
      <c r="D497" s="28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 x14ac:dyDescent="0.5">
      <c r="A498">
        <v>488</v>
      </c>
      <c r="B498">
        <f t="shared" si="34"/>
        <v>0</v>
      </c>
      <c r="C498" s="28"/>
      <c r="D498" s="28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 x14ac:dyDescent="0.5">
      <c r="A499">
        <v>489</v>
      </c>
      <c r="B499">
        <f t="shared" si="34"/>
        <v>0</v>
      </c>
      <c r="C499" s="28"/>
      <c r="D499" s="28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 x14ac:dyDescent="0.5">
      <c r="A500">
        <v>490</v>
      </c>
      <c r="B500">
        <f t="shared" si="34"/>
        <v>0</v>
      </c>
      <c r="C500" s="28"/>
      <c r="D500" s="28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 x14ac:dyDescent="0.5">
      <c r="A501">
        <v>491</v>
      </c>
      <c r="B501">
        <f t="shared" si="34"/>
        <v>0</v>
      </c>
      <c r="C501" s="28"/>
      <c r="D501" s="28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 x14ac:dyDescent="0.5">
      <c r="A502">
        <v>492</v>
      </c>
      <c r="B502">
        <f t="shared" si="34"/>
        <v>0</v>
      </c>
      <c r="C502" s="28"/>
      <c r="D502" s="28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 x14ac:dyDescent="0.5">
      <c r="A503">
        <v>493</v>
      </c>
      <c r="B503">
        <f t="shared" si="34"/>
        <v>0</v>
      </c>
      <c r="C503" s="28"/>
      <c r="D503" s="28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 x14ac:dyDescent="0.5">
      <c r="A504">
        <v>494</v>
      </c>
      <c r="B504">
        <f t="shared" si="34"/>
        <v>0</v>
      </c>
      <c r="C504" s="28"/>
      <c r="D504" s="28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 x14ac:dyDescent="0.5">
      <c r="A505">
        <v>495</v>
      </c>
      <c r="B505">
        <f t="shared" si="34"/>
        <v>0</v>
      </c>
      <c r="C505" s="28"/>
      <c r="D505" s="28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 x14ac:dyDescent="0.5">
      <c r="A506">
        <v>496</v>
      </c>
      <c r="B506">
        <f t="shared" si="34"/>
        <v>0</v>
      </c>
      <c r="C506" s="28"/>
      <c r="D506" s="28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 x14ac:dyDescent="0.5">
      <c r="A507">
        <v>497</v>
      </c>
      <c r="B507">
        <f t="shared" si="34"/>
        <v>0</v>
      </c>
      <c r="C507" s="28"/>
      <c r="D507" s="28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 x14ac:dyDescent="0.5">
      <c r="A508">
        <v>498</v>
      </c>
      <c r="B508">
        <f t="shared" si="34"/>
        <v>0</v>
      </c>
      <c r="C508" s="28"/>
      <c r="D508" s="28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 x14ac:dyDescent="0.5">
      <c r="A509">
        <v>499</v>
      </c>
      <c r="B509">
        <f t="shared" si="34"/>
        <v>0</v>
      </c>
      <c r="C509" s="28"/>
      <c r="D509" s="28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 x14ac:dyDescent="0.5">
      <c r="A510">
        <v>500</v>
      </c>
      <c r="B510">
        <f t="shared" si="34"/>
        <v>0</v>
      </c>
      <c r="C510" s="28"/>
      <c r="D510" s="28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 x14ac:dyDescent="0.5">
      <c r="A511">
        <v>501</v>
      </c>
      <c r="B511">
        <f t="shared" si="34"/>
        <v>0</v>
      </c>
      <c r="C511" s="28"/>
      <c r="D511" s="28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 x14ac:dyDescent="0.5">
      <c r="A512">
        <v>502</v>
      </c>
      <c r="B512">
        <f t="shared" si="34"/>
        <v>0</v>
      </c>
      <c r="C512" s="28"/>
      <c r="D512" s="28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 x14ac:dyDescent="0.5">
      <c r="A513">
        <v>503</v>
      </c>
      <c r="B513">
        <f t="shared" si="34"/>
        <v>0</v>
      </c>
      <c r="C513" s="28"/>
      <c r="D513" s="28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 x14ac:dyDescent="0.5">
      <c r="A514">
        <v>504</v>
      </c>
      <c r="B514">
        <f t="shared" si="34"/>
        <v>0</v>
      </c>
      <c r="C514" s="28"/>
      <c r="D514" s="28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 x14ac:dyDescent="0.5">
      <c r="A515">
        <v>505</v>
      </c>
      <c r="B515">
        <f t="shared" si="34"/>
        <v>0</v>
      </c>
      <c r="C515" s="28"/>
      <c r="D515" s="28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 x14ac:dyDescent="0.5">
      <c r="A516">
        <v>506</v>
      </c>
      <c r="B516">
        <f t="shared" si="34"/>
        <v>0</v>
      </c>
      <c r="C516" s="28"/>
      <c r="D516" s="28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 x14ac:dyDescent="0.5">
      <c r="A517">
        <v>507</v>
      </c>
      <c r="B517">
        <f t="shared" si="34"/>
        <v>0</v>
      </c>
      <c r="C517" s="28"/>
      <c r="D517" s="28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 x14ac:dyDescent="0.5">
      <c r="A518">
        <v>508</v>
      </c>
      <c r="B518">
        <f t="shared" si="34"/>
        <v>0</v>
      </c>
      <c r="C518" s="28"/>
      <c r="D518" s="28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 x14ac:dyDescent="0.5">
      <c r="A519">
        <v>509</v>
      </c>
      <c r="B519">
        <f t="shared" si="34"/>
        <v>0</v>
      </c>
      <c r="C519" s="28"/>
      <c r="D519" s="28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 x14ac:dyDescent="0.5">
      <c r="A520">
        <v>510</v>
      </c>
      <c r="B520">
        <f t="shared" si="34"/>
        <v>0</v>
      </c>
      <c r="C520" s="28"/>
      <c r="D520" s="28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 x14ac:dyDescent="0.5">
      <c r="A521">
        <v>511</v>
      </c>
      <c r="B521">
        <f t="shared" si="34"/>
        <v>0</v>
      </c>
      <c r="C521" s="28"/>
      <c r="D521" s="28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 x14ac:dyDescent="0.5">
      <c r="A522">
        <v>512</v>
      </c>
      <c r="B522">
        <f t="shared" si="34"/>
        <v>0</v>
      </c>
      <c r="C522" s="28"/>
      <c r="D522" s="28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 x14ac:dyDescent="0.5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 x14ac:dyDescent="0.5">
      <c r="A524">
        <v>514</v>
      </c>
      <c r="B524">
        <f t="shared" ref="B524:B587" si="38">C524/1000</f>
        <v>0</v>
      </c>
      <c r="C524" s="28"/>
      <c r="D524" s="28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 x14ac:dyDescent="0.5">
      <c r="A525">
        <v>515</v>
      </c>
      <c r="B525">
        <f t="shared" si="38"/>
        <v>0</v>
      </c>
      <c r="C525" s="28"/>
      <c r="D525" s="28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 x14ac:dyDescent="0.5">
      <c r="A526">
        <v>516</v>
      </c>
      <c r="B526">
        <f t="shared" si="38"/>
        <v>0</v>
      </c>
      <c r="C526" s="28"/>
      <c r="D526" s="28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 x14ac:dyDescent="0.5">
      <c r="A527">
        <v>517</v>
      </c>
      <c r="B527">
        <f t="shared" si="38"/>
        <v>0</v>
      </c>
      <c r="C527" s="28"/>
      <c r="D527" s="28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 x14ac:dyDescent="0.5">
      <c r="A528">
        <v>518</v>
      </c>
      <c r="B528">
        <f t="shared" si="38"/>
        <v>0</v>
      </c>
      <c r="C528" s="28"/>
      <c r="D528" s="28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 x14ac:dyDescent="0.5">
      <c r="A529">
        <v>519</v>
      </c>
      <c r="B529">
        <f t="shared" si="38"/>
        <v>0</v>
      </c>
      <c r="C529" s="28"/>
      <c r="D529" s="28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 x14ac:dyDescent="0.5">
      <c r="A530">
        <v>520</v>
      </c>
      <c r="B530">
        <f t="shared" si="38"/>
        <v>0</v>
      </c>
      <c r="C530" s="28"/>
      <c r="D530" s="28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 x14ac:dyDescent="0.5">
      <c r="A531">
        <v>521</v>
      </c>
      <c r="B531">
        <f t="shared" si="38"/>
        <v>0</v>
      </c>
      <c r="C531" s="28"/>
      <c r="D531" s="28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 x14ac:dyDescent="0.5">
      <c r="A532">
        <v>522</v>
      </c>
      <c r="B532">
        <f t="shared" si="38"/>
        <v>0</v>
      </c>
      <c r="C532" s="28"/>
      <c r="D532" s="28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 x14ac:dyDescent="0.5">
      <c r="A533">
        <v>523</v>
      </c>
      <c r="B533">
        <f t="shared" si="38"/>
        <v>0</v>
      </c>
      <c r="C533" s="28"/>
      <c r="D533" s="28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 x14ac:dyDescent="0.5">
      <c r="A534">
        <v>524</v>
      </c>
      <c r="B534">
        <f t="shared" si="38"/>
        <v>0</v>
      </c>
      <c r="C534" s="28"/>
      <c r="D534" s="28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 x14ac:dyDescent="0.5">
      <c r="A535">
        <v>525</v>
      </c>
      <c r="B535">
        <f t="shared" si="38"/>
        <v>0</v>
      </c>
      <c r="C535" s="28"/>
      <c r="D535" s="28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 x14ac:dyDescent="0.5">
      <c r="A536">
        <v>526</v>
      </c>
      <c r="B536">
        <f t="shared" si="38"/>
        <v>0</v>
      </c>
      <c r="C536" s="28"/>
      <c r="D536" s="28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 x14ac:dyDescent="0.5">
      <c r="A537">
        <v>527</v>
      </c>
      <c r="B537">
        <f t="shared" si="38"/>
        <v>0</v>
      </c>
      <c r="C537" s="28"/>
      <c r="D537" s="28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 x14ac:dyDescent="0.5">
      <c r="A538">
        <v>528</v>
      </c>
      <c r="B538">
        <f t="shared" si="38"/>
        <v>0</v>
      </c>
      <c r="C538" s="28"/>
      <c r="D538" s="28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 x14ac:dyDescent="0.5">
      <c r="A539">
        <v>529</v>
      </c>
      <c r="B539">
        <f t="shared" si="38"/>
        <v>0</v>
      </c>
      <c r="C539" s="28"/>
      <c r="D539" s="28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 x14ac:dyDescent="0.5">
      <c r="A540">
        <v>530</v>
      </c>
      <c r="B540">
        <f t="shared" si="38"/>
        <v>0</v>
      </c>
      <c r="C540" s="28"/>
      <c r="D540" s="28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 x14ac:dyDescent="0.5">
      <c r="A541">
        <v>531</v>
      </c>
      <c r="B541">
        <f t="shared" si="38"/>
        <v>0</v>
      </c>
      <c r="C541" s="28"/>
      <c r="D541" s="28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 x14ac:dyDescent="0.5">
      <c r="A542">
        <v>532</v>
      </c>
      <c r="B542">
        <f t="shared" si="38"/>
        <v>0</v>
      </c>
      <c r="C542" s="28"/>
      <c r="D542" s="28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 x14ac:dyDescent="0.5">
      <c r="A543">
        <v>533</v>
      </c>
      <c r="B543">
        <f t="shared" si="38"/>
        <v>0</v>
      </c>
      <c r="C543" s="28"/>
      <c r="D543" s="28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 x14ac:dyDescent="0.5">
      <c r="A544">
        <v>534</v>
      </c>
      <c r="B544">
        <f t="shared" si="38"/>
        <v>0</v>
      </c>
      <c r="C544" s="28"/>
      <c r="D544" s="28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 x14ac:dyDescent="0.5">
      <c r="A545">
        <v>535</v>
      </c>
      <c r="B545">
        <f t="shared" si="38"/>
        <v>0</v>
      </c>
      <c r="C545" s="28"/>
      <c r="D545" s="28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 x14ac:dyDescent="0.5">
      <c r="A546">
        <v>536</v>
      </c>
      <c r="B546">
        <f t="shared" si="38"/>
        <v>0</v>
      </c>
      <c r="C546" s="28"/>
      <c r="D546" s="28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 x14ac:dyDescent="0.5">
      <c r="A547">
        <v>537</v>
      </c>
      <c r="B547">
        <f t="shared" si="38"/>
        <v>0</v>
      </c>
      <c r="C547" s="28"/>
      <c r="D547" s="28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 x14ac:dyDescent="0.5">
      <c r="A548">
        <v>538</v>
      </c>
      <c r="B548">
        <f t="shared" si="38"/>
        <v>0</v>
      </c>
      <c r="C548" s="28"/>
      <c r="D548" s="28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 x14ac:dyDescent="0.5">
      <c r="A549">
        <v>539</v>
      </c>
      <c r="B549">
        <f t="shared" si="38"/>
        <v>0</v>
      </c>
      <c r="C549" s="28"/>
      <c r="D549" s="28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 x14ac:dyDescent="0.5">
      <c r="A550">
        <v>540</v>
      </c>
      <c r="B550">
        <f t="shared" si="38"/>
        <v>0</v>
      </c>
      <c r="C550" s="28"/>
      <c r="D550" s="28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 x14ac:dyDescent="0.5">
      <c r="A551">
        <v>541</v>
      </c>
      <c r="B551">
        <f t="shared" si="38"/>
        <v>0</v>
      </c>
      <c r="C551" s="28"/>
      <c r="D551" s="28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 x14ac:dyDescent="0.5">
      <c r="A552">
        <v>542</v>
      </c>
      <c r="B552">
        <f t="shared" si="38"/>
        <v>0</v>
      </c>
      <c r="C552" s="28"/>
      <c r="D552" s="28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 x14ac:dyDescent="0.5">
      <c r="A553">
        <v>543</v>
      </c>
      <c r="B553">
        <f t="shared" si="38"/>
        <v>0</v>
      </c>
      <c r="C553" s="28"/>
      <c r="D553" s="28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 x14ac:dyDescent="0.5">
      <c r="A554">
        <v>544</v>
      </c>
      <c r="B554">
        <f t="shared" si="38"/>
        <v>0</v>
      </c>
      <c r="C554" s="28"/>
      <c r="D554" s="28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 x14ac:dyDescent="0.5">
      <c r="A555">
        <v>545</v>
      </c>
      <c r="B555">
        <f t="shared" si="38"/>
        <v>0</v>
      </c>
      <c r="C555" s="28"/>
      <c r="D555" s="28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 x14ac:dyDescent="0.5">
      <c r="A556">
        <v>546</v>
      </c>
      <c r="B556">
        <f t="shared" si="38"/>
        <v>0</v>
      </c>
      <c r="C556" s="28"/>
      <c r="D556" s="28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 x14ac:dyDescent="0.5">
      <c r="A557">
        <v>547</v>
      </c>
      <c r="B557">
        <f t="shared" si="38"/>
        <v>0</v>
      </c>
      <c r="C557" s="28"/>
      <c r="D557" s="28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 x14ac:dyDescent="0.5">
      <c r="A558">
        <v>548</v>
      </c>
      <c r="B558">
        <f t="shared" si="38"/>
        <v>0</v>
      </c>
      <c r="C558" s="28"/>
      <c r="D558" s="28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 x14ac:dyDescent="0.5">
      <c r="A559">
        <v>549</v>
      </c>
      <c r="B559">
        <f t="shared" si="38"/>
        <v>0</v>
      </c>
      <c r="C559" s="28"/>
      <c r="D559" s="28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 x14ac:dyDescent="0.5">
      <c r="A560">
        <v>550</v>
      </c>
      <c r="B560">
        <f t="shared" si="38"/>
        <v>0</v>
      </c>
      <c r="C560" s="28"/>
      <c r="D560" s="28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 x14ac:dyDescent="0.5">
      <c r="A561">
        <v>551</v>
      </c>
      <c r="B561">
        <f t="shared" si="38"/>
        <v>0</v>
      </c>
      <c r="C561" s="28"/>
      <c r="D561" s="28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 x14ac:dyDescent="0.5">
      <c r="A562">
        <v>552</v>
      </c>
      <c r="B562">
        <f t="shared" si="38"/>
        <v>0</v>
      </c>
      <c r="C562" s="28"/>
      <c r="D562" s="28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 x14ac:dyDescent="0.5">
      <c r="A563">
        <v>553</v>
      </c>
      <c r="B563">
        <f t="shared" si="38"/>
        <v>0</v>
      </c>
      <c r="C563" s="28"/>
      <c r="D563" s="28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 x14ac:dyDescent="0.5">
      <c r="A564">
        <v>554</v>
      </c>
      <c r="B564">
        <f t="shared" si="38"/>
        <v>0</v>
      </c>
      <c r="C564" s="28"/>
      <c r="D564" s="28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 x14ac:dyDescent="0.5">
      <c r="A565">
        <v>555</v>
      </c>
      <c r="B565">
        <f t="shared" si="38"/>
        <v>0</v>
      </c>
      <c r="C565" s="28"/>
      <c r="D565" s="28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 x14ac:dyDescent="0.5">
      <c r="A566">
        <v>556</v>
      </c>
      <c r="B566">
        <f t="shared" si="38"/>
        <v>0</v>
      </c>
      <c r="C566" s="28"/>
      <c r="D566" s="28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 x14ac:dyDescent="0.5">
      <c r="A567">
        <v>557</v>
      </c>
      <c r="B567">
        <f t="shared" si="38"/>
        <v>0</v>
      </c>
      <c r="C567" s="28"/>
      <c r="D567" s="28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 x14ac:dyDescent="0.5">
      <c r="A568">
        <v>558</v>
      </c>
      <c r="B568">
        <f t="shared" si="38"/>
        <v>0</v>
      </c>
      <c r="C568" s="28"/>
      <c r="D568" s="28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 x14ac:dyDescent="0.5">
      <c r="A569">
        <v>559</v>
      </c>
      <c r="B569">
        <f t="shared" si="38"/>
        <v>0</v>
      </c>
      <c r="C569" s="28"/>
      <c r="D569" s="28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 x14ac:dyDescent="0.5">
      <c r="A570">
        <v>560</v>
      </c>
      <c r="B570">
        <f t="shared" si="38"/>
        <v>0</v>
      </c>
      <c r="C570" s="28"/>
      <c r="D570" s="28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 x14ac:dyDescent="0.5">
      <c r="A571">
        <v>561</v>
      </c>
      <c r="B571">
        <f t="shared" si="38"/>
        <v>0</v>
      </c>
      <c r="C571" s="28"/>
      <c r="D571" s="28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 x14ac:dyDescent="0.5">
      <c r="A572">
        <v>562</v>
      </c>
      <c r="B572">
        <f t="shared" si="38"/>
        <v>0</v>
      </c>
      <c r="C572" s="28"/>
      <c r="D572" s="28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 x14ac:dyDescent="0.5">
      <c r="A573">
        <v>563</v>
      </c>
      <c r="B573">
        <f t="shared" si="38"/>
        <v>0</v>
      </c>
      <c r="C573" s="28"/>
      <c r="D573" s="28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 x14ac:dyDescent="0.5">
      <c r="A574">
        <v>564</v>
      </c>
      <c r="B574">
        <f t="shared" si="38"/>
        <v>0</v>
      </c>
      <c r="C574" s="28"/>
      <c r="D574" s="28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 x14ac:dyDescent="0.5">
      <c r="A575">
        <v>565</v>
      </c>
      <c r="B575">
        <f t="shared" si="38"/>
        <v>0</v>
      </c>
      <c r="C575" s="28"/>
      <c r="D575" s="28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 x14ac:dyDescent="0.5">
      <c r="A576">
        <v>566</v>
      </c>
      <c r="B576">
        <f t="shared" si="38"/>
        <v>0</v>
      </c>
      <c r="C576" s="28"/>
      <c r="D576" s="28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 x14ac:dyDescent="0.5">
      <c r="A577">
        <v>567</v>
      </c>
      <c r="B577">
        <f t="shared" si="38"/>
        <v>0</v>
      </c>
      <c r="C577" s="28"/>
      <c r="D577" s="28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 x14ac:dyDescent="0.5">
      <c r="A578">
        <v>568</v>
      </c>
      <c r="B578">
        <f t="shared" si="38"/>
        <v>0</v>
      </c>
      <c r="C578" s="28"/>
      <c r="D578" s="28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 x14ac:dyDescent="0.5">
      <c r="A579">
        <v>569</v>
      </c>
      <c r="B579">
        <f t="shared" si="38"/>
        <v>0</v>
      </c>
      <c r="C579" s="28"/>
      <c r="D579" s="28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 x14ac:dyDescent="0.5">
      <c r="A580">
        <v>570</v>
      </c>
      <c r="B580">
        <f t="shared" si="38"/>
        <v>0</v>
      </c>
      <c r="C580" s="28"/>
      <c r="D580" s="28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 x14ac:dyDescent="0.5">
      <c r="A581">
        <v>571</v>
      </c>
      <c r="B581">
        <f t="shared" si="38"/>
        <v>0</v>
      </c>
      <c r="C581" s="28"/>
      <c r="D581" s="28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 x14ac:dyDescent="0.5">
      <c r="A582">
        <v>572</v>
      </c>
      <c r="B582">
        <f t="shared" si="38"/>
        <v>0</v>
      </c>
      <c r="C582" s="28"/>
      <c r="D582" s="28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 x14ac:dyDescent="0.5">
      <c r="A583">
        <v>573</v>
      </c>
      <c r="B583">
        <f t="shared" si="38"/>
        <v>0</v>
      </c>
      <c r="C583" s="28"/>
      <c r="D583" s="28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 x14ac:dyDescent="0.5">
      <c r="A584">
        <v>574</v>
      </c>
      <c r="B584">
        <f t="shared" si="38"/>
        <v>0</v>
      </c>
      <c r="C584" s="28"/>
      <c r="D584" s="28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 x14ac:dyDescent="0.5">
      <c r="A585">
        <v>575</v>
      </c>
      <c r="B585">
        <f t="shared" si="38"/>
        <v>0</v>
      </c>
      <c r="C585" s="28"/>
      <c r="D585" s="28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 x14ac:dyDescent="0.5">
      <c r="A586">
        <v>576</v>
      </c>
      <c r="B586">
        <f t="shared" si="38"/>
        <v>0</v>
      </c>
      <c r="C586" s="28"/>
      <c r="D586" s="28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 x14ac:dyDescent="0.5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 x14ac:dyDescent="0.5">
      <c r="A588">
        <v>578</v>
      </c>
      <c r="B588">
        <f t="shared" ref="B588:B610" si="42">C588/1000</f>
        <v>0</v>
      </c>
      <c r="C588" s="28"/>
      <c r="D588" s="28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 x14ac:dyDescent="0.5">
      <c r="A589">
        <v>579</v>
      </c>
      <c r="B589">
        <f t="shared" si="42"/>
        <v>0</v>
      </c>
      <c r="C589" s="28"/>
      <c r="D589" s="28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 x14ac:dyDescent="0.5">
      <c r="A590">
        <v>580</v>
      </c>
      <c r="B590">
        <f t="shared" si="42"/>
        <v>0</v>
      </c>
      <c r="C590" s="28"/>
      <c r="D590" s="28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 x14ac:dyDescent="0.5">
      <c r="A591">
        <v>581</v>
      </c>
      <c r="B591">
        <f t="shared" si="42"/>
        <v>0</v>
      </c>
      <c r="C591" s="28"/>
      <c r="D591" s="28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 x14ac:dyDescent="0.5">
      <c r="A592">
        <v>582</v>
      </c>
      <c r="B592">
        <f t="shared" si="42"/>
        <v>0</v>
      </c>
      <c r="C592" s="28"/>
      <c r="D592" s="28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 x14ac:dyDescent="0.5">
      <c r="A593">
        <v>583</v>
      </c>
      <c r="B593">
        <f t="shared" si="42"/>
        <v>0</v>
      </c>
      <c r="C593" s="28"/>
      <c r="D593" s="28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 x14ac:dyDescent="0.5">
      <c r="A594">
        <v>584</v>
      </c>
      <c r="B594">
        <f t="shared" si="42"/>
        <v>0</v>
      </c>
      <c r="C594" s="28"/>
      <c r="D594" s="28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 x14ac:dyDescent="0.5">
      <c r="A595">
        <v>585</v>
      </c>
      <c r="B595">
        <f t="shared" si="42"/>
        <v>0</v>
      </c>
      <c r="C595" s="28"/>
      <c r="D595" s="28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 x14ac:dyDescent="0.5">
      <c r="A596">
        <v>586</v>
      </c>
      <c r="B596">
        <f t="shared" si="42"/>
        <v>0</v>
      </c>
      <c r="C596" s="28"/>
      <c r="D596" s="28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 x14ac:dyDescent="0.5">
      <c r="A597">
        <v>587</v>
      </c>
      <c r="B597">
        <f t="shared" si="42"/>
        <v>0</v>
      </c>
      <c r="C597" s="28"/>
      <c r="D597" s="28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 x14ac:dyDescent="0.5">
      <c r="A598">
        <v>588</v>
      </c>
      <c r="B598">
        <f t="shared" si="42"/>
        <v>0</v>
      </c>
      <c r="C598" s="28"/>
      <c r="D598" s="28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 x14ac:dyDescent="0.5">
      <c r="A599">
        <v>589</v>
      </c>
      <c r="B599">
        <f t="shared" si="42"/>
        <v>0</v>
      </c>
      <c r="C599" s="28"/>
      <c r="D599" s="28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 x14ac:dyDescent="0.5">
      <c r="A600">
        <v>590</v>
      </c>
      <c r="B600">
        <f t="shared" si="42"/>
        <v>0</v>
      </c>
      <c r="C600" s="28"/>
      <c r="D600" s="28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 x14ac:dyDescent="0.5">
      <c r="A601">
        <v>591</v>
      </c>
      <c r="B601">
        <f t="shared" si="42"/>
        <v>0</v>
      </c>
      <c r="C601" s="28"/>
      <c r="D601" s="28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 x14ac:dyDescent="0.5">
      <c r="A602">
        <v>592</v>
      </c>
      <c r="B602">
        <f t="shared" si="42"/>
        <v>0</v>
      </c>
      <c r="C602" s="28"/>
      <c r="D602" s="28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 x14ac:dyDescent="0.5">
      <c r="A603">
        <v>593</v>
      </c>
      <c r="B603">
        <f t="shared" si="42"/>
        <v>0</v>
      </c>
      <c r="C603" s="28"/>
      <c r="D603" s="28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 x14ac:dyDescent="0.5">
      <c r="A604">
        <v>594</v>
      </c>
      <c r="B604">
        <f t="shared" si="42"/>
        <v>0</v>
      </c>
      <c r="C604" s="28"/>
      <c r="D604" s="28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 x14ac:dyDescent="0.5">
      <c r="A605">
        <v>595</v>
      </c>
      <c r="B605">
        <f t="shared" si="42"/>
        <v>0</v>
      </c>
      <c r="C605" s="28"/>
      <c r="D605" s="28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 x14ac:dyDescent="0.5">
      <c r="A606">
        <v>596</v>
      </c>
      <c r="B606">
        <f t="shared" si="42"/>
        <v>0</v>
      </c>
      <c r="C606" s="28"/>
      <c r="D606" s="28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 x14ac:dyDescent="0.5">
      <c r="A607">
        <v>597</v>
      </c>
      <c r="B607">
        <f t="shared" si="42"/>
        <v>0</v>
      </c>
      <c r="C607" s="28"/>
      <c r="D607" s="28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 x14ac:dyDescent="0.5">
      <c r="A608">
        <v>598</v>
      </c>
      <c r="B608">
        <f t="shared" si="42"/>
        <v>0</v>
      </c>
      <c r="C608" s="28"/>
      <c r="D608" s="28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 x14ac:dyDescent="0.5">
      <c r="A609">
        <v>599</v>
      </c>
      <c r="B609">
        <f t="shared" si="42"/>
        <v>0</v>
      </c>
      <c r="C609" s="28"/>
      <c r="D609" s="28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 x14ac:dyDescent="0.5">
      <c r="A610">
        <v>600</v>
      </c>
      <c r="B610">
        <f t="shared" si="42"/>
        <v>0</v>
      </c>
      <c r="C610" s="28"/>
      <c r="D610" s="28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LoadAngle1">
          <controlPr defaultSize="0" autoLine="0" r:id="rId4">
            <anchor moveWithCells="1">
              <from>
                <xdr:col>15</xdr:col>
                <xdr:colOff>0</xdr:colOff>
                <xdr:row>2</xdr:row>
                <xdr:rowOff>177800</xdr:rowOff>
              </from>
              <to>
                <xdr:col>16</xdr:col>
                <xdr:colOff>457200</xdr:colOff>
                <xdr:row>5</xdr:row>
                <xdr:rowOff>67733</xdr:rowOff>
              </to>
            </anchor>
          </controlPr>
        </control>
      </mc:Choice>
      <mc:Fallback>
        <control shapeId="5121" r:id="rId3" name="cmdLoadAngle1"/>
      </mc:Fallback>
    </mc:AlternateContent>
    <mc:AlternateContent xmlns:mc="http://schemas.openxmlformats.org/markup-compatibility/2006">
      <mc:Choice Requires="x14">
        <control shapeId="5122" r:id="rId5" name="cmdLoadAngle2">
          <controlPr defaultSize="0" autoLine="0" r:id="rId6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465667</xdr:colOff>
                <xdr:row>10</xdr:row>
                <xdr:rowOff>97367</xdr:rowOff>
              </to>
            </anchor>
          </controlPr>
        </control>
      </mc:Choice>
      <mc:Fallback>
        <control shapeId="5122" r:id="rId5" name="cmdLoadAngle2"/>
      </mc:Fallback>
    </mc:AlternateContent>
    <mc:AlternateContent xmlns:mc="http://schemas.openxmlformats.org/markup-compatibility/2006">
      <mc:Choice Requires="x14">
        <control shapeId="5123" r:id="rId7" name="cmdLoadAngle3">
          <controlPr defaultSize="0" autoLine="0" r:id="rId8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465667</xdr:colOff>
                <xdr:row>15</xdr:row>
                <xdr:rowOff>122767</xdr:rowOff>
              </to>
            </anchor>
          </controlPr>
        </control>
      </mc:Choice>
      <mc:Fallback>
        <control shapeId="5123" r:id="rId7" name="cmdLoadAngle3"/>
      </mc:Fallback>
    </mc:AlternateContent>
    <mc:AlternateContent xmlns:mc="http://schemas.openxmlformats.org/markup-compatibility/2006">
      <mc:Choice Requires="x14">
        <control shapeId="5124" r:id="rId9" name="cmdLoadAngle4">
          <controlPr defaultSize="0" autoLine="0" r:id="rId10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465667</xdr:colOff>
                <xdr:row>20</xdr:row>
                <xdr:rowOff>122767</xdr:rowOff>
              </to>
            </anchor>
          </controlPr>
        </control>
      </mc:Choice>
      <mc:Fallback>
        <control shapeId="5124" r:id="rId9" name="cmdLoadAngle4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465667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6" r:id="rId13" name="cmdLoadAngle6">
          <controlPr defaultSize="0" autoLine="0" r:id="rId14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465667</xdr:colOff>
                <xdr:row>30</xdr:row>
                <xdr:rowOff>122767</xdr:rowOff>
              </to>
            </anchor>
          </controlPr>
        </control>
      </mc:Choice>
      <mc:Fallback>
        <control shapeId="5126" r:id="rId13" name="cmdLoadAngle6"/>
      </mc:Fallback>
    </mc:AlternateContent>
    <mc:AlternateContent xmlns:mc="http://schemas.openxmlformats.org/markup-compatibility/2006">
      <mc:Choice Requires="x14">
        <control shapeId="5127" r:id="rId15" name="cmdLoadAngle7">
          <controlPr defaultSize="0" autoLine="0" r:id="rId16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465667</xdr:colOff>
                <xdr:row>35</xdr:row>
                <xdr:rowOff>122767</xdr:rowOff>
              </to>
            </anchor>
          </controlPr>
        </control>
      </mc:Choice>
      <mc:Fallback>
        <control shapeId="5127" r:id="rId15" name="cmdLoadAngle7"/>
      </mc:Fallback>
    </mc:AlternateContent>
    <mc:AlternateContent xmlns:mc="http://schemas.openxmlformats.org/markup-compatibility/2006">
      <mc:Choice Requires="x14">
        <control shapeId="5128" r:id="rId17" name="cmdLoadAngle8">
          <controlPr defaultSize="0" autoLine="0" r:id="rId18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465667</xdr:colOff>
                <xdr:row>40</xdr:row>
                <xdr:rowOff>122767</xdr:rowOff>
              </to>
            </anchor>
          </controlPr>
        </control>
      </mc:Choice>
      <mc:Fallback>
        <control shapeId="5128" r:id="rId17" name="cmdLoadAngle8"/>
      </mc:Fallback>
    </mc:AlternateContent>
    <mc:AlternateContent xmlns:mc="http://schemas.openxmlformats.org/markup-compatibility/2006">
      <mc:Choice Requires="x14">
        <control shapeId="5129" r:id="rId19" name="cmdResetMexpSheet">
          <controlPr defaultSize="0" autoLine="0" r:id="rId20">
            <anchor moveWithCells="1">
              <from>
                <xdr:col>11</xdr:col>
                <xdr:colOff>211667</xdr:colOff>
                <xdr:row>2</xdr:row>
                <xdr:rowOff>173567</xdr:rowOff>
              </from>
              <to>
                <xdr:col>13</xdr:col>
                <xdr:colOff>8467</xdr:colOff>
                <xdr:row>5</xdr:row>
                <xdr:rowOff>143933</xdr:rowOff>
              </to>
            </anchor>
          </controlPr>
        </control>
      </mc:Choice>
      <mc:Fallback>
        <control shapeId="5129" r:id="rId19" name="cmdResetMexpShee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D11" sqref="D11"/>
    </sheetView>
  </sheetViews>
  <sheetFormatPr defaultRowHeight="14.35" x14ac:dyDescent="0.5"/>
  <cols>
    <col min="1" max="1" width="17.3515625" customWidth="1"/>
    <col min="3" max="3" width="11" bestFit="1" customWidth="1"/>
  </cols>
  <sheetData>
    <row r="3" spans="1:3" ht="16.350000000000001" x14ac:dyDescent="0.5">
      <c r="A3" t="s">
        <v>95</v>
      </c>
      <c r="B3" s="42">
        <v>1.38E-16</v>
      </c>
    </row>
    <row r="4" spans="1:3" x14ac:dyDescent="0.5">
      <c r="A4" t="s">
        <v>10</v>
      </c>
      <c r="B4" s="2">
        <v>6328</v>
      </c>
      <c r="C4" s="41">
        <f>B4/100000000</f>
        <v>6.3280000000000004E-5</v>
      </c>
    </row>
    <row r="5" spans="1:3" x14ac:dyDescent="0.5">
      <c r="A5" t="s">
        <v>11</v>
      </c>
      <c r="B5" s="2">
        <v>1.33</v>
      </c>
    </row>
    <row r="6" spans="1:3" ht="16.350000000000001" x14ac:dyDescent="0.5">
      <c r="A6" t="s">
        <v>96</v>
      </c>
      <c r="B6" s="2">
        <v>0.89039999999999997</v>
      </c>
      <c r="C6" s="41">
        <f>EtaCP/100</f>
        <v>8.9040000000000005E-3</v>
      </c>
    </row>
    <row r="7" spans="1:3" x14ac:dyDescent="0.5">
      <c r="A7" t="s">
        <v>85</v>
      </c>
      <c r="B7" s="2">
        <v>25</v>
      </c>
    </row>
    <row r="8" spans="1:3" x14ac:dyDescent="0.5">
      <c r="A8" t="s">
        <v>86</v>
      </c>
      <c r="B8" s="41">
        <f>273.15+B7</f>
        <v>298.14999999999998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DesignNotes</vt:lpstr>
      <vt:lpstr>Instructions</vt:lpstr>
      <vt:lpstr>Main</vt:lpstr>
      <vt:lpstr>GammaVsQ2</vt:lpstr>
      <vt:lpstr>ForExport</vt:lpstr>
      <vt:lpstr>MEXP</vt:lpstr>
      <vt:lpstr>Parameters</vt:lpstr>
      <vt:lpstr>ampl1</vt:lpstr>
      <vt:lpstr>ampl2</vt:lpstr>
      <vt:lpstr>ampl3</vt:lpstr>
      <vt:lpstr>BaseAdjust</vt:lpstr>
      <vt:lpstr>EtaCP</vt:lpstr>
      <vt:lpstr>EtaP</vt:lpstr>
      <vt:lpstr>FirstChanUsed</vt:lpstr>
      <vt:lpstr>gamma1</vt:lpstr>
      <vt:lpstr>gamma2</vt:lpstr>
      <vt:lpstr>gamma3</vt:lpstr>
      <vt:lpstr>kBoltz</vt:lpstr>
      <vt:lpstr>LamCM</vt:lpstr>
      <vt:lpstr>LastChanUsed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2022-06-14T17:30:01Z</dcterms:modified>
</cp:coreProperties>
</file>