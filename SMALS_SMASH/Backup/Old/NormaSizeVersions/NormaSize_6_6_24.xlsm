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0" codeName="{3D1A710C-6663-3D7B-7F91-EC182F24A4BC}"/>
  <workbookPr filterPrivacy="1" codeName="ThisWorkbook"/>
  <xr:revisionPtr revIDLastSave="0" documentId="13_ncr:1_{F4A7071E-0F25-412C-AED1-00DBCD0154FD}" xr6:coauthVersionLast="36" xr6:coauthVersionMax="36" xr10:uidLastSave="{00000000-0000-0000-0000-000000000000}"/>
  <bookViews>
    <workbookView xWindow="0" yWindow="0" windowWidth="22260" windowHeight="12645" tabRatio="808" firstSheet="5" activeTab="14" xr2:uid="{00000000-000D-0000-FFFF-FFFF00000000}"/>
  </bookViews>
  <sheets>
    <sheet name="Development notes" sheetId="6" r:id="rId1"/>
    <sheet name="Instructions &amp; Notes" sheetId="3" r:id="rId2"/>
    <sheet name="Parameters" sheetId="2" r:id="rId3"/>
    <sheet name="ConcData" sheetId="24" r:id="rId4"/>
    <sheet name="NormStandard" sheetId="1" r:id="rId5"/>
    <sheet name="Conc1" sheetId="4" r:id="rId6"/>
    <sheet name="Conc2" sheetId="10" r:id="rId7"/>
    <sheet name="Conc3" sheetId="19" r:id="rId8"/>
    <sheet name="Conc4" sheetId="18" r:id="rId9"/>
    <sheet name="Conc5" sheetId="20" r:id="rId10"/>
    <sheet name="Conc6" sheetId="21" r:id="rId11"/>
    <sheet name="Conc7" sheetId="22" r:id="rId12"/>
    <sheet name="Conc8" sheetId="23" r:id="rId13"/>
    <sheet name="Guinier+SphereFit1" sheetId="7" r:id="rId14"/>
    <sheet name="ZimmPrep" sheetId="8" r:id="rId15"/>
    <sheet name="ForNonZimm" sheetId="9" r:id="rId16"/>
    <sheet name="4ConcText" sheetId="25" r:id="rId17"/>
  </sheets>
  <definedNames>
    <definedName name="CalStd">Parameters!$G$2</definedName>
    <definedName name="Dens1">ConcData!$B$7</definedName>
    <definedName name="dndc">Parameters!$B$9</definedName>
    <definedName name="Exponentm">Parameters!$A$3</definedName>
    <definedName name="Guinslope">'Guinier+SphereFit1'!$N$24</definedName>
    <definedName name="Guintercept">'Guinier+SphereFit1'!$N$23</definedName>
    <definedName name="I90Std">Parameters!$G$4</definedName>
    <definedName name="Izero">'Guinier+SphereFit1'!$N$30</definedName>
    <definedName name="Koptical">Parameters!$B$10</definedName>
    <definedName name="kscale">ZimmPrep!$P$48</definedName>
    <definedName name="Lamcm" localSheetId="13">Parameters!$B$4</definedName>
    <definedName name="Lamcm">Parameters!$B$4</definedName>
    <definedName name="Lamnm" localSheetId="13">Parameters!$B$3</definedName>
    <definedName name="Lamnm">Parameters!$B$3</definedName>
    <definedName name="mExponent">Parameters!$B$7</definedName>
    <definedName name="MolWt">ZimmPrep!$Q$92</definedName>
    <definedName name="RadGy">ZimmPrep!$Q$94</definedName>
    <definedName name="RayFacToluene">Parameters!$B$8</definedName>
    <definedName name="RayFactorStd">Parameters!$G$3</definedName>
    <definedName name="Refin" localSheetId="13">Parameters!$B$5</definedName>
    <definedName name="Refin">Parameters!$B$5</definedName>
    <definedName name="RefinRayleigh">Parameters!$B$6</definedName>
    <definedName name="Rgcm">ZimmPrep!$Q$95</definedName>
    <definedName name="Rgyration" localSheetId="13">NormStandard!$K$8</definedName>
    <definedName name="Rgyration">NormStandard!$K$8</definedName>
    <definedName name="Rhydro">NormStandard!$K$7</definedName>
    <definedName name="Rsphere">'Guinier+SphereFit1'!$N$31</definedName>
    <definedName name="Solvent">Parameters!$B$2</definedName>
    <definedName name="solver_adj" localSheetId="13" hidden="1">'Guinier+SphereFit1'!$N$30:$N$31</definedName>
    <definedName name="solver_adj" localSheetId="14" hidden="1">ZimmPrep!$Q$92:$Q$94</definedName>
    <definedName name="solver_cvg" localSheetId="13" hidden="1">0.0001</definedName>
    <definedName name="solver_cvg" localSheetId="14" hidden="1">0.0001</definedName>
    <definedName name="solver_drv" localSheetId="13" hidden="1">1</definedName>
    <definedName name="solver_drv" localSheetId="14" hidden="1">1</definedName>
    <definedName name="solver_eng" localSheetId="13" hidden="1">1</definedName>
    <definedName name="solver_eng" localSheetId="14" hidden="1">1</definedName>
    <definedName name="solver_est" localSheetId="13" hidden="1">1</definedName>
    <definedName name="solver_est" localSheetId="14" hidden="1">1</definedName>
    <definedName name="solver_itr" localSheetId="13" hidden="1">2147483647</definedName>
    <definedName name="solver_itr" localSheetId="14" hidden="1">2147483647</definedName>
    <definedName name="solver_lhs1" localSheetId="14" hidden="1">ZimmPrep!$Q$92</definedName>
    <definedName name="solver_lhs2" localSheetId="14" hidden="1">ZimmPrep!$Q$94</definedName>
    <definedName name="solver_lhs3" localSheetId="14" hidden="1">ZimmPrep!$Q$93</definedName>
    <definedName name="solver_mip" localSheetId="13" hidden="1">2147483647</definedName>
    <definedName name="solver_mip" localSheetId="14" hidden="1">2147483647</definedName>
    <definedName name="solver_mni" localSheetId="13" hidden="1">30</definedName>
    <definedName name="solver_mni" localSheetId="14" hidden="1">30</definedName>
    <definedName name="solver_mrt" localSheetId="13" hidden="1">0.075</definedName>
    <definedName name="solver_mrt" localSheetId="14" hidden="1">0.075</definedName>
    <definedName name="solver_msl" localSheetId="13" hidden="1">2</definedName>
    <definedName name="solver_msl" localSheetId="14" hidden="1">2</definedName>
    <definedName name="solver_neg" localSheetId="13" hidden="1">1</definedName>
    <definedName name="solver_neg" localSheetId="14" hidden="1">2</definedName>
    <definedName name="solver_nod" localSheetId="13" hidden="1">2147483647</definedName>
    <definedName name="solver_nod" localSheetId="14" hidden="1">2147483647</definedName>
    <definedName name="solver_num" localSheetId="13" hidden="1">0</definedName>
    <definedName name="solver_num" localSheetId="14" hidden="1">2</definedName>
    <definedName name="solver_nwt" localSheetId="13" hidden="1">1</definedName>
    <definedName name="solver_nwt" localSheetId="14" hidden="1">1</definedName>
    <definedName name="solver_opt" localSheetId="13" hidden="1">'Guinier+SphereFit1'!$K$46</definedName>
    <definedName name="solver_opt" localSheetId="14" hidden="1">ZimmPrep!$Q$99</definedName>
    <definedName name="solver_pre" localSheetId="13" hidden="1">0.000001</definedName>
    <definedName name="solver_pre" localSheetId="14" hidden="1">0.000001</definedName>
    <definedName name="solver_rbv" localSheetId="13" hidden="1">1</definedName>
    <definedName name="solver_rbv" localSheetId="14" hidden="1">1</definedName>
    <definedName name="solver_rel1" localSheetId="14" hidden="1">3</definedName>
    <definedName name="solver_rel2" localSheetId="14" hidden="1">3</definedName>
    <definedName name="solver_rel3" localSheetId="14" hidden="1">3</definedName>
    <definedName name="solver_rhs1" localSheetId="14" hidden="1">10</definedName>
    <definedName name="solver_rhs2" localSheetId="14" hidden="1">1</definedName>
    <definedName name="solver_rhs3" localSheetId="14" hidden="1">10</definedName>
    <definedName name="solver_rlx" localSheetId="13" hidden="1">2</definedName>
    <definedName name="solver_rlx" localSheetId="14" hidden="1">2</definedName>
    <definedName name="solver_rsd" localSheetId="13" hidden="1">0</definedName>
    <definedName name="solver_rsd" localSheetId="14" hidden="1">0</definedName>
    <definedName name="solver_scl" localSheetId="13" hidden="1">1</definedName>
    <definedName name="solver_scl" localSheetId="14" hidden="1">1</definedName>
    <definedName name="solver_sho" localSheetId="13" hidden="1">2</definedName>
    <definedName name="solver_sho" localSheetId="14" hidden="1">2</definedName>
    <definedName name="solver_ssz" localSheetId="13" hidden="1">100</definedName>
    <definedName name="solver_ssz" localSheetId="14" hidden="1">100</definedName>
    <definedName name="solver_tim" localSheetId="13" hidden="1">2147483647</definedName>
    <definedName name="solver_tim" localSheetId="14" hidden="1">2147483647</definedName>
    <definedName name="solver_tol" localSheetId="13" hidden="1">0.01</definedName>
    <definedName name="solver_tol" localSheetId="14" hidden="1">0.01</definedName>
    <definedName name="solver_typ" localSheetId="13" hidden="1">2</definedName>
    <definedName name="solver_typ" localSheetId="14" hidden="1">2</definedName>
    <definedName name="solver_val" localSheetId="13" hidden="1">0</definedName>
    <definedName name="solver_val" localSheetId="14" hidden="1">0</definedName>
    <definedName name="solver_ver" localSheetId="13" hidden="1">3</definedName>
    <definedName name="solver_ver" localSheetId="14" hidden="1">3</definedName>
    <definedName name="v2bar">ConcData!$B$5</definedName>
    <definedName name="Virial2">ZimmPrep!$Q$93</definedName>
    <definedName name="VolExponent">Parameters!$G$5</definedName>
  </definedNames>
  <calcPr calcId="191029"/>
</workbook>
</file>

<file path=xl/calcChain.xml><?xml version="1.0" encoding="utf-8"?>
<calcChain xmlns="http://schemas.openxmlformats.org/spreadsheetml/2006/main">
  <c r="G116" i="8" l="1"/>
  <c r="H116" i="8"/>
  <c r="I116" i="8"/>
  <c r="J116" i="8"/>
  <c r="K116" i="8"/>
  <c r="L116" i="8"/>
  <c r="M116" i="8"/>
  <c r="G125" i="8"/>
  <c r="H125" i="8"/>
  <c r="I125" i="8"/>
  <c r="J125" i="8"/>
  <c r="K125" i="8"/>
  <c r="L125" i="8"/>
  <c r="M125" i="8"/>
  <c r="F116" i="8"/>
  <c r="F125" i="8"/>
  <c r="B98" i="8"/>
  <c r="B99" i="8"/>
  <c r="B100" i="8"/>
  <c r="B101" i="8"/>
  <c r="B102" i="8"/>
  <c r="B103" i="8"/>
  <c r="B104" i="8"/>
  <c r="B105" i="8"/>
  <c r="B106" i="8"/>
  <c r="B107" i="8"/>
  <c r="B108" i="8"/>
  <c r="B109" i="8"/>
  <c r="B110" i="8"/>
  <c r="B111" i="8"/>
  <c r="B95" i="8"/>
  <c r="B96" i="8"/>
  <c r="B97" i="8"/>
  <c r="B94" i="8"/>
  <c r="Q95" i="8"/>
  <c r="I108" i="8" s="1"/>
  <c r="I127" i="8" s="1"/>
  <c r="E83" i="8"/>
  <c r="E74" i="8"/>
  <c r="E95" i="8"/>
  <c r="E96" i="8"/>
  <c r="E97" i="8"/>
  <c r="E98" i="8"/>
  <c r="E99" i="8"/>
  <c r="E100" i="8"/>
  <c r="E101" i="8"/>
  <c r="E102" i="8"/>
  <c r="E103" i="8"/>
  <c r="E104" i="8"/>
  <c r="E105" i="8"/>
  <c r="E106" i="8"/>
  <c r="E107" i="8"/>
  <c r="E108" i="8"/>
  <c r="E109" i="8"/>
  <c r="E110" i="8"/>
  <c r="E111" i="8"/>
  <c r="E94" i="8"/>
  <c r="C95" i="8"/>
  <c r="C96" i="8"/>
  <c r="C97" i="8"/>
  <c r="C98" i="8"/>
  <c r="C99" i="8"/>
  <c r="C100" i="8"/>
  <c r="C101" i="8"/>
  <c r="C102" i="8"/>
  <c r="C103" i="8"/>
  <c r="C104" i="8"/>
  <c r="C105" i="8"/>
  <c r="C106" i="8"/>
  <c r="C107" i="8"/>
  <c r="C108" i="8"/>
  <c r="C109" i="8"/>
  <c r="C110" i="8"/>
  <c r="C111" i="8"/>
  <c r="C94" i="8"/>
  <c r="M93" i="8"/>
  <c r="L93" i="8"/>
  <c r="K93" i="8"/>
  <c r="J93" i="8"/>
  <c r="I93" i="8"/>
  <c r="H93" i="8"/>
  <c r="G93" i="8"/>
  <c r="F93" i="8"/>
  <c r="F30" i="8"/>
  <c r="F52" i="8" s="1"/>
  <c r="K95" i="8" l="1"/>
  <c r="K114" i="8" s="1"/>
  <c r="I98" i="8"/>
  <c r="I117" i="8" s="1"/>
  <c r="H105" i="8"/>
  <c r="H124" i="8" s="1"/>
  <c r="L103" i="8"/>
  <c r="L122" i="8" s="1"/>
  <c r="H102" i="8"/>
  <c r="H121" i="8" s="1"/>
  <c r="L100" i="8"/>
  <c r="L119" i="8" s="1"/>
  <c r="I107" i="8"/>
  <c r="I126" i="8" s="1"/>
  <c r="L110" i="8"/>
  <c r="L129" i="8" s="1"/>
  <c r="H109" i="8"/>
  <c r="H128" i="8" s="1"/>
  <c r="F94" i="8"/>
  <c r="F113" i="8" s="1"/>
  <c r="J94" i="8"/>
  <c r="J113" i="8" s="1"/>
  <c r="F95" i="8"/>
  <c r="F114" i="8" s="1"/>
  <c r="J95" i="8"/>
  <c r="J114" i="8" s="1"/>
  <c r="M96" i="8"/>
  <c r="M115" i="8" s="1"/>
  <c r="I96" i="8"/>
  <c r="I115" i="8" s="1"/>
  <c r="L98" i="8"/>
  <c r="L117" i="8" s="1"/>
  <c r="H98" i="8"/>
  <c r="H117" i="8" s="1"/>
  <c r="L99" i="8"/>
  <c r="L118" i="8" s="1"/>
  <c r="H99" i="8"/>
  <c r="H118" i="8" s="1"/>
  <c r="K105" i="8"/>
  <c r="K124" i="8" s="1"/>
  <c r="G105" i="8"/>
  <c r="G124" i="8" s="1"/>
  <c r="K104" i="8"/>
  <c r="K123" i="8" s="1"/>
  <c r="G104" i="8"/>
  <c r="G123" i="8" s="1"/>
  <c r="K103" i="8"/>
  <c r="K122" i="8" s="1"/>
  <c r="G103" i="8"/>
  <c r="G122" i="8" s="1"/>
  <c r="K102" i="8"/>
  <c r="K121" i="8" s="1"/>
  <c r="G102" i="8"/>
  <c r="G121" i="8" s="1"/>
  <c r="K101" i="8"/>
  <c r="K120" i="8" s="1"/>
  <c r="G101" i="8"/>
  <c r="G120" i="8" s="1"/>
  <c r="K100" i="8"/>
  <c r="K119" i="8" s="1"/>
  <c r="G100" i="8"/>
  <c r="G119" i="8" s="1"/>
  <c r="L107" i="8"/>
  <c r="L126" i="8" s="1"/>
  <c r="H107" i="8"/>
  <c r="H126" i="8" s="1"/>
  <c r="K111" i="8"/>
  <c r="K130" i="8" s="1"/>
  <c r="G111" i="8"/>
  <c r="G130" i="8" s="1"/>
  <c r="K110" i="8"/>
  <c r="K129" i="8" s="1"/>
  <c r="G110" i="8"/>
  <c r="G129" i="8" s="1"/>
  <c r="K109" i="8"/>
  <c r="K128" i="8" s="1"/>
  <c r="G109" i="8"/>
  <c r="G128" i="8" s="1"/>
  <c r="K108" i="8"/>
  <c r="K127" i="8" s="1"/>
  <c r="G108" i="8"/>
  <c r="G127" i="8" s="1"/>
  <c r="K94" i="8"/>
  <c r="K113" i="8" s="1"/>
  <c r="G95" i="8"/>
  <c r="G114" i="8" s="1"/>
  <c r="M98" i="8"/>
  <c r="M117" i="8" s="1"/>
  <c r="I99" i="8"/>
  <c r="I118" i="8" s="1"/>
  <c r="L104" i="8"/>
  <c r="L123" i="8" s="1"/>
  <c r="L102" i="8"/>
  <c r="L121" i="8" s="1"/>
  <c r="H101" i="8"/>
  <c r="H120" i="8" s="1"/>
  <c r="M107" i="8"/>
  <c r="M126" i="8" s="1"/>
  <c r="H111" i="8"/>
  <c r="H130" i="8" s="1"/>
  <c r="L109" i="8"/>
  <c r="L128" i="8" s="1"/>
  <c r="L108" i="8"/>
  <c r="L127" i="8" s="1"/>
  <c r="M94" i="8"/>
  <c r="M113" i="8" s="1"/>
  <c r="I94" i="8"/>
  <c r="I113" i="8" s="1"/>
  <c r="M95" i="8"/>
  <c r="M114" i="8" s="1"/>
  <c r="I95" i="8"/>
  <c r="I114" i="8" s="1"/>
  <c r="L96" i="8"/>
  <c r="L115" i="8" s="1"/>
  <c r="H96" i="8"/>
  <c r="H115" i="8" s="1"/>
  <c r="F96" i="8"/>
  <c r="F115" i="8" s="1"/>
  <c r="K98" i="8"/>
  <c r="K117" i="8" s="1"/>
  <c r="G98" i="8"/>
  <c r="G117" i="8" s="1"/>
  <c r="K99" i="8"/>
  <c r="K118" i="8" s="1"/>
  <c r="G99" i="8"/>
  <c r="G118" i="8" s="1"/>
  <c r="J105" i="8"/>
  <c r="J124" i="8" s="1"/>
  <c r="F105" i="8"/>
  <c r="F124" i="8" s="1"/>
  <c r="J104" i="8"/>
  <c r="J123" i="8" s="1"/>
  <c r="F104" i="8"/>
  <c r="F123" i="8" s="1"/>
  <c r="J103" i="8"/>
  <c r="J122" i="8" s="1"/>
  <c r="F103" i="8"/>
  <c r="F122" i="8" s="1"/>
  <c r="J102" i="8"/>
  <c r="J121" i="8" s="1"/>
  <c r="F102" i="8"/>
  <c r="F121" i="8" s="1"/>
  <c r="J101" i="8"/>
  <c r="J120" i="8" s="1"/>
  <c r="F101" i="8"/>
  <c r="F120" i="8" s="1"/>
  <c r="J100" i="8"/>
  <c r="J119" i="8" s="1"/>
  <c r="F100" i="8"/>
  <c r="F119" i="8" s="1"/>
  <c r="K107" i="8"/>
  <c r="K126" i="8" s="1"/>
  <c r="G107" i="8"/>
  <c r="G126" i="8" s="1"/>
  <c r="J111" i="8"/>
  <c r="J130" i="8" s="1"/>
  <c r="F111" i="8"/>
  <c r="F130" i="8" s="1"/>
  <c r="J110" i="8"/>
  <c r="J129" i="8" s="1"/>
  <c r="F110" i="8"/>
  <c r="F129" i="8" s="1"/>
  <c r="J109" i="8"/>
  <c r="J128" i="8" s="1"/>
  <c r="F109" i="8"/>
  <c r="F128" i="8" s="1"/>
  <c r="J108" i="8"/>
  <c r="J127" i="8" s="1"/>
  <c r="F108" i="8"/>
  <c r="F127" i="8" s="1"/>
  <c r="G94" i="8"/>
  <c r="G113" i="8" s="1"/>
  <c r="J96" i="8"/>
  <c r="J115" i="8" s="1"/>
  <c r="M99" i="8"/>
  <c r="M118" i="8" s="1"/>
  <c r="L105" i="8"/>
  <c r="L124" i="8" s="1"/>
  <c r="H104" i="8"/>
  <c r="H123" i="8" s="1"/>
  <c r="H103" i="8"/>
  <c r="H122" i="8" s="1"/>
  <c r="L101" i="8"/>
  <c r="L120" i="8" s="1"/>
  <c r="H100" i="8"/>
  <c r="H119" i="8" s="1"/>
  <c r="L111" i="8"/>
  <c r="L130" i="8" s="1"/>
  <c r="H110" i="8"/>
  <c r="H129" i="8" s="1"/>
  <c r="H108" i="8"/>
  <c r="H127" i="8" s="1"/>
  <c r="L94" i="8"/>
  <c r="L113" i="8" s="1"/>
  <c r="H94" i="8"/>
  <c r="H113" i="8" s="1"/>
  <c r="L95" i="8"/>
  <c r="L114" i="8" s="1"/>
  <c r="H95" i="8"/>
  <c r="H114" i="8" s="1"/>
  <c r="K96" i="8"/>
  <c r="K115" i="8" s="1"/>
  <c r="G96" i="8"/>
  <c r="G115" i="8" s="1"/>
  <c r="F98" i="8"/>
  <c r="F117" i="8" s="1"/>
  <c r="J98" i="8"/>
  <c r="J117" i="8" s="1"/>
  <c r="F99" i="8"/>
  <c r="F118" i="8" s="1"/>
  <c r="J99" i="8"/>
  <c r="J118" i="8" s="1"/>
  <c r="M105" i="8"/>
  <c r="M124" i="8" s="1"/>
  <c r="I105" i="8"/>
  <c r="I124" i="8" s="1"/>
  <c r="M104" i="8"/>
  <c r="M123" i="8" s="1"/>
  <c r="I104" i="8"/>
  <c r="I123" i="8" s="1"/>
  <c r="M103" i="8"/>
  <c r="M122" i="8" s="1"/>
  <c r="I103" i="8"/>
  <c r="I122" i="8" s="1"/>
  <c r="M102" i="8"/>
  <c r="M121" i="8" s="1"/>
  <c r="I102" i="8"/>
  <c r="I121" i="8" s="1"/>
  <c r="M101" i="8"/>
  <c r="M120" i="8" s="1"/>
  <c r="I101" i="8"/>
  <c r="I120" i="8" s="1"/>
  <c r="M100" i="8"/>
  <c r="M119" i="8" s="1"/>
  <c r="I100" i="8"/>
  <c r="I119" i="8" s="1"/>
  <c r="F107" i="8"/>
  <c r="F126" i="8" s="1"/>
  <c r="J107" i="8"/>
  <c r="J126" i="8" s="1"/>
  <c r="M111" i="8"/>
  <c r="M130" i="8" s="1"/>
  <c r="I111" i="8"/>
  <c r="I130" i="8" s="1"/>
  <c r="M110" i="8"/>
  <c r="M129" i="8" s="1"/>
  <c r="I110" i="8"/>
  <c r="I129" i="8" s="1"/>
  <c r="M109" i="8"/>
  <c r="M128" i="8" s="1"/>
  <c r="I109" i="8"/>
  <c r="I128" i="8" s="1"/>
  <c r="M108" i="8"/>
  <c r="M127" i="8" s="1"/>
  <c r="A22" i="25"/>
  <c r="Q99" i="8" l="1"/>
  <c r="A1" i="25"/>
  <c r="A2" i="25"/>
  <c r="A14" i="25"/>
  <c r="B14" i="25" s="1"/>
  <c r="A15" i="25"/>
  <c r="A16" i="25"/>
  <c r="A19" i="25"/>
  <c r="A20" i="25"/>
  <c r="A21" i="25"/>
  <c r="B21" i="25" s="1"/>
  <c r="A10" i="25"/>
  <c r="B10" i="25" s="1"/>
  <c r="B22" i="25"/>
  <c r="B1" i="25"/>
  <c r="B2" i="25"/>
  <c r="A6" i="25"/>
  <c r="B6" i="25" s="1"/>
  <c r="A18" i="9"/>
  <c r="A19" i="9" s="1"/>
  <c r="A18" i="25" s="1"/>
  <c r="B18" i="25" s="1"/>
  <c r="A32" i="9"/>
  <c r="A27" i="25" s="1"/>
  <c r="A12" i="25"/>
  <c r="B12" i="25" s="1"/>
  <c r="A13" i="25"/>
  <c r="B13" i="25" s="1"/>
  <c r="B15" i="25"/>
  <c r="B16" i="25"/>
  <c r="B19" i="25"/>
  <c r="B20" i="25"/>
  <c r="A11" i="25"/>
  <c r="B11" i="25" s="1"/>
  <c r="A9" i="25"/>
  <c r="B9" i="25" s="1"/>
  <c r="A7" i="25"/>
  <c r="B7" i="25" s="1"/>
  <c r="A8" i="25"/>
  <c r="B8" i="25" s="1"/>
  <c r="A3" i="25"/>
  <c r="B3" i="25" s="1"/>
  <c r="A4" i="25"/>
  <c r="B4" i="25" s="1"/>
  <c r="A5" i="25"/>
  <c r="B5" i="25" s="1"/>
  <c r="A17" i="25" l="1"/>
  <c r="B27" i="25"/>
  <c r="B17" i="25"/>
  <c r="L15" i="4"/>
  <c r="H18" i="24" l="1"/>
  <c r="I18" i="24"/>
  <c r="J18" i="24"/>
  <c r="K18" i="24"/>
  <c r="H17" i="24"/>
  <c r="H19" i="24" s="1"/>
  <c r="H28" i="24" s="1"/>
  <c r="A28" i="9" s="1"/>
  <c r="I17" i="24"/>
  <c r="I19" i="24" s="1"/>
  <c r="I28" i="24" s="1"/>
  <c r="A29" i="9" s="1"/>
  <c r="J17" i="24"/>
  <c r="J19" i="24" s="1"/>
  <c r="J28" i="24" s="1"/>
  <c r="A30" i="9" s="1"/>
  <c r="K17" i="24"/>
  <c r="K19" i="24" s="1"/>
  <c r="K28" i="24" s="1"/>
  <c r="A31" i="9" s="1"/>
  <c r="G19" i="24"/>
  <c r="G28" i="24" s="1"/>
  <c r="A27" i="9" s="1"/>
  <c r="E18" i="24"/>
  <c r="F18" i="24"/>
  <c r="G18" i="24"/>
  <c r="D18" i="24"/>
  <c r="G17" i="24"/>
  <c r="F17" i="24"/>
  <c r="F19" i="24" s="1"/>
  <c r="F28" i="24" s="1"/>
  <c r="A26" i="9" s="1"/>
  <c r="E17" i="24"/>
  <c r="E19" i="24" s="1"/>
  <c r="E28" i="24" s="1"/>
  <c r="A25" i="9" s="1"/>
  <c r="D17" i="24"/>
  <c r="D19" i="24" s="1"/>
  <c r="D28" i="24" s="1"/>
  <c r="A24" i="9" s="1"/>
  <c r="A24" i="25" l="1"/>
  <c r="B24" i="25" s="1"/>
  <c r="A25" i="25"/>
  <c r="B25" i="25" s="1"/>
  <c r="A23" i="25"/>
  <c r="B23" i="25" s="1"/>
  <c r="A26" i="25"/>
  <c r="B26" i="25" s="1"/>
  <c r="C6" i="8"/>
  <c r="L18" i="8" l="1"/>
  <c r="J18" i="8"/>
  <c r="H18" i="8"/>
  <c r="H32" i="23"/>
  <c r="J31" i="23"/>
  <c r="L31" i="23" s="1"/>
  <c r="H30" i="23"/>
  <c r="J29" i="23"/>
  <c r="L29" i="23" s="1"/>
  <c r="H28" i="23"/>
  <c r="M27" i="23"/>
  <c r="M18" i="8" s="1"/>
  <c r="H26" i="23"/>
  <c r="J25" i="23"/>
  <c r="L25" i="23" s="1"/>
  <c r="H24" i="23"/>
  <c r="S23" i="23"/>
  <c r="K32" i="23" s="1"/>
  <c r="J23" i="23"/>
  <c r="L23" i="23" s="1"/>
  <c r="S22" i="23"/>
  <c r="K30" i="23" s="1"/>
  <c r="H22" i="23"/>
  <c r="S21" i="23"/>
  <c r="K28" i="23" s="1"/>
  <c r="L28" i="23" s="1"/>
  <c r="J21" i="23"/>
  <c r="L21" i="23" s="1"/>
  <c r="S20" i="23"/>
  <c r="K26" i="23" s="1"/>
  <c r="H20" i="23"/>
  <c r="S19" i="23"/>
  <c r="K24" i="23" s="1"/>
  <c r="L24" i="23" s="1"/>
  <c r="H19" i="23"/>
  <c r="S18" i="23"/>
  <c r="K22" i="23" s="1"/>
  <c r="M18" i="23"/>
  <c r="M9" i="8" s="1"/>
  <c r="S17" i="23"/>
  <c r="K20" i="23" s="1"/>
  <c r="J17" i="23"/>
  <c r="L17" i="23" s="1"/>
  <c r="S16" i="23"/>
  <c r="K19" i="23" s="1"/>
  <c r="L19" i="23" s="1"/>
  <c r="J16" i="23"/>
  <c r="L16" i="23" s="1"/>
  <c r="J15" i="23"/>
  <c r="L15" i="23" s="1"/>
  <c r="F11" i="23"/>
  <c r="F10" i="23"/>
  <c r="F9" i="23"/>
  <c r="F8" i="23"/>
  <c r="J7" i="23"/>
  <c r="J8" i="23" s="1"/>
  <c r="J10" i="23" s="1"/>
  <c r="J11" i="23" s="1"/>
  <c r="F7" i="23"/>
  <c r="F6" i="23"/>
  <c r="E6" i="23"/>
  <c r="D4" i="23"/>
  <c r="D2" i="23"/>
  <c r="H32" i="22"/>
  <c r="J31" i="22"/>
  <c r="L31" i="22" s="1"/>
  <c r="H30" i="22"/>
  <c r="J29" i="22"/>
  <c r="L29" i="22" s="1"/>
  <c r="H28" i="22"/>
  <c r="M27" i="22"/>
  <c r="H26" i="22"/>
  <c r="J25" i="22"/>
  <c r="L25" i="22" s="1"/>
  <c r="H24" i="22"/>
  <c r="S23" i="22"/>
  <c r="K32" i="22" s="1"/>
  <c r="J23" i="22"/>
  <c r="L23" i="22" s="1"/>
  <c r="S22" i="22"/>
  <c r="K30" i="22" s="1"/>
  <c r="H22" i="22"/>
  <c r="S21" i="22"/>
  <c r="K28" i="22" s="1"/>
  <c r="J21" i="22"/>
  <c r="L21" i="22" s="1"/>
  <c r="S20" i="22"/>
  <c r="K26" i="22" s="1"/>
  <c r="H20" i="22"/>
  <c r="S19" i="22"/>
  <c r="K24" i="22" s="1"/>
  <c r="H19" i="22"/>
  <c r="S18" i="22"/>
  <c r="K22" i="22" s="1"/>
  <c r="M18" i="22"/>
  <c r="L9" i="8" s="1"/>
  <c r="S17" i="22"/>
  <c r="K20" i="22" s="1"/>
  <c r="J17" i="22"/>
  <c r="L17" i="22" s="1"/>
  <c r="S16" i="22"/>
  <c r="K19" i="22" s="1"/>
  <c r="L19" i="22" s="1"/>
  <c r="J16" i="22"/>
  <c r="L16" i="22" s="1"/>
  <c r="J15" i="22"/>
  <c r="L15" i="22" s="1"/>
  <c r="F11" i="22"/>
  <c r="F10" i="22"/>
  <c r="F9" i="22"/>
  <c r="F8" i="22"/>
  <c r="J7" i="22"/>
  <c r="J8" i="22" s="1"/>
  <c r="J10" i="22" s="1"/>
  <c r="J11" i="22" s="1"/>
  <c r="F7" i="22"/>
  <c r="F6" i="22"/>
  <c r="E6" i="22"/>
  <c r="D4" i="22"/>
  <c r="D2" i="22"/>
  <c r="H32" i="21"/>
  <c r="J31" i="21"/>
  <c r="L31" i="21" s="1"/>
  <c r="H30" i="21"/>
  <c r="J29" i="21"/>
  <c r="L29" i="21" s="1"/>
  <c r="H28" i="21"/>
  <c r="M27" i="21"/>
  <c r="K18" i="8" s="1"/>
  <c r="H26" i="21"/>
  <c r="J25" i="21"/>
  <c r="L25" i="21" s="1"/>
  <c r="H24" i="21"/>
  <c r="S23" i="21"/>
  <c r="K32" i="21" s="1"/>
  <c r="J23" i="21"/>
  <c r="L23" i="21" s="1"/>
  <c r="S22" i="21"/>
  <c r="K30" i="21" s="1"/>
  <c r="H22" i="21"/>
  <c r="S21" i="21"/>
  <c r="K28" i="21" s="1"/>
  <c r="J21" i="21"/>
  <c r="L21" i="21" s="1"/>
  <c r="S20" i="21"/>
  <c r="K26" i="21" s="1"/>
  <c r="H20" i="21"/>
  <c r="S19" i="21"/>
  <c r="K24" i="21" s="1"/>
  <c r="H19" i="21"/>
  <c r="S18" i="21"/>
  <c r="K22" i="21" s="1"/>
  <c r="M18" i="21"/>
  <c r="K9" i="8" s="1"/>
  <c r="S17" i="21"/>
  <c r="K20" i="21" s="1"/>
  <c r="J17" i="21"/>
  <c r="L17" i="21" s="1"/>
  <c r="S16" i="21"/>
  <c r="K19" i="21" s="1"/>
  <c r="L19" i="21" s="1"/>
  <c r="J16" i="21"/>
  <c r="L16" i="21" s="1"/>
  <c r="J15" i="21"/>
  <c r="L15" i="21" s="1"/>
  <c r="F11" i="21"/>
  <c r="F10" i="21"/>
  <c r="F9" i="21"/>
  <c r="F8" i="21"/>
  <c r="J7" i="21"/>
  <c r="J8" i="21" s="1"/>
  <c r="J10" i="21" s="1"/>
  <c r="J11" i="21" s="1"/>
  <c r="F7" i="21"/>
  <c r="F6" i="21"/>
  <c r="E6" i="21"/>
  <c r="D4" i="21"/>
  <c r="D2" i="21"/>
  <c r="H32" i="20"/>
  <c r="J31" i="20"/>
  <c r="L31" i="20" s="1"/>
  <c r="H30" i="20"/>
  <c r="J29" i="20"/>
  <c r="L29" i="20" s="1"/>
  <c r="H28" i="20"/>
  <c r="M27" i="20"/>
  <c r="H26" i="20"/>
  <c r="J25" i="20"/>
  <c r="L25" i="20" s="1"/>
  <c r="H24" i="20"/>
  <c r="S23" i="20"/>
  <c r="K32" i="20" s="1"/>
  <c r="J23" i="20"/>
  <c r="L23" i="20" s="1"/>
  <c r="S22" i="20"/>
  <c r="K30" i="20" s="1"/>
  <c r="H22" i="20"/>
  <c r="S21" i="20"/>
  <c r="K28" i="20" s="1"/>
  <c r="L28" i="20" s="1"/>
  <c r="J21" i="20"/>
  <c r="L21" i="20" s="1"/>
  <c r="S20" i="20"/>
  <c r="K26" i="20" s="1"/>
  <c r="H20" i="20"/>
  <c r="S19" i="20"/>
  <c r="K24" i="20" s="1"/>
  <c r="L24" i="20" s="1"/>
  <c r="H19" i="20"/>
  <c r="S18" i="20"/>
  <c r="K22" i="20" s="1"/>
  <c r="M18" i="20"/>
  <c r="J9" i="8" s="1"/>
  <c r="S17" i="20"/>
  <c r="K20" i="20" s="1"/>
  <c r="J17" i="20"/>
  <c r="L17" i="20" s="1"/>
  <c r="S16" i="20"/>
  <c r="K19" i="20" s="1"/>
  <c r="L19" i="20" s="1"/>
  <c r="J16" i="20"/>
  <c r="L16" i="20" s="1"/>
  <c r="J15" i="20"/>
  <c r="L15" i="20" s="1"/>
  <c r="F11" i="20"/>
  <c r="F10" i="20"/>
  <c r="F9" i="20"/>
  <c r="F8" i="20"/>
  <c r="J7" i="20"/>
  <c r="J8" i="20" s="1"/>
  <c r="J10" i="20" s="1"/>
  <c r="J11" i="20" s="1"/>
  <c r="F7" i="20"/>
  <c r="F6" i="20"/>
  <c r="E6" i="20"/>
  <c r="D4" i="20"/>
  <c r="D2" i="20"/>
  <c r="H32" i="19"/>
  <c r="J31" i="19"/>
  <c r="L31" i="19" s="1"/>
  <c r="H30" i="19"/>
  <c r="J29" i="19"/>
  <c r="L29" i="19" s="1"/>
  <c r="H28" i="19"/>
  <c r="M27" i="19"/>
  <c r="H26" i="19"/>
  <c r="J25" i="19"/>
  <c r="L25" i="19" s="1"/>
  <c r="H24" i="19"/>
  <c r="S23" i="19"/>
  <c r="K32" i="19" s="1"/>
  <c r="J23" i="19"/>
  <c r="L23" i="19" s="1"/>
  <c r="S22" i="19"/>
  <c r="K30" i="19" s="1"/>
  <c r="H22" i="19"/>
  <c r="S21" i="19"/>
  <c r="K28" i="19" s="1"/>
  <c r="L28" i="19" s="1"/>
  <c r="J21" i="19"/>
  <c r="L21" i="19" s="1"/>
  <c r="S20" i="19"/>
  <c r="K26" i="19" s="1"/>
  <c r="H20" i="19"/>
  <c r="S19" i="19"/>
  <c r="K24" i="19" s="1"/>
  <c r="L24" i="19" s="1"/>
  <c r="H19" i="19"/>
  <c r="S18" i="19"/>
  <c r="K22" i="19" s="1"/>
  <c r="M18" i="19"/>
  <c r="H9" i="8" s="1"/>
  <c r="S17" i="19"/>
  <c r="K20" i="19" s="1"/>
  <c r="J17" i="19"/>
  <c r="L17" i="19" s="1"/>
  <c r="S16" i="19"/>
  <c r="K19" i="19" s="1"/>
  <c r="J16" i="19"/>
  <c r="L16" i="19" s="1"/>
  <c r="J15" i="19"/>
  <c r="L15" i="19" s="1"/>
  <c r="F11" i="19"/>
  <c r="F10" i="19"/>
  <c r="F9" i="19"/>
  <c r="F8" i="19"/>
  <c r="J7" i="19"/>
  <c r="J8" i="19" s="1"/>
  <c r="J10" i="19" s="1"/>
  <c r="J11" i="19" s="1"/>
  <c r="F7" i="19"/>
  <c r="F6" i="19"/>
  <c r="E6" i="19"/>
  <c r="D4" i="19"/>
  <c r="D2" i="19"/>
  <c r="H32" i="18"/>
  <c r="J31" i="18"/>
  <c r="L31" i="18" s="1"/>
  <c r="H30" i="18"/>
  <c r="J29" i="18"/>
  <c r="L29" i="18" s="1"/>
  <c r="H28" i="18"/>
  <c r="M27" i="18"/>
  <c r="I18" i="8" s="1"/>
  <c r="H26" i="18"/>
  <c r="J25" i="18"/>
  <c r="L25" i="18" s="1"/>
  <c r="H24" i="18"/>
  <c r="S23" i="18"/>
  <c r="K32" i="18" s="1"/>
  <c r="J23" i="18"/>
  <c r="L23" i="18" s="1"/>
  <c r="S22" i="18"/>
  <c r="K30" i="18" s="1"/>
  <c r="H22" i="18"/>
  <c r="L22" i="18" s="1"/>
  <c r="S21" i="18"/>
  <c r="K28" i="18" s="1"/>
  <c r="J21" i="18"/>
  <c r="L21" i="18" s="1"/>
  <c r="S20" i="18"/>
  <c r="K26" i="18" s="1"/>
  <c r="H20" i="18"/>
  <c r="S19" i="18"/>
  <c r="K24" i="18" s="1"/>
  <c r="H19" i="18"/>
  <c r="S18" i="18"/>
  <c r="K22" i="18" s="1"/>
  <c r="M18" i="18"/>
  <c r="I9" i="8" s="1"/>
  <c r="S17" i="18"/>
  <c r="K20" i="18" s="1"/>
  <c r="J17" i="18"/>
  <c r="L17" i="18" s="1"/>
  <c r="S16" i="18"/>
  <c r="K19" i="18" s="1"/>
  <c r="J16" i="18"/>
  <c r="L16" i="18" s="1"/>
  <c r="J15" i="18"/>
  <c r="L15" i="18" s="1"/>
  <c r="F11" i="18"/>
  <c r="F10" i="18"/>
  <c r="F9" i="18"/>
  <c r="F8" i="18"/>
  <c r="J7" i="18"/>
  <c r="J8" i="18" s="1"/>
  <c r="J10" i="18" s="1"/>
  <c r="J11" i="18" s="1"/>
  <c r="F7" i="18"/>
  <c r="F6" i="18"/>
  <c r="E6" i="18"/>
  <c r="D4" i="18"/>
  <c r="D2" i="18"/>
  <c r="J7" i="10"/>
  <c r="F7" i="10"/>
  <c r="F8" i="10"/>
  <c r="F9" i="10"/>
  <c r="F10" i="10"/>
  <c r="F11" i="10"/>
  <c r="F6" i="10"/>
  <c r="E6" i="10"/>
  <c r="D4" i="10"/>
  <c r="D2" i="10"/>
  <c r="S17" i="10"/>
  <c r="S18" i="10"/>
  <c r="S19" i="10"/>
  <c r="S20" i="10"/>
  <c r="S21" i="10"/>
  <c r="S22" i="10"/>
  <c r="S23" i="10"/>
  <c r="S16" i="10"/>
  <c r="J31" i="10"/>
  <c r="J29" i="10"/>
  <c r="J25" i="10"/>
  <c r="J23" i="10"/>
  <c r="J21" i="10"/>
  <c r="J15" i="10"/>
  <c r="L15" i="10" s="1"/>
  <c r="J16" i="10"/>
  <c r="J17" i="10"/>
  <c r="L19" i="18" l="1"/>
  <c r="L22" i="19"/>
  <c r="L24" i="22"/>
  <c r="L28" i="22"/>
  <c r="L24" i="21"/>
  <c r="L28" i="21"/>
  <c r="L24" i="18"/>
  <c r="L28" i="18"/>
  <c r="L19" i="19"/>
  <c r="L26" i="23"/>
  <c r="L30" i="23"/>
  <c r="L20" i="23"/>
  <c r="L22" i="23"/>
  <c r="L32" i="23"/>
  <c r="J9" i="23"/>
  <c r="L26" i="22"/>
  <c r="L30" i="22"/>
  <c r="L20" i="22"/>
  <c r="L22" i="22"/>
  <c r="L32" i="22"/>
  <c r="J9" i="22"/>
  <c r="L26" i="21"/>
  <c r="L30" i="21"/>
  <c r="L20" i="21"/>
  <c r="L22" i="21"/>
  <c r="L32" i="21"/>
  <c r="J9" i="21"/>
  <c r="L26" i="20"/>
  <c r="L30" i="20"/>
  <c r="L20" i="20"/>
  <c r="L22" i="20"/>
  <c r="L32" i="20"/>
  <c r="J9" i="20"/>
  <c r="L26" i="19"/>
  <c r="L30" i="19"/>
  <c r="L20" i="19"/>
  <c r="L32" i="19"/>
  <c r="J9" i="19"/>
  <c r="L20" i="18"/>
  <c r="L32" i="18"/>
  <c r="L26" i="18"/>
  <c r="L30" i="18"/>
  <c r="J9" i="18"/>
  <c r="G49" i="8"/>
  <c r="H49" i="8"/>
  <c r="I49" i="8"/>
  <c r="J49" i="8"/>
  <c r="K49" i="8"/>
  <c r="L49" i="8"/>
  <c r="M49" i="8"/>
  <c r="F49" i="8"/>
  <c r="B10" i="2" l="1"/>
  <c r="N24" i="2" l="1"/>
  <c r="N23" i="2"/>
  <c r="N14" i="2"/>
  <c r="N15" i="2"/>
  <c r="N16" i="2"/>
  <c r="N17" i="2"/>
  <c r="N13" i="2"/>
  <c r="G3" i="2" s="1"/>
  <c r="N25" i="2" l="1"/>
  <c r="K13" i="2"/>
  <c r="K15" i="2"/>
  <c r="K16" i="2"/>
  <c r="K17" i="2"/>
  <c r="K14" i="2"/>
  <c r="A44" i="8" l="1"/>
  <c r="B44" i="8"/>
  <c r="A45" i="8"/>
  <c r="A67" i="8" s="1"/>
  <c r="B45" i="8"/>
  <c r="A41" i="8"/>
  <c r="B41" i="8"/>
  <c r="A42" i="8"/>
  <c r="B42" i="8"/>
  <c r="A43" i="8"/>
  <c r="B43" i="8"/>
  <c r="A29" i="8"/>
  <c r="B29" i="8"/>
  <c r="A30" i="8"/>
  <c r="B30" i="8"/>
  <c r="A31" i="8"/>
  <c r="B31" i="8"/>
  <c r="A32" i="8"/>
  <c r="B32" i="8"/>
  <c r="A33" i="8"/>
  <c r="B33" i="8"/>
  <c r="A34" i="8"/>
  <c r="B34" i="8"/>
  <c r="A35" i="8"/>
  <c r="B35" i="8"/>
  <c r="A36" i="8"/>
  <c r="B36" i="8"/>
  <c r="A37" i="8"/>
  <c r="B37" i="8"/>
  <c r="A38" i="8"/>
  <c r="B38" i="8"/>
  <c r="A39" i="8"/>
  <c r="B39" i="8"/>
  <c r="A40" i="8"/>
  <c r="B40" i="8"/>
  <c r="B28" i="8"/>
  <c r="A28" i="8"/>
  <c r="G27" i="8"/>
  <c r="H27" i="8"/>
  <c r="I27" i="8"/>
  <c r="J27" i="8"/>
  <c r="K27" i="8"/>
  <c r="L27" i="8"/>
  <c r="M27" i="8"/>
  <c r="F27" i="8"/>
  <c r="B61" i="8" l="1"/>
  <c r="B82" i="8"/>
  <c r="B57" i="8"/>
  <c r="B78" i="8"/>
  <c r="B53" i="8"/>
  <c r="B74" i="8"/>
  <c r="B64" i="8"/>
  <c r="B85" i="8"/>
  <c r="A61" i="8"/>
  <c r="A82" i="8"/>
  <c r="A57" i="8"/>
  <c r="A78" i="8"/>
  <c r="A55" i="8"/>
  <c r="A76" i="8"/>
  <c r="A51" i="8"/>
  <c r="A72" i="8"/>
  <c r="A64" i="8"/>
  <c r="A85" i="8"/>
  <c r="B62" i="8"/>
  <c r="B83" i="8"/>
  <c r="B56" i="8"/>
  <c r="B77" i="8"/>
  <c r="B65" i="8"/>
  <c r="B86" i="8"/>
  <c r="B66" i="8"/>
  <c r="B87" i="8"/>
  <c r="A50" i="8"/>
  <c r="A71" i="8"/>
  <c r="B59" i="8"/>
  <c r="B80" i="8"/>
  <c r="B55" i="8"/>
  <c r="B76" i="8"/>
  <c r="B51" i="8"/>
  <c r="B72" i="8"/>
  <c r="B67" i="8"/>
  <c r="B88" i="8"/>
  <c r="A59" i="8"/>
  <c r="A80" i="8"/>
  <c r="A53" i="8"/>
  <c r="A74" i="8"/>
  <c r="B60" i="8"/>
  <c r="B81" i="8"/>
  <c r="B58" i="8"/>
  <c r="B79" i="8"/>
  <c r="B54" i="8"/>
  <c r="B75" i="8"/>
  <c r="B52" i="8"/>
  <c r="B73" i="8"/>
  <c r="B63" i="8"/>
  <c r="B84" i="8"/>
  <c r="A62" i="8"/>
  <c r="A83" i="8"/>
  <c r="A60" i="8"/>
  <c r="A81" i="8"/>
  <c r="A58" i="8"/>
  <c r="A79" i="8"/>
  <c r="A56" i="8"/>
  <c r="A77" i="8"/>
  <c r="A54" i="8"/>
  <c r="A75" i="8"/>
  <c r="A52" i="8"/>
  <c r="A73" i="8"/>
  <c r="A65" i="8"/>
  <c r="A86" i="8"/>
  <c r="A63" i="8"/>
  <c r="A84" i="8"/>
  <c r="A66" i="8"/>
  <c r="A87" i="8"/>
  <c r="B50" i="8"/>
  <c r="B71" i="8"/>
  <c r="G18" i="8"/>
  <c r="K32" i="10"/>
  <c r="H32" i="10"/>
  <c r="L32" i="10" s="1"/>
  <c r="L31" i="10"/>
  <c r="K30" i="10"/>
  <c r="H30" i="10"/>
  <c r="L29" i="10"/>
  <c r="K28" i="10"/>
  <c r="H28" i="10"/>
  <c r="L28" i="10" s="1"/>
  <c r="M27" i="10"/>
  <c r="K26" i="10"/>
  <c r="H26" i="10"/>
  <c r="L25" i="10"/>
  <c r="K24" i="10"/>
  <c r="H24" i="10"/>
  <c r="L23" i="10"/>
  <c r="K22" i="10"/>
  <c r="H22" i="10"/>
  <c r="L21" i="10"/>
  <c r="K20" i="10"/>
  <c r="H20" i="10"/>
  <c r="L20" i="10" s="1"/>
  <c r="K19" i="10"/>
  <c r="H19" i="10"/>
  <c r="M18" i="10"/>
  <c r="G9" i="8" s="1"/>
  <c r="L17" i="10"/>
  <c r="L16" i="10"/>
  <c r="J9" i="10"/>
  <c r="J8" i="10"/>
  <c r="J10" i="10" s="1"/>
  <c r="J11" i="10" s="1"/>
  <c r="L19" i="10" l="1"/>
  <c r="L30" i="10"/>
  <c r="L24" i="10"/>
  <c r="L26" i="10"/>
  <c r="L22" i="10"/>
  <c r="A77" i="9"/>
  <c r="A72" i="25" s="1"/>
  <c r="B72" i="25" s="1"/>
  <c r="A74" i="9"/>
  <c r="A69" i="25" s="1"/>
  <c r="B69" i="25" s="1"/>
  <c r="A71" i="9"/>
  <c r="A66" i="25" s="1"/>
  <c r="B66" i="25" s="1"/>
  <c r="A68" i="9"/>
  <c r="A63" i="25" s="1"/>
  <c r="B63" i="25" s="1"/>
  <c r="A65" i="9"/>
  <c r="A60" i="25" s="1"/>
  <c r="B60" i="25" s="1"/>
  <c r="A62" i="9"/>
  <c r="A57" i="25" s="1"/>
  <c r="B57" i="25" s="1"/>
  <c r="A59" i="9"/>
  <c r="A54" i="25" s="1"/>
  <c r="B54" i="25" s="1"/>
  <c r="A56" i="9"/>
  <c r="A51" i="25" s="1"/>
  <c r="B51" i="25" s="1"/>
  <c r="A53" i="9"/>
  <c r="A48" i="25" s="1"/>
  <c r="B48" i="25" s="1"/>
  <c r="A50" i="9"/>
  <c r="A45" i="25" s="1"/>
  <c r="B45" i="25" s="1"/>
  <c r="A47" i="9"/>
  <c r="A44" i="9"/>
  <c r="A39" i="25" s="1"/>
  <c r="B39" i="25" s="1"/>
  <c r="A41" i="9"/>
  <c r="A36" i="25" s="1"/>
  <c r="B36" i="25" s="1"/>
  <c r="A38" i="9"/>
  <c r="A33" i="25" s="1"/>
  <c r="B33" i="25" s="1"/>
  <c r="A35" i="9"/>
  <c r="A30" i="25" s="1"/>
  <c r="B30" i="25" s="1"/>
  <c r="A42" i="25" l="1"/>
  <c r="B42" i="25" s="1"/>
  <c r="C15" i="8"/>
  <c r="C37" i="8" s="1"/>
  <c r="C22" i="8"/>
  <c r="C44" i="8" s="1"/>
  <c r="C23" i="8"/>
  <c r="C45" i="8" s="1"/>
  <c r="C7" i="8"/>
  <c r="C29" i="8" s="1"/>
  <c r="C8" i="8"/>
  <c r="C30" i="8" s="1"/>
  <c r="C9" i="8"/>
  <c r="C31" i="8" s="1"/>
  <c r="C10" i="8"/>
  <c r="C32" i="8" s="1"/>
  <c r="C11" i="8"/>
  <c r="C33" i="8" s="1"/>
  <c r="C12" i="8"/>
  <c r="C34" i="8" s="1"/>
  <c r="C13" i="8"/>
  <c r="C35" i="8" s="1"/>
  <c r="C14" i="8"/>
  <c r="C36" i="8" s="1"/>
  <c r="C16" i="8"/>
  <c r="C38" i="8" s="1"/>
  <c r="C17" i="8"/>
  <c r="C39" i="8" s="1"/>
  <c r="C18" i="8"/>
  <c r="C40" i="8" s="1"/>
  <c r="C19" i="8"/>
  <c r="C41" i="8" s="1"/>
  <c r="C20" i="8"/>
  <c r="C42" i="8" s="1"/>
  <c r="C21" i="8"/>
  <c r="C43" i="8" s="1"/>
  <c r="C28" i="8"/>
  <c r="C57" i="8" l="1"/>
  <c r="C78" i="8"/>
  <c r="C66" i="8"/>
  <c r="C87" i="8"/>
  <c r="C61" i="8"/>
  <c r="C82" i="8"/>
  <c r="C60" i="8"/>
  <c r="C81" i="8"/>
  <c r="C55" i="8"/>
  <c r="C76" i="8"/>
  <c r="C51" i="8"/>
  <c r="C72" i="8"/>
  <c r="C62" i="8"/>
  <c r="C83" i="8"/>
  <c r="C53" i="8"/>
  <c r="C74" i="8"/>
  <c r="C65" i="8"/>
  <c r="C86" i="8"/>
  <c r="C56" i="8"/>
  <c r="C77" i="8"/>
  <c r="C52" i="8"/>
  <c r="C73" i="8"/>
  <c r="C64" i="8"/>
  <c r="C85" i="8"/>
  <c r="C63" i="8"/>
  <c r="C84" i="8"/>
  <c r="C58" i="8"/>
  <c r="C79" i="8"/>
  <c r="C54" i="8"/>
  <c r="C75" i="8"/>
  <c r="C67" i="8"/>
  <c r="C88" i="8"/>
  <c r="C59" i="8"/>
  <c r="C80" i="8"/>
  <c r="C50" i="8"/>
  <c r="C71" i="8"/>
  <c r="AY28" i="7"/>
  <c r="AH28" i="7"/>
  <c r="B7" i="7" l="1"/>
  <c r="AU12" i="7" s="1"/>
  <c r="C7" i="7"/>
  <c r="B8" i="7"/>
  <c r="AU13" i="7" s="1"/>
  <c r="C8" i="7"/>
  <c r="B9" i="7"/>
  <c r="AU14" i="7" s="1"/>
  <c r="C9" i="7"/>
  <c r="B10" i="7"/>
  <c r="AB12" i="7" s="1"/>
  <c r="C10" i="7"/>
  <c r="B11" i="7"/>
  <c r="AB13" i="7" s="1"/>
  <c r="C11" i="7"/>
  <c r="B12" i="7"/>
  <c r="AU15" i="7" s="1"/>
  <c r="C12" i="7"/>
  <c r="B13" i="7"/>
  <c r="AB14" i="7" s="1"/>
  <c r="C13" i="7"/>
  <c r="B14" i="7"/>
  <c r="AU16" i="7" s="1"/>
  <c r="C14" i="7"/>
  <c r="B15" i="7"/>
  <c r="AB15" i="7" s="1"/>
  <c r="C15" i="7"/>
  <c r="B16" i="7"/>
  <c r="AU17" i="7" s="1"/>
  <c r="C16" i="7"/>
  <c r="B17" i="7"/>
  <c r="AB16" i="7" s="1"/>
  <c r="C17" i="7"/>
  <c r="B18" i="7"/>
  <c r="AB17" i="7" s="1"/>
  <c r="C18" i="7"/>
  <c r="B19" i="7"/>
  <c r="AU18" i="7" s="1"/>
  <c r="C19" i="7"/>
  <c r="B20" i="7"/>
  <c r="AB18" i="7" s="1"/>
  <c r="C20" i="7"/>
  <c r="B21" i="7"/>
  <c r="AU19" i="7" s="1"/>
  <c r="C21" i="7"/>
  <c r="B22" i="7"/>
  <c r="AB19" i="7" s="1"/>
  <c r="C22" i="7"/>
  <c r="N27" i="7"/>
  <c r="B30" i="7"/>
  <c r="D30" i="7"/>
  <c r="E30" i="7" s="1"/>
  <c r="B31" i="7"/>
  <c r="D31" i="7"/>
  <c r="E31" i="7" s="1"/>
  <c r="F31" i="7" s="1"/>
  <c r="B32" i="7"/>
  <c r="D32" i="7"/>
  <c r="E32" i="7" s="1"/>
  <c r="B33" i="7"/>
  <c r="D33" i="7"/>
  <c r="E33" i="7" s="1"/>
  <c r="F33" i="7" s="1"/>
  <c r="B34" i="7"/>
  <c r="D34" i="7"/>
  <c r="E34" i="7" s="1"/>
  <c r="B35" i="7"/>
  <c r="D35" i="7"/>
  <c r="E35" i="7" s="1"/>
  <c r="F35" i="7" s="1"/>
  <c r="B36" i="7"/>
  <c r="D36" i="7"/>
  <c r="E36" i="7" s="1"/>
  <c r="B37" i="7"/>
  <c r="D37" i="7"/>
  <c r="E37" i="7" s="1"/>
  <c r="F37" i="7" s="1"/>
  <c r="B38" i="7"/>
  <c r="D38" i="7"/>
  <c r="E38" i="7" s="1"/>
  <c r="B39" i="7"/>
  <c r="D39" i="7"/>
  <c r="E39" i="7" s="1"/>
  <c r="F39" i="7" s="1"/>
  <c r="B40" i="7"/>
  <c r="D40" i="7"/>
  <c r="E40" i="7" s="1"/>
  <c r="B41" i="7"/>
  <c r="D41" i="7"/>
  <c r="E41" i="7" s="1"/>
  <c r="F41" i="7" s="1"/>
  <c r="B42" i="7"/>
  <c r="D42" i="7"/>
  <c r="E42" i="7" s="1"/>
  <c r="B43" i="7"/>
  <c r="D43" i="7"/>
  <c r="E43" i="7" s="1"/>
  <c r="F43" i="7" s="1"/>
  <c r="B44" i="7"/>
  <c r="D44" i="7"/>
  <c r="E44" i="7" s="1"/>
  <c r="B45" i="7"/>
  <c r="D45" i="7"/>
  <c r="E45" i="7" s="1"/>
  <c r="F45" i="7" s="1"/>
  <c r="B46" i="7"/>
  <c r="D46" i="7"/>
  <c r="E46" i="7" s="1"/>
  <c r="B47" i="7"/>
  <c r="D47" i="7"/>
  <c r="E47" i="7" s="1"/>
  <c r="F47" i="7" s="1"/>
  <c r="B48" i="7"/>
  <c r="D48" i="7"/>
  <c r="E48" i="7" s="1"/>
  <c r="B49" i="7"/>
  <c r="D49" i="7"/>
  <c r="E49" i="7" s="1"/>
  <c r="F49" i="7" s="1"/>
  <c r="B50" i="7"/>
  <c r="D50" i="7"/>
  <c r="E50" i="7" s="1"/>
  <c r="B51" i="7"/>
  <c r="D51" i="7"/>
  <c r="E51" i="7" s="1"/>
  <c r="F51" i="7" s="1"/>
  <c r="B52" i="7"/>
  <c r="D52" i="7"/>
  <c r="E52" i="7" s="1"/>
  <c r="B53" i="7"/>
  <c r="D53" i="7"/>
  <c r="E53" i="7" s="1"/>
  <c r="F53" i="7" s="1"/>
  <c r="B54" i="7"/>
  <c r="D54" i="7"/>
  <c r="E54" i="7" s="1"/>
  <c r="B55" i="7"/>
  <c r="D55" i="7"/>
  <c r="E55" i="7" s="1"/>
  <c r="F55" i="7" s="1"/>
  <c r="B56" i="7"/>
  <c r="D56" i="7"/>
  <c r="E56" i="7" s="1"/>
  <c r="B57" i="7"/>
  <c r="D57" i="7"/>
  <c r="E57" i="7" s="1"/>
  <c r="F57" i="7" s="1"/>
  <c r="B58" i="7"/>
  <c r="D58" i="7"/>
  <c r="E58" i="7" s="1"/>
  <c r="B59" i="7"/>
  <c r="D59" i="7"/>
  <c r="E59" i="7" s="1"/>
  <c r="F59" i="7" s="1"/>
  <c r="B60" i="7"/>
  <c r="D60" i="7"/>
  <c r="E60" i="7" s="1"/>
  <c r="B61" i="7"/>
  <c r="D61" i="7"/>
  <c r="E61" i="7" s="1"/>
  <c r="F61" i="7" s="1"/>
  <c r="B62" i="7"/>
  <c r="D62" i="7"/>
  <c r="E62" i="7" s="1"/>
  <c r="B63" i="7"/>
  <c r="D63" i="7"/>
  <c r="E63" i="7" s="1"/>
  <c r="F63" i="7" s="1"/>
  <c r="B64" i="7"/>
  <c r="D64" i="7"/>
  <c r="E64" i="7" s="1"/>
  <c r="B65" i="7"/>
  <c r="D65" i="7"/>
  <c r="E65" i="7" s="1"/>
  <c r="F65" i="7" s="1"/>
  <c r="B66" i="7"/>
  <c r="D66" i="7"/>
  <c r="E66" i="7" s="1"/>
  <c r="B67" i="7"/>
  <c r="D67" i="7"/>
  <c r="E67" i="7" s="1"/>
  <c r="F67" i="7" s="1"/>
  <c r="B68" i="7"/>
  <c r="D68" i="7"/>
  <c r="E68" i="7" s="1"/>
  <c r="B69" i="7"/>
  <c r="D69" i="7"/>
  <c r="E69" i="7" s="1"/>
  <c r="F69" i="7" s="1"/>
  <c r="B70" i="7"/>
  <c r="D70" i="7"/>
  <c r="E70" i="7" s="1"/>
  <c r="B71" i="7"/>
  <c r="D71" i="7"/>
  <c r="E71" i="7" s="1"/>
  <c r="F71" i="7" s="1"/>
  <c r="B72" i="7"/>
  <c r="D72" i="7"/>
  <c r="E72" i="7" s="1"/>
  <c r="B73" i="7"/>
  <c r="D73" i="7"/>
  <c r="E73" i="7" s="1"/>
  <c r="F73" i="7" s="1"/>
  <c r="B74" i="7"/>
  <c r="D74" i="7"/>
  <c r="E74" i="7" s="1"/>
  <c r="B75" i="7"/>
  <c r="D75" i="7"/>
  <c r="E75" i="7" s="1"/>
  <c r="F75" i="7" s="1"/>
  <c r="B76" i="7"/>
  <c r="D76" i="7"/>
  <c r="E76" i="7" s="1"/>
  <c r="B77" i="7"/>
  <c r="D77" i="7"/>
  <c r="E77" i="7" s="1"/>
  <c r="F77" i="7" s="1"/>
  <c r="B78" i="7"/>
  <c r="D78" i="7"/>
  <c r="E78" i="7" s="1"/>
  <c r="B79" i="7"/>
  <c r="D79" i="7"/>
  <c r="E79" i="7" s="1"/>
  <c r="F79" i="7" s="1"/>
  <c r="AV18" i="7" l="1"/>
  <c r="AV14" i="7"/>
  <c r="AV12" i="7"/>
  <c r="AV17" i="7"/>
  <c r="AV16" i="7"/>
  <c r="AV15" i="7"/>
  <c r="AV13" i="7"/>
  <c r="AV19" i="7"/>
  <c r="AC12" i="7"/>
  <c r="AC16" i="7"/>
  <c r="AC15" i="7"/>
  <c r="AC14" i="7"/>
  <c r="AC13" i="7"/>
  <c r="AC19" i="7"/>
  <c r="AC18" i="7"/>
  <c r="AC17" i="7"/>
  <c r="F78" i="7"/>
  <c r="F76" i="7"/>
  <c r="F74" i="7"/>
  <c r="F72" i="7"/>
  <c r="F70" i="7"/>
  <c r="F68" i="7"/>
  <c r="F66" i="7"/>
  <c r="F64" i="7"/>
  <c r="F62" i="7"/>
  <c r="F60" i="7"/>
  <c r="F58" i="7"/>
  <c r="F56" i="7"/>
  <c r="F54" i="7"/>
  <c r="F52" i="7"/>
  <c r="F50" i="7"/>
  <c r="F48" i="7"/>
  <c r="F46" i="7"/>
  <c r="F44" i="7"/>
  <c r="F42" i="7"/>
  <c r="F40" i="7"/>
  <c r="F38" i="7"/>
  <c r="F36" i="7"/>
  <c r="F34" i="7"/>
  <c r="F32" i="7"/>
  <c r="F30" i="7"/>
  <c r="M31" i="1" l="1"/>
  <c r="M29" i="1"/>
  <c r="J9" i="4"/>
  <c r="H17" i="1"/>
  <c r="M17" i="1" s="1"/>
  <c r="H16" i="1"/>
  <c r="H15" i="1"/>
  <c r="M15" i="1" s="1"/>
  <c r="K32" i="4"/>
  <c r="K30" i="4"/>
  <c r="K28" i="4"/>
  <c r="K26" i="4"/>
  <c r="K24" i="4"/>
  <c r="K22" i="4"/>
  <c r="K20" i="4"/>
  <c r="K19" i="4"/>
  <c r="L32" i="1"/>
  <c r="L30" i="1"/>
  <c r="L28" i="1"/>
  <c r="L26" i="1"/>
  <c r="L24" i="1"/>
  <c r="L22" i="1"/>
  <c r="L20" i="1"/>
  <c r="L19" i="1"/>
  <c r="B4" i="2"/>
  <c r="M18" i="4"/>
  <c r="F9" i="8" s="1"/>
  <c r="M27" i="4"/>
  <c r="F18" i="8" s="1"/>
  <c r="H32" i="4"/>
  <c r="L31" i="4"/>
  <c r="H30" i="4"/>
  <c r="L29" i="4"/>
  <c r="H28" i="4"/>
  <c r="L28" i="4"/>
  <c r="H26" i="4"/>
  <c r="L26" i="4" s="1"/>
  <c r="L25" i="4"/>
  <c r="H24" i="4"/>
  <c r="L23" i="4"/>
  <c r="H22" i="4"/>
  <c r="L21" i="4"/>
  <c r="H20" i="4"/>
  <c r="H19" i="4"/>
  <c r="L17" i="4"/>
  <c r="L16" i="4"/>
  <c r="J8" i="4"/>
  <c r="J10" i="4" s="1"/>
  <c r="I22" i="1"/>
  <c r="I20" i="1"/>
  <c r="M20" i="1" s="1"/>
  <c r="I19" i="1"/>
  <c r="I32" i="1"/>
  <c r="I30" i="1"/>
  <c r="I28" i="1"/>
  <c r="M28" i="1" s="1"/>
  <c r="I26" i="1"/>
  <c r="I24" i="1"/>
  <c r="M19" i="1"/>
  <c r="M16" i="1"/>
  <c r="M21" i="1"/>
  <c r="M23" i="1"/>
  <c r="M25" i="1"/>
  <c r="K8" i="1"/>
  <c r="N30" i="1" s="1"/>
  <c r="K9" i="1"/>
  <c r="K10" i="1"/>
  <c r="K11" i="1" s="1"/>
  <c r="N26" i="1" l="1"/>
  <c r="N21" i="1"/>
  <c r="N31" i="1"/>
  <c r="O31" i="1" s="1"/>
  <c r="M31" i="22"/>
  <c r="M31" i="19"/>
  <c r="L22" i="4"/>
  <c r="L30" i="4"/>
  <c r="D13" i="8"/>
  <c r="D14" i="8"/>
  <c r="D18" i="8"/>
  <c r="D9" i="8"/>
  <c r="D22" i="8"/>
  <c r="D10" i="8"/>
  <c r="D6" i="8"/>
  <c r="D21" i="8"/>
  <c r="D19" i="8"/>
  <c r="D11" i="8"/>
  <c r="D12" i="8"/>
  <c r="D17" i="8"/>
  <c r="D15" i="8"/>
  <c r="D16" i="8"/>
  <c r="D8" i="8"/>
  <c r="D23" i="8"/>
  <c r="D7" i="8"/>
  <c r="D20" i="8"/>
  <c r="D19" i="7"/>
  <c r="D7" i="7"/>
  <c r="D14" i="7"/>
  <c r="D8" i="7"/>
  <c r="D10" i="7"/>
  <c r="D15" i="7"/>
  <c r="D11" i="7"/>
  <c r="D20" i="7"/>
  <c r="D18" i="7"/>
  <c r="D9" i="7"/>
  <c r="D16" i="7"/>
  <c r="D12" i="7"/>
  <c r="D21" i="7"/>
  <c r="D17" i="7"/>
  <c r="D13" i="7"/>
  <c r="D22" i="7"/>
  <c r="M30" i="1"/>
  <c r="O30" i="1" s="1"/>
  <c r="M22" i="1"/>
  <c r="M26" i="1"/>
  <c r="O26" i="1" s="1"/>
  <c r="L24" i="4"/>
  <c r="J11" i="4"/>
  <c r="L19" i="4"/>
  <c r="L20" i="4"/>
  <c r="L32" i="4"/>
  <c r="M24" i="1"/>
  <c r="M32" i="1"/>
  <c r="O21" i="1"/>
  <c r="N16" i="1"/>
  <c r="O16" i="1" s="1"/>
  <c r="N23" i="1"/>
  <c r="O23" i="1" s="1"/>
  <c r="N15" i="1"/>
  <c r="N19" i="1"/>
  <c r="O19" i="1" s="1"/>
  <c r="N24" i="1"/>
  <c r="N32" i="1"/>
  <c r="N17" i="1"/>
  <c r="O17" i="1" s="1"/>
  <c r="N29" i="1"/>
  <c r="O29" i="1" s="1"/>
  <c r="N22" i="1"/>
  <c r="N20" i="1"/>
  <c r="O20" i="1" s="1"/>
  <c r="U20" i="4" s="1"/>
  <c r="A45" i="9" s="1"/>
  <c r="N28" i="1"/>
  <c r="O28" i="1" s="1"/>
  <c r="N14" i="1"/>
  <c r="N25" i="1"/>
  <c r="O25" i="1" s="1"/>
  <c r="M29" i="23" l="1"/>
  <c r="U29" i="4"/>
  <c r="A69" i="9" s="1"/>
  <c r="M21" i="23"/>
  <c r="I48" i="9" s="1"/>
  <c r="I49" i="9" s="1"/>
  <c r="U21" i="4"/>
  <c r="A48" i="9" s="1"/>
  <c r="M31" i="23"/>
  <c r="U31" i="4"/>
  <c r="A75" i="9" s="1"/>
  <c r="M25" i="23"/>
  <c r="U25" i="4"/>
  <c r="A60" i="9" s="1"/>
  <c r="M19" i="23"/>
  <c r="U19" i="4"/>
  <c r="A42" i="9" s="1"/>
  <c r="M28" i="23"/>
  <c r="U28" i="4"/>
  <c r="A66" i="9" s="1"/>
  <c r="M17" i="23"/>
  <c r="U17" i="4"/>
  <c r="A39" i="9" s="1"/>
  <c r="M31" i="10"/>
  <c r="M31" i="18"/>
  <c r="M31" i="21"/>
  <c r="M16" i="23"/>
  <c r="I36" i="9" s="1"/>
  <c r="I37" i="9" s="1"/>
  <c r="U16" i="4"/>
  <c r="A36" i="9" s="1"/>
  <c r="M26" i="23"/>
  <c r="U26" i="4"/>
  <c r="A63" i="9" s="1"/>
  <c r="A46" i="9"/>
  <c r="M23" i="23"/>
  <c r="U23" i="4"/>
  <c r="A54" i="9" s="1"/>
  <c r="M30" i="23"/>
  <c r="I72" i="9" s="1"/>
  <c r="I73" i="9" s="1"/>
  <c r="U30" i="4"/>
  <c r="A72" i="9" s="1"/>
  <c r="M31" i="4"/>
  <c r="M31" i="20"/>
  <c r="L22" i="8"/>
  <c r="L44" i="8" s="1"/>
  <c r="L66" i="8" s="1"/>
  <c r="M20" i="8"/>
  <c r="M14" i="8"/>
  <c r="M36" i="8" s="1"/>
  <c r="M58" i="8" s="1"/>
  <c r="M16" i="8"/>
  <c r="I22" i="8"/>
  <c r="I44" i="8" s="1"/>
  <c r="I66" i="8" s="1"/>
  <c r="K22" i="8"/>
  <c r="K44" i="8" s="1"/>
  <c r="K66" i="8" s="1"/>
  <c r="M10" i="8"/>
  <c r="M32" i="8" s="1"/>
  <c r="M54" i="8" s="1"/>
  <c r="M17" i="8"/>
  <c r="J22" i="8"/>
  <c r="J44" i="8" s="1"/>
  <c r="J66" i="8" s="1"/>
  <c r="M19" i="8"/>
  <c r="M41" i="8" s="1"/>
  <c r="M63" i="8" s="1"/>
  <c r="M8" i="8"/>
  <c r="M30" i="8" s="1"/>
  <c r="M52" i="8" s="1"/>
  <c r="G22" i="8"/>
  <c r="G44" i="8" s="1"/>
  <c r="G66" i="8" s="1"/>
  <c r="H22" i="8"/>
  <c r="H44" i="8" s="1"/>
  <c r="H66" i="8" s="1"/>
  <c r="M20" i="22"/>
  <c r="H45" i="9" s="1"/>
  <c r="M20" i="23"/>
  <c r="I45" i="9" s="1"/>
  <c r="M28" i="21"/>
  <c r="G66" i="9" s="1"/>
  <c r="M28" i="22"/>
  <c r="H66" i="9" s="1"/>
  <c r="M23" i="21"/>
  <c r="G54" i="9" s="1"/>
  <c r="M23" i="22"/>
  <c r="H54" i="9" s="1"/>
  <c r="M30" i="21"/>
  <c r="G72" i="9" s="1"/>
  <c r="M30" i="22"/>
  <c r="H72" i="9" s="1"/>
  <c r="M25" i="21"/>
  <c r="G60" i="9" s="1"/>
  <c r="M25" i="22"/>
  <c r="H60" i="9" s="1"/>
  <c r="M16" i="21"/>
  <c r="G36" i="9" s="1"/>
  <c r="M16" i="22"/>
  <c r="H36" i="9" s="1"/>
  <c r="M17" i="21"/>
  <c r="G39" i="9" s="1"/>
  <c r="M17" i="22"/>
  <c r="M29" i="21"/>
  <c r="G69" i="9" s="1"/>
  <c r="M29" i="22"/>
  <c r="H69" i="9" s="1"/>
  <c r="M19" i="21"/>
  <c r="G42" i="9" s="1"/>
  <c r="M19" i="22"/>
  <c r="M21" i="21"/>
  <c r="G48" i="9" s="1"/>
  <c r="M21" i="22"/>
  <c r="H48" i="9" s="1"/>
  <c r="M26" i="21"/>
  <c r="G63" i="9" s="1"/>
  <c r="M26" i="22"/>
  <c r="H63" i="9" s="1"/>
  <c r="M20" i="20"/>
  <c r="F45" i="9" s="1"/>
  <c r="M20" i="21"/>
  <c r="G45" i="9" s="1"/>
  <c r="M25" i="19"/>
  <c r="D60" i="9" s="1"/>
  <c r="M25" i="20"/>
  <c r="F60" i="9" s="1"/>
  <c r="M16" i="19"/>
  <c r="D36" i="9" s="1"/>
  <c r="M16" i="20"/>
  <c r="F36" i="9" s="1"/>
  <c r="M29" i="19"/>
  <c r="D69" i="9" s="1"/>
  <c r="M29" i="20"/>
  <c r="F69" i="9" s="1"/>
  <c r="M19" i="19"/>
  <c r="M19" i="20"/>
  <c r="M21" i="19"/>
  <c r="D48" i="9" s="1"/>
  <c r="M21" i="20"/>
  <c r="F48" i="9" s="1"/>
  <c r="M26" i="19"/>
  <c r="D63" i="9" s="1"/>
  <c r="M26" i="20"/>
  <c r="F63" i="9" s="1"/>
  <c r="M28" i="19"/>
  <c r="D66" i="9" s="1"/>
  <c r="M28" i="20"/>
  <c r="F66" i="9" s="1"/>
  <c r="M17" i="19"/>
  <c r="M17" i="20"/>
  <c r="M23" i="19"/>
  <c r="D54" i="9" s="1"/>
  <c r="M23" i="20"/>
  <c r="F54" i="9" s="1"/>
  <c r="M30" i="19"/>
  <c r="D72" i="9" s="1"/>
  <c r="M30" i="20"/>
  <c r="F72" i="9" s="1"/>
  <c r="M20" i="18"/>
  <c r="E45" i="9" s="1"/>
  <c r="M20" i="19"/>
  <c r="D45" i="9" s="1"/>
  <c r="M28" i="18"/>
  <c r="E66" i="9" s="1"/>
  <c r="M25" i="18"/>
  <c r="E60" i="9" s="1"/>
  <c r="M16" i="18"/>
  <c r="E36" i="9" s="1"/>
  <c r="M17" i="18"/>
  <c r="M23" i="18"/>
  <c r="E54" i="9" s="1"/>
  <c r="M30" i="18"/>
  <c r="E72" i="9" s="1"/>
  <c r="M29" i="18"/>
  <c r="E69" i="9" s="1"/>
  <c r="M19" i="18"/>
  <c r="M21" i="18"/>
  <c r="E48" i="9" s="1"/>
  <c r="M26" i="18"/>
  <c r="E63" i="9" s="1"/>
  <c r="O32" i="1"/>
  <c r="U32" i="4" s="1"/>
  <c r="A78" i="9" s="1"/>
  <c r="O24" i="1"/>
  <c r="H44" i="7"/>
  <c r="G21" i="7"/>
  <c r="AZ19" i="7" s="1"/>
  <c r="E9" i="8"/>
  <c r="E31" i="8" s="1"/>
  <c r="E53" i="8" s="1"/>
  <c r="D31" i="8"/>
  <c r="D53" i="8" s="1"/>
  <c r="E8" i="8"/>
  <c r="E30" i="8" s="1"/>
  <c r="E52" i="8" s="1"/>
  <c r="E73" i="8" s="1"/>
  <c r="D30" i="8"/>
  <c r="D52" i="8" s="1"/>
  <c r="E12" i="8"/>
  <c r="E34" i="8" s="1"/>
  <c r="E56" i="8" s="1"/>
  <c r="E77" i="8" s="1"/>
  <c r="D34" i="8"/>
  <c r="D56" i="8" s="1"/>
  <c r="E6" i="8"/>
  <c r="E28" i="8" s="1"/>
  <c r="E50" i="8" s="1"/>
  <c r="E71" i="8" s="1"/>
  <c r="D28" i="8"/>
  <c r="D50" i="8" s="1"/>
  <c r="E18" i="8"/>
  <c r="E40" i="8" s="1"/>
  <c r="E62" i="8" s="1"/>
  <c r="D40" i="8"/>
  <c r="D62" i="8" s="1"/>
  <c r="E17" i="8"/>
  <c r="E39" i="8" s="1"/>
  <c r="E61" i="8" s="1"/>
  <c r="E82" i="8" s="1"/>
  <c r="D39" i="8"/>
  <c r="D61" i="8" s="1"/>
  <c r="E21" i="8"/>
  <c r="E43" i="8" s="1"/>
  <c r="E65" i="8" s="1"/>
  <c r="E86" i="8" s="1"/>
  <c r="D43" i="8"/>
  <c r="D65" i="8" s="1"/>
  <c r="E20" i="8"/>
  <c r="E42" i="8" s="1"/>
  <c r="E64" i="8" s="1"/>
  <c r="E85" i="8" s="1"/>
  <c r="D42" i="8"/>
  <c r="D64" i="8" s="1"/>
  <c r="E16" i="8"/>
  <c r="E38" i="8" s="1"/>
  <c r="E60" i="8" s="1"/>
  <c r="E81" i="8" s="1"/>
  <c r="D38" i="8"/>
  <c r="D60" i="8" s="1"/>
  <c r="E11" i="8"/>
  <c r="E33" i="8" s="1"/>
  <c r="E55" i="8" s="1"/>
  <c r="E76" i="8" s="1"/>
  <c r="D33" i="8"/>
  <c r="D55" i="8" s="1"/>
  <c r="E10" i="8"/>
  <c r="E32" i="8" s="1"/>
  <c r="E54" i="8" s="1"/>
  <c r="E75" i="8" s="1"/>
  <c r="D32" i="8"/>
  <c r="D54" i="8" s="1"/>
  <c r="E14" i="8"/>
  <c r="E36" i="8" s="1"/>
  <c r="E58" i="8" s="1"/>
  <c r="E79" i="8" s="1"/>
  <c r="D36" i="8"/>
  <c r="D58" i="8" s="1"/>
  <c r="E23" i="8"/>
  <c r="E45" i="8" s="1"/>
  <c r="E67" i="8" s="1"/>
  <c r="E88" i="8" s="1"/>
  <c r="D45" i="8"/>
  <c r="D67" i="8" s="1"/>
  <c r="E7" i="8"/>
  <c r="E29" i="8" s="1"/>
  <c r="E51" i="8" s="1"/>
  <c r="E72" i="8" s="1"/>
  <c r="D29" i="8"/>
  <c r="D51" i="8" s="1"/>
  <c r="E15" i="8"/>
  <c r="E37" i="8" s="1"/>
  <c r="E59" i="8" s="1"/>
  <c r="E80" i="8" s="1"/>
  <c r="D37" i="8"/>
  <c r="D59" i="8" s="1"/>
  <c r="E19" i="8"/>
  <c r="E41" i="8" s="1"/>
  <c r="E63" i="8" s="1"/>
  <c r="E84" i="8" s="1"/>
  <c r="D41" i="8"/>
  <c r="D63" i="8" s="1"/>
  <c r="E22" i="8"/>
  <c r="E44" i="8" s="1"/>
  <c r="E66" i="8" s="1"/>
  <c r="E87" i="8" s="1"/>
  <c r="D44" i="8"/>
  <c r="D66" i="8" s="1"/>
  <c r="E13" i="8"/>
  <c r="E35" i="8" s="1"/>
  <c r="E57" i="8" s="1"/>
  <c r="E78" i="8" s="1"/>
  <c r="D35" i="8"/>
  <c r="D57" i="8" s="1"/>
  <c r="M42" i="8"/>
  <c r="M64" i="8" s="1"/>
  <c r="M38" i="8"/>
  <c r="M60" i="8" s="1"/>
  <c r="M39" i="8"/>
  <c r="M61" i="8" s="1"/>
  <c r="M20" i="10"/>
  <c r="C45" i="9" s="1"/>
  <c r="A40" i="25" s="1"/>
  <c r="B40" i="25" s="1"/>
  <c r="G45" i="7"/>
  <c r="I45" i="7" s="1"/>
  <c r="J45" i="7" s="1"/>
  <c r="E22" i="7"/>
  <c r="AE19" i="7" s="1"/>
  <c r="F22" i="7"/>
  <c r="AF19" i="7" s="1"/>
  <c r="AD19" i="7"/>
  <c r="AD18" i="7"/>
  <c r="G43" i="7"/>
  <c r="I43" i="7" s="1"/>
  <c r="J43" i="7" s="1"/>
  <c r="E20" i="7"/>
  <c r="AE18" i="7" s="1"/>
  <c r="F20" i="7"/>
  <c r="AF18" i="7" s="1"/>
  <c r="M25" i="4"/>
  <c r="M25" i="10"/>
  <c r="C60" i="9" s="1"/>
  <c r="M16" i="4"/>
  <c r="M16" i="10"/>
  <c r="C36" i="9" s="1"/>
  <c r="M26" i="4"/>
  <c r="M26" i="10"/>
  <c r="C63" i="9" s="1"/>
  <c r="AD13" i="7"/>
  <c r="G34" i="7"/>
  <c r="I34" i="7" s="1"/>
  <c r="J34" i="7" s="1"/>
  <c r="E11" i="7"/>
  <c r="AE13" i="7" s="1"/>
  <c r="F11" i="7"/>
  <c r="AF13" i="7" s="1"/>
  <c r="M29" i="4"/>
  <c r="M29" i="10"/>
  <c r="C69" i="9" s="1"/>
  <c r="M19" i="10"/>
  <c r="M19" i="4"/>
  <c r="M21" i="4"/>
  <c r="M21" i="10"/>
  <c r="C48" i="9" s="1"/>
  <c r="AD16" i="7"/>
  <c r="E17" i="7"/>
  <c r="AE16" i="7" s="1"/>
  <c r="G40" i="7"/>
  <c r="I40" i="7" s="1"/>
  <c r="J40" i="7" s="1"/>
  <c r="F17" i="7"/>
  <c r="AF16" i="7" s="1"/>
  <c r="AW14" i="7"/>
  <c r="F9" i="7"/>
  <c r="AY14" i="7" s="1"/>
  <c r="G32" i="7"/>
  <c r="I32" i="7" s="1"/>
  <c r="J32" i="7" s="1"/>
  <c r="E9" i="7"/>
  <c r="AX14" i="7" s="1"/>
  <c r="E15" i="7"/>
  <c r="AE15" i="7" s="1"/>
  <c r="G38" i="7"/>
  <c r="I38" i="7" s="1"/>
  <c r="J38" i="7" s="1"/>
  <c r="F15" i="7"/>
  <c r="AF15" i="7" s="1"/>
  <c r="AD15" i="7"/>
  <c r="E7" i="7"/>
  <c r="AX12" i="7" s="1"/>
  <c r="G30" i="7"/>
  <c r="I30" i="7" s="1"/>
  <c r="J30" i="7" s="1"/>
  <c r="AW12" i="7"/>
  <c r="F7" i="7"/>
  <c r="AY12" i="7" s="1"/>
  <c r="M23" i="4"/>
  <c r="M23" i="10"/>
  <c r="C54" i="9" s="1"/>
  <c r="E12" i="7"/>
  <c r="AX15" i="7" s="1"/>
  <c r="F12" i="7"/>
  <c r="AY15" i="7" s="1"/>
  <c r="AW15" i="7"/>
  <c r="G35" i="7"/>
  <c r="I35" i="7" s="1"/>
  <c r="J35" i="7" s="1"/>
  <c r="F8" i="7"/>
  <c r="AY13" i="7" s="1"/>
  <c r="E8" i="7"/>
  <c r="AX13" i="7" s="1"/>
  <c r="G31" i="7"/>
  <c r="I31" i="7" s="1"/>
  <c r="J31" i="7" s="1"/>
  <c r="AW13" i="7"/>
  <c r="M30" i="4"/>
  <c r="M30" i="10"/>
  <c r="C72" i="9" s="1"/>
  <c r="AD14" i="7"/>
  <c r="E13" i="7"/>
  <c r="AE14" i="7" s="1"/>
  <c r="F13" i="7"/>
  <c r="AF14" i="7" s="1"/>
  <c r="G36" i="7"/>
  <c r="I36" i="7" s="1"/>
  <c r="J36" i="7" s="1"/>
  <c r="F16" i="7"/>
  <c r="AY17" i="7" s="1"/>
  <c r="E16" i="7"/>
  <c r="AX17" i="7" s="1"/>
  <c r="G39" i="7"/>
  <c r="I39" i="7" s="1"/>
  <c r="J39" i="7" s="1"/>
  <c r="AW17" i="7"/>
  <c r="E14" i="7"/>
  <c r="AX16" i="7" s="1"/>
  <c r="F14" i="7"/>
  <c r="AY16" i="7" s="1"/>
  <c r="AW16" i="7"/>
  <c r="G37" i="7"/>
  <c r="I37" i="7" s="1"/>
  <c r="J37" i="7" s="1"/>
  <c r="M28" i="4"/>
  <c r="M28" i="10"/>
  <c r="C66" i="9" s="1"/>
  <c r="M17" i="4"/>
  <c r="M17" i="10"/>
  <c r="C39" i="9" s="1"/>
  <c r="O15" i="1"/>
  <c r="U15" i="4" s="1"/>
  <c r="A33" i="9" s="1"/>
  <c r="AW19" i="7"/>
  <c r="E21" i="7"/>
  <c r="AX19" i="7" s="1"/>
  <c r="F21" i="7"/>
  <c r="AY19" i="7" s="1"/>
  <c r="G44" i="7"/>
  <c r="I44" i="7" s="1"/>
  <c r="J44" i="7" s="1"/>
  <c r="G41" i="7"/>
  <c r="I41" i="7" s="1"/>
  <c r="J41" i="7" s="1"/>
  <c r="F18" i="7"/>
  <c r="AF17" i="7" s="1"/>
  <c r="E18" i="7"/>
  <c r="AE17" i="7" s="1"/>
  <c r="AD17" i="7"/>
  <c r="E10" i="7"/>
  <c r="AE12" i="7" s="1"/>
  <c r="G33" i="7"/>
  <c r="I33" i="7" s="1"/>
  <c r="J33" i="7" s="1"/>
  <c r="F10" i="7"/>
  <c r="AF12" i="7" s="1"/>
  <c r="AD12" i="7"/>
  <c r="AW18" i="7"/>
  <c r="E19" i="7"/>
  <c r="AX18" i="7" s="1"/>
  <c r="F19" i="7"/>
  <c r="AY18" i="7" s="1"/>
  <c r="G42" i="7"/>
  <c r="I42" i="7" s="1"/>
  <c r="J42" i="7" s="1"/>
  <c r="O22" i="1"/>
  <c r="M20" i="4"/>
  <c r="B45" i="9" s="1"/>
  <c r="B46" i="9" s="1"/>
  <c r="A43" i="9" l="1"/>
  <c r="F12" i="8"/>
  <c r="F34" i="8" s="1"/>
  <c r="F56" i="8" s="1"/>
  <c r="B48" i="9"/>
  <c r="B49" i="9" s="1"/>
  <c r="F20" i="8"/>
  <c r="F42" i="8" s="1"/>
  <c r="F64" i="8" s="1"/>
  <c r="B69" i="9"/>
  <c r="B70" i="9" s="1"/>
  <c r="F7" i="8"/>
  <c r="F29" i="8" s="1"/>
  <c r="F51" i="8" s="1"/>
  <c r="B36" i="9"/>
  <c r="B37" i="9" s="1"/>
  <c r="F39" i="9"/>
  <c r="F42" i="9"/>
  <c r="M12" i="8"/>
  <c r="M34" i="8" s="1"/>
  <c r="M56" i="8" s="1"/>
  <c r="M7" i="8"/>
  <c r="M29" i="8" s="1"/>
  <c r="M51" i="8" s="1"/>
  <c r="F75" i="9"/>
  <c r="F76" i="9" s="1"/>
  <c r="A55" i="9"/>
  <c r="A58" i="25"/>
  <c r="B58" i="25" s="1"/>
  <c r="A64" i="9"/>
  <c r="G75" i="9"/>
  <c r="G76" i="9" s="1"/>
  <c r="I39" i="9"/>
  <c r="I40" i="9" s="1"/>
  <c r="I42" i="9"/>
  <c r="I43" i="9" s="1"/>
  <c r="I75" i="9"/>
  <c r="I76" i="9" s="1"/>
  <c r="M22" i="8"/>
  <c r="M44" i="8" s="1"/>
  <c r="M66" i="8" s="1"/>
  <c r="A64" i="25"/>
  <c r="B64" i="25" s="1"/>
  <c r="A70" i="9"/>
  <c r="A65" i="25" s="1"/>
  <c r="B65" i="25" s="1"/>
  <c r="A40" i="9"/>
  <c r="A76" i="9"/>
  <c r="F8" i="8"/>
  <c r="B39" i="9"/>
  <c r="B40" i="9" s="1"/>
  <c r="D39" i="9"/>
  <c r="D42" i="9"/>
  <c r="D43" i="9" s="1"/>
  <c r="F22" i="8"/>
  <c r="F44" i="8" s="1"/>
  <c r="F66" i="8" s="1"/>
  <c r="B75" i="9"/>
  <c r="B76" i="9" s="1"/>
  <c r="I54" i="9"/>
  <c r="I55" i="9" s="1"/>
  <c r="I63" i="9"/>
  <c r="I64" i="9" s="1"/>
  <c r="E75" i="9"/>
  <c r="E76" i="9" s="1"/>
  <c r="A67" i="9"/>
  <c r="A55" i="25"/>
  <c r="B55" i="25" s="1"/>
  <c r="A61" i="9"/>
  <c r="H75" i="9"/>
  <c r="H76" i="9" s="1"/>
  <c r="I69" i="9"/>
  <c r="I70" i="9" s="1"/>
  <c r="A79" i="9"/>
  <c r="F21" i="8"/>
  <c r="F43" i="8" s="1"/>
  <c r="F65" i="8" s="1"/>
  <c r="B72" i="9"/>
  <c r="B73" i="9" s="1"/>
  <c r="M22" i="23"/>
  <c r="I51" i="9" s="1"/>
  <c r="I52" i="9" s="1"/>
  <c r="U22" i="4"/>
  <c r="A51" i="9" s="1"/>
  <c r="F10" i="8"/>
  <c r="F32" i="8" s="1"/>
  <c r="F54" i="8" s="1"/>
  <c r="B42" i="9"/>
  <c r="B43" i="9" s="1"/>
  <c r="B33" i="9"/>
  <c r="B34" i="9" s="1"/>
  <c r="A34" i="9"/>
  <c r="F19" i="8"/>
  <c r="F41" i="8" s="1"/>
  <c r="F63" i="8" s="1"/>
  <c r="B66" i="9"/>
  <c r="B67" i="9" s="1"/>
  <c r="F14" i="8"/>
  <c r="F36" i="8" s="1"/>
  <c r="F58" i="8" s="1"/>
  <c r="B54" i="9"/>
  <c r="B55" i="9" s="1"/>
  <c r="C42" i="9"/>
  <c r="F17" i="8"/>
  <c r="F39" i="8" s="1"/>
  <c r="F61" i="8" s="1"/>
  <c r="B63" i="9"/>
  <c r="B64" i="9" s="1"/>
  <c r="F16" i="8"/>
  <c r="F38" i="8" s="1"/>
  <c r="F60" i="8" s="1"/>
  <c r="B60" i="9"/>
  <c r="B61" i="9" s="1"/>
  <c r="M24" i="23"/>
  <c r="I57" i="9" s="1"/>
  <c r="I58" i="9" s="1"/>
  <c r="U24" i="4"/>
  <c r="A57" i="9" s="1"/>
  <c r="E42" i="9"/>
  <c r="E39" i="9"/>
  <c r="H42" i="9"/>
  <c r="H39" i="9"/>
  <c r="M21" i="8"/>
  <c r="M43" i="8" s="1"/>
  <c r="M65" i="8" s="1"/>
  <c r="A67" i="25"/>
  <c r="B67" i="25" s="1"/>
  <c r="A73" i="9"/>
  <c r="A68" i="25" s="1"/>
  <c r="B68" i="25" s="1"/>
  <c r="A37" i="9"/>
  <c r="C75" i="9"/>
  <c r="C76" i="9" s="1"/>
  <c r="I66" i="9"/>
  <c r="I67" i="9" s="1"/>
  <c r="I60" i="9"/>
  <c r="I61" i="9" s="1"/>
  <c r="A49" i="9"/>
  <c r="A44" i="25" s="1"/>
  <c r="B44" i="25" s="1"/>
  <c r="D75" i="9"/>
  <c r="D76" i="9" s="1"/>
  <c r="G78" i="8"/>
  <c r="K78" i="8"/>
  <c r="J78" i="8"/>
  <c r="F78" i="8"/>
  <c r="H78" i="8"/>
  <c r="L78" i="8"/>
  <c r="I78" i="8"/>
  <c r="M78" i="8"/>
  <c r="H84" i="8"/>
  <c r="L84" i="8"/>
  <c r="F84" i="8"/>
  <c r="G84" i="8"/>
  <c r="I84" i="8"/>
  <c r="M84" i="8"/>
  <c r="J84" i="8"/>
  <c r="K84" i="8"/>
  <c r="I72" i="8"/>
  <c r="J72" i="8"/>
  <c r="M72" i="8"/>
  <c r="K72" i="8"/>
  <c r="G72" i="8"/>
  <c r="L72" i="8"/>
  <c r="F72" i="8"/>
  <c r="H72" i="8"/>
  <c r="H79" i="8"/>
  <c r="L79" i="8"/>
  <c r="F79" i="8"/>
  <c r="K79" i="8"/>
  <c r="I79" i="8"/>
  <c r="M79" i="8"/>
  <c r="J79" i="8"/>
  <c r="G79" i="8"/>
  <c r="I76" i="8"/>
  <c r="M76" i="8"/>
  <c r="H76" i="8"/>
  <c r="J76" i="8"/>
  <c r="F76" i="8"/>
  <c r="G76" i="8"/>
  <c r="K76" i="8"/>
  <c r="L76" i="8"/>
  <c r="I85" i="8"/>
  <c r="M85" i="8"/>
  <c r="H85" i="8"/>
  <c r="J85" i="8"/>
  <c r="F85" i="8"/>
  <c r="G85" i="8"/>
  <c r="K85" i="8"/>
  <c r="L85" i="8"/>
  <c r="G82" i="8"/>
  <c r="K82" i="8"/>
  <c r="H82" i="8"/>
  <c r="L82" i="8"/>
  <c r="I82" i="8"/>
  <c r="M82" i="8"/>
  <c r="J82" i="8"/>
  <c r="F82" i="8"/>
  <c r="L71" i="8"/>
  <c r="F71" i="8"/>
  <c r="K71" i="8"/>
  <c r="H71" i="8"/>
  <c r="I71" i="8"/>
  <c r="M71" i="8"/>
  <c r="G71" i="8"/>
  <c r="J71" i="8"/>
  <c r="G73" i="8"/>
  <c r="K73" i="8"/>
  <c r="H73" i="8"/>
  <c r="L73" i="8"/>
  <c r="I73" i="8"/>
  <c r="M73" i="8"/>
  <c r="J73" i="8"/>
  <c r="F73" i="8"/>
  <c r="G87" i="8"/>
  <c r="K87" i="8"/>
  <c r="I87" i="8"/>
  <c r="J87" i="8"/>
  <c r="F87" i="8"/>
  <c r="H87" i="8"/>
  <c r="L87" i="8"/>
  <c r="M87" i="8"/>
  <c r="I80" i="8"/>
  <c r="M80" i="8"/>
  <c r="L80" i="8"/>
  <c r="J80" i="8"/>
  <c r="F80" i="8"/>
  <c r="G80" i="8"/>
  <c r="K80" i="8"/>
  <c r="H80" i="8"/>
  <c r="H88" i="8"/>
  <c r="L88" i="8"/>
  <c r="J88" i="8"/>
  <c r="M88" i="8"/>
  <c r="K88" i="8"/>
  <c r="I88" i="8"/>
  <c r="F88" i="8"/>
  <c r="G88" i="8"/>
  <c r="H75" i="8"/>
  <c r="L75" i="8"/>
  <c r="F75" i="8"/>
  <c r="G75" i="8"/>
  <c r="I75" i="8"/>
  <c r="M75" i="8"/>
  <c r="J75" i="8"/>
  <c r="K75" i="8"/>
  <c r="J81" i="8"/>
  <c r="M81" i="8"/>
  <c r="G81" i="8"/>
  <c r="K81" i="8"/>
  <c r="H81" i="8"/>
  <c r="L81" i="8"/>
  <c r="F81" i="8"/>
  <c r="I81" i="8"/>
  <c r="J86" i="8"/>
  <c r="H86" i="8"/>
  <c r="F86" i="8"/>
  <c r="I86" i="8"/>
  <c r="G86" i="8"/>
  <c r="K86" i="8"/>
  <c r="L86" i="8"/>
  <c r="M86" i="8"/>
  <c r="J77" i="8"/>
  <c r="F77" i="8"/>
  <c r="I77" i="8"/>
  <c r="G77" i="8"/>
  <c r="K77" i="8"/>
  <c r="H77" i="8"/>
  <c r="L77" i="8"/>
  <c r="M77" i="8"/>
  <c r="G10" i="8"/>
  <c r="G32" i="8" s="1"/>
  <c r="G54" i="8" s="1"/>
  <c r="C43" i="9"/>
  <c r="I12" i="8"/>
  <c r="I34" i="8" s="1"/>
  <c r="I56" i="8" s="1"/>
  <c r="E49" i="9"/>
  <c r="I20" i="8"/>
  <c r="I42" i="8" s="1"/>
  <c r="I64" i="8" s="1"/>
  <c r="E70" i="9"/>
  <c r="I14" i="8"/>
  <c r="I36" i="8" s="1"/>
  <c r="I58" i="8" s="1"/>
  <c r="E55" i="9"/>
  <c r="I7" i="8"/>
  <c r="I29" i="8" s="1"/>
  <c r="I51" i="8" s="1"/>
  <c r="E37" i="9"/>
  <c r="I19" i="8"/>
  <c r="I41" i="8" s="1"/>
  <c r="I63" i="8" s="1"/>
  <c r="E67" i="9"/>
  <c r="F73" i="9"/>
  <c r="J21" i="8"/>
  <c r="J43" i="8" s="1"/>
  <c r="J65" i="8" s="1"/>
  <c r="F40" i="9"/>
  <c r="J8" i="8"/>
  <c r="J30" i="8" s="1"/>
  <c r="J52" i="8" s="1"/>
  <c r="F64" i="9"/>
  <c r="J17" i="8"/>
  <c r="J39" i="8" s="1"/>
  <c r="J61" i="8" s="1"/>
  <c r="F43" i="9"/>
  <c r="J10" i="8"/>
  <c r="J32" i="8" s="1"/>
  <c r="J54" i="8" s="1"/>
  <c r="F37" i="9"/>
  <c r="J7" i="8"/>
  <c r="J29" i="8" s="1"/>
  <c r="J51" i="8" s="1"/>
  <c r="G46" i="9"/>
  <c r="K11" i="8"/>
  <c r="K33" i="8" s="1"/>
  <c r="K55" i="8" s="1"/>
  <c r="H49" i="9"/>
  <c r="L12" i="8"/>
  <c r="L34" i="8" s="1"/>
  <c r="L56" i="8" s="1"/>
  <c r="H70" i="9"/>
  <c r="L20" i="8"/>
  <c r="L42" i="8" s="1"/>
  <c r="L64" i="8" s="1"/>
  <c r="H37" i="9"/>
  <c r="L7" i="8"/>
  <c r="L29" i="8" s="1"/>
  <c r="L51" i="8" s="1"/>
  <c r="H73" i="9"/>
  <c r="L21" i="8"/>
  <c r="L43" i="8" s="1"/>
  <c r="L65" i="8" s="1"/>
  <c r="H67" i="9"/>
  <c r="L19" i="8"/>
  <c r="L41" i="8" s="1"/>
  <c r="L63" i="8" s="1"/>
  <c r="G8" i="8"/>
  <c r="G30" i="8" s="1"/>
  <c r="G52" i="8" s="1"/>
  <c r="C40" i="9"/>
  <c r="G21" i="8"/>
  <c r="G43" i="8" s="1"/>
  <c r="G65" i="8" s="1"/>
  <c r="C73" i="9"/>
  <c r="G12" i="8"/>
  <c r="G34" i="8" s="1"/>
  <c r="G56" i="8" s="1"/>
  <c r="C49" i="9"/>
  <c r="G20" i="8"/>
  <c r="G42" i="8" s="1"/>
  <c r="G64" i="8" s="1"/>
  <c r="C70" i="9"/>
  <c r="G7" i="8"/>
  <c r="G29" i="8" s="1"/>
  <c r="G51" i="8" s="1"/>
  <c r="C37" i="9"/>
  <c r="G11" i="8"/>
  <c r="G33" i="8" s="1"/>
  <c r="G55" i="8" s="1"/>
  <c r="C46" i="9"/>
  <c r="A41" i="25" s="1"/>
  <c r="B41" i="25" s="1"/>
  <c r="H21" i="8"/>
  <c r="H43" i="8" s="1"/>
  <c r="H65" i="8" s="1"/>
  <c r="D73" i="9"/>
  <c r="H8" i="8"/>
  <c r="H30" i="8" s="1"/>
  <c r="H52" i="8" s="1"/>
  <c r="D40" i="9"/>
  <c r="H17" i="8"/>
  <c r="H39" i="8" s="1"/>
  <c r="H61" i="8" s="1"/>
  <c r="D64" i="9"/>
  <c r="H10" i="8"/>
  <c r="H32" i="8" s="1"/>
  <c r="H54" i="8" s="1"/>
  <c r="H7" i="8"/>
  <c r="H29" i="8" s="1"/>
  <c r="H51" i="8" s="1"/>
  <c r="D37" i="9"/>
  <c r="F46" i="9"/>
  <c r="J11" i="8"/>
  <c r="J33" i="8" s="1"/>
  <c r="J55" i="8" s="1"/>
  <c r="G49" i="9"/>
  <c r="K12" i="8"/>
  <c r="K34" i="8" s="1"/>
  <c r="K56" i="8" s="1"/>
  <c r="G70" i="9"/>
  <c r="K20" i="8"/>
  <c r="K42" i="8" s="1"/>
  <c r="K64" i="8" s="1"/>
  <c r="G37" i="9"/>
  <c r="K7" i="8"/>
  <c r="K29" i="8" s="1"/>
  <c r="K51" i="8" s="1"/>
  <c r="G73" i="9"/>
  <c r="K21" i="8"/>
  <c r="K43" i="8" s="1"/>
  <c r="K65" i="8" s="1"/>
  <c r="G67" i="9"/>
  <c r="K19" i="8"/>
  <c r="K41" i="8" s="1"/>
  <c r="K63" i="8" s="1"/>
  <c r="I17" i="8"/>
  <c r="I39" i="8" s="1"/>
  <c r="I61" i="8" s="1"/>
  <c r="E64" i="9"/>
  <c r="I10" i="8"/>
  <c r="I32" i="8" s="1"/>
  <c r="I54" i="8" s="1"/>
  <c r="E43" i="9"/>
  <c r="I21" i="8"/>
  <c r="I43" i="8" s="1"/>
  <c r="I65" i="8" s="1"/>
  <c r="E73" i="9"/>
  <c r="I8" i="8"/>
  <c r="I30" i="8" s="1"/>
  <c r="I52" i="8" s="1"/>
  <c r="E40" i="9"/>
  <c r="I16" i="8"/>
  <c r="I38" i="8" s="1"/>
  <c r="I60" i="8" s="1"/>
  <c r="E61" i="9"/>
  <c r="H11" i="8"/>
  <c r="H33" i="8" s="1"/>
  <c r="H55" i="8" s="1"/>
  <c r="D46" i="9"/>
  <c r="F55" i="9"/>
  <c r="J14" i="8"/>
  <c r="J36" i="8" s="1"/>
  <c r="J58" i="8" s="1"/>
  <c r="F67" i="9"/>
  <c r="J19" i="8"/>
  <c r="J41" i="8" s="1"/>
  <c r="J63" i="8" s="1"/>
  <c r="F49" i="9"/>
  <c r="J12" i="8"/>
  <c r="J34" i="8" s="1"/>
  <c r="J56" i="8" s="1"/>
  <c r="F70" i="9"/>
  <c r="J20" i="8"/>
  <c r="J42" i="8" s="1"/>
  <c r="J64" i="8" s="1"/>
  <c r="F61" i="9"/>
  <c r="J16" i="8"/>
  <c r="J38" i="8" s="1"/>
  <c r="J60" i="8" s="1"/>
  <c r="H64" i="9"/>
  <c r="L17" i="8"/>
  <c r="L39" i="8" s="1"/>
  <c r="L61" i="8" s="1"/>
  <c r="H43" i="9"/>
  <c r="L10" i="8"/>
  <c r="L32" i="8" s="1"/>
  <c r="L54" i="8" s="1"/>
  <c r="H40" i="9"/>
  <c r="L8" i="8"/>
  <c r="L30" i="8" s="1"/>
  <c r="L52" i="8" s="1"/>
  <c r="H61" i="9"/>
  <c r="L16" i="8"/>
  <c r="L38" i="8" s="1"/>
  <c r="L60" i="8" s="1"/>
  <c r="H55" i="9"/>
  <c r="L14" i="8"/>
  <c r="L36" i="8" s="1"/>
  <c r="L58" i="8" s="1"/>
  <c r="I46" i="9"/>
  <c r="M11" i="8"/>
  <c r="M33" i="8" s="1"/>
  <c r="M55" i="8" s="1"/>
  <c r="G19" i="8"/>
  <c r="G41" i="8" s="1"/>
  <c r="G63" i="8" s="1"/>
  <c r="C67" i="9"/>
  <c r="G14" i="8"/>
  <c r="G36" i="8" s="1"/>
  <c r="G58" i="8" s="1"/>
  <c r="C55" i="9"/>
  <c r="G17" i="8"/>
  <c r="G39" i="8" s="1"/>
  <c r="G61" i="8" s="1"/>
  <c r="C64" i="9"/>
  <c r="G16" i="8"/>
  <c r="G38" i="8" s="1"/>
  <c r="G60" i="8" s="1"/>
  <c r="C61" i="9"/>
  <c r="I11" i="8"/>
  <c r="I33" i="8" s="1"/>
  <c r="I55" i="8" s="1"/>
  <c r="E46" i="9"/>
  <c r="H14" i="8"/>
  <c r="H36" i="8" s="1"/>
  <c r="H58" i="8" s="1"/>
  <c r="D55" i="9"/>
  <c r="H19" i="8"/>
  <c r="H41" i="8" s="1"/>
  <c r="H63" i="8" s="1"/>
  <c r="D67" i="9"/>
  <c r="H12" i="8"/>
  <c r="H34" i="8" s="1"/>
  <c r="H56" i="8" s="1"/>
  <c r="D49" i="9"/>
  <c r="H20" i="8"/>
  <c r="H42" i="8" s="1"/>
  <c r="H64" i="8" s="1"/>
  <c r="D70" i="9"/>
  <c r="H16" i="8"/>
  <c r="H38" i="8" s="1"/>
  <c r="H60" i="8" s="1"/>
  <c r="D61" i="9"/>
  <c r="G64" i="9"/>
  <c r="K17" i="8"/>
  <c r="K39" i="8" s="1"/>
  <c r="K61" i="8" s="1"/>
  <c r="G43" i="9"/>
  <c r="K10" i="8"/>
  <c r="K32" i="8" s="1"/>
  <c r="K54" i="8" s="1"/>
  <c r="G40" i="9"/>
  <c r="K8" i="8"/>
  <c r="K30" i="8" s="1"/>
  <c r="K52" i="8" s="1"/>
  <c r="G61" i="9"/>
  <c r="K16" i="8"/>
  <c r="K38" i="8" s="1"/>
  <c r="K60" i="8" s="1"/>
  <c r="G55" i="9"/>
  <c r="K14" i="8"/>
  <c r="K36" i="8" s="1"/>
  <c r="K58" i="8" s="1"/>
  <c r="H46" i="9"/>
  <c r="L11" i="8"/>
  <c r="L33" i="8" s="1"/>
  <c r="L55" i="8" s="1"/>
  <c r="M15" i="22"/>
  <c r="H33" i="9" s="1"/>
  <c r="M15" i="23"/>
  <c r="I33" i="9" s="1"/>
  <c r="M32" i="22"/>
  <c r="H78" i="9" s="1"/>
  <c r="M32" i="23"/>
  <c r="I78" i="9" s="1"/>
  <c r="M24" i="21"/>
  <c r="G57" i="9" s="1"/>
  <c r="M24" i="22"/>
  <c r="H57" i="9" s="1"/>
  <c r="M22" i="21"/>
  <c r="G51" i="9" s="1"/>
  <c r="M22" i="22"/>
  <c r="H51" i="9" s="1"/>
  <c r="M32" i="20"/>
  <c r="F78" i="9" s="1"/>
  <c r="M32" i="21"/>
  <c r="G78" i="9" s="1"/>
  <c r="M15" i="20"/>
  <c r="F33" i="9" s="1"/>
  <c r="M15" i="21"/>
  <c r="G33" i="9" s="1"/>
  <c r="M24" i="19"/>
  <c r="D57" i="9" s="1"/>
  <c r="M24" i="20"/>
  <c r="F57" i="9" s="1"/>
  <c r="M22" i="19"/>
  <c r="D51" i="9" s="1"/>
  <c r="M22" i="20"/>
  <c r="F51" i="9" s="1"/>
  <c r="M15" i="18"/>
  <c r="E33" i="9" s="1"/>
  <c r="M15" i="19"/>
  <c r="D33" i="9" s="1"/>
  <c r="M32" i="18"/>
  <c r="E78" i="9" s="1"/>
  <c r="M32" i="19"/>
  <c r="D78" i="9" s="1"/>
  <c r="M24" i="18"/>
  <c r="E57" i="9" s="1"/>
  <c r="M22" i="18"/>
  <c r="E51" i="9" s="1"/>
  <c r="M24" i="10"/>
  <c r="C57" i="9" s="1"/>
  <c r="M32" i="4"/>
  <c r="M15" i="10"/>
  <c r="M24" i="4"/>
  <c r="M32" i="10"/>
  <c r="C78" i="9" s="1"/>
  <c r="H21" i="7"/>
  <c r="BA19" i="7" s="1"/>
  <c r="K44" i="7"/>
  <c r="G20" i="7"/>
  <c r="AG18" i="7" s="1"/>
  <c r="H31" i="7"/>
  <c r="K31" i="7" s="1"/>
  <c r="G9" i="7"/>
  <c r="AZ14" i="7" s="1"/>
  <c r="G14" i="7"/>
  <c r="AZ16" i="7" s="1"/>
  <c r="H35" i="7"/>
  <c r="K35" i="7" s="1"/>
  <c r="H39" i="7"/>
  <c r="K39" i="7" s="1"/>
  <c r="G17" i="7"/>
  <c r="AG16" i="7" s="1"/>
  <c r="H37" i="7"/>
  <c r="K37" i="7" s="1"/>
  <c r="H40" i="7"/>
  <c r="K40" i="7" s="1"/>
  <c r="G10" i="7"/>
  <c r="AG12" i="7" s="1"/>
  <c r="H33" i="7"/>
  <c r="K33" i="7" s="1"/>
  <c r="H32" i="7"/>
  <c r="K32" i="7" s="1"/>
  <c r="G16" i="7"/>
  <c r="AZ17" i="7" s="1"/>
  <c r="H43" i="7"/>
  <c r="K43" i="7" s="1"/>
  <c r="G12" i="7"/>
  <c r="AZ15" i="7" s="1"/>
  <c r="G8" i="7"/>
  <c r="AZ13" i="7" s="1"/>
  <c r="G11" i="7"/>
  <c r="AG13" i="7" s="1"/>
  <c r="F11" i="8"/>
  <c r="F33" i="8" s="1"/>
  <c r="F55" i="8" s="1"/>
  <c r="M22" i="4"/>
  <c r="B51" i="9" s="1"/>
  <c r="B52" i="9" s="1"/>
  <c r="M22" i="10"/>
  <c r="C51" i="9" s="1"/>
  <c r="M15" i="4"/>
  <c r="F6" i="8" s="1"/>
  <c r="G18" i="7"/>
  <c r="AG17" i="7" s="1"/>
  <c r="H42" i="7"/>
  <c r="K42" i="7" s="1"/>
  <c r="H41" i="7"/>
  <c r="K41" i="7" s="1"/>
  <c r="G19" i="7"/>
  <c r="AZ18" i="7" s="1"/>
  <c r="H34" i="7"/>
  <c r="K34" i="7" s="1"/>
  <c r="A71" i="25" l="1"/>
  <c r="B71" i="25" s="1"/>
  <c r="M13" i="8"/>
  <c r="M35" i="8" s="1"/>
  <c r="M57" i="8" s="1"/>
  <c r="M15" i="8"/>
  <c r="M37" i="8" s="1"/>
  <c r="M59" i="8" s="1"/>
  <c r="A32" i="25"/>
  <c r="B32" i="25" s="1"/>
  <c r="A62" i="25"/>
  <c r="B62" i="25" s="1"/>
  <c r="A70" i="25"/>
  <c r="B70" i="25" s="1"/>
  <c r="A50" i="25"/>
  <c r="B50" i="25" s="1"/>
  <c r="F15" i="8"/>
  <c r="F37" i="8" s="1"/>
  <c r="F59" i="8" s="1"/>
  <c r="B57" i="9"/>
  <c r="B58" i="9" s="1"/>
  <c r="A31" i="25"/>
  <c r="B31" i="25" s="1"/>
  <c r="A61" i="25"/>
  <c r="B61" i="25" s="1"/>
  <c r="A35" i="25"/>
  <c r="B35" i="25" s="1"/>
  <c r="A49" i="25"/>
  <c r="B49" i="25" s="1"/>
  <c r="A38" i="25"/>
  <c r="B38" i="25" s="1"/>
  <c r="F23" i="8"/>
  <c r="F45" i="8" s="1"/>
  <c r="F67" i="8" s="1"/>
  <c r="B78" i="9"/>
  <c r="A43" i="25"/>
  <c r="B43" i="25" s="1"/>
  <c r="C34" i="9"/>
  <c r="A29" i="25" s="1"/>
  <c r="B29" i="25" s="1"/>
  <c r="C33" i="9"/>
  <c r="A52" i="25"/>
  <c r="B52" i="25" s="1"/>
  <c r="A58" i="9"/>
  <c r="A28" i="25"/>
  <c r="B28" i="25" s="1"/>
  <c r="A46" i="25"/>
  <c r="B46" i="25" s="1"/>
  <c r="A52" i="9"/>
  <c r="A56" i="25"/>
  <c r="B56" i="25" s="1"/>
  <c r="A34" i="25"/>
  <c r="B34" i="25" s="1"/>
  <c r="A59" i="25"/>
  <c r="B59" i="25" s="1"/>
  <c r="A37" i="25"/>
  <c r="B37" i="25" s="1"/>
  <c r="I23" i="8"/>
  <c r="I45" i="8" s="1"/>
  <c r="I67" i="8" s="1"/>
  <c r="E79" i="9"/>
  <c r="F34" i="9"/>
  <c r="J6" i="8"/>
  <c r="H79" i="9"/>
  <c r="L23" i="8"/>
  <c r="L45" i="8" s="1"/>
  <c r="L67" i="8" s="1"/>
  <c r="G13" i="8"/>
  <c r="G35" i="8" s="1"/>
  <c r="G57" i="8" s="1"/>
  <c r="C52" i="9"/>
  <c r="I15" i="8"/>
  <c r="I37" i="8" s="1"/>
  <c r="I59" i="8" s="1"/>
  <c r="E58" i="9"/>
  <c r="H6" i="8"/>
  <c r="D34" i="9"/>
  <c r="F58" i="9"/>
  <c r="J15" i="8"/>
  <c r="J37" i="8" s="1"/>
  <c r="J59" i="8" s="1"/>
  <c r="G79" i="9"/>
  <c r="K23" i="8"/>
  <c r="K45" i="8" s="1"/>
  <c r="K67" i="8" s="1"/>
  <c r="H58" i="9"/>
  <c r="L15" i="8"/>
  <c r="L37" i="8" s="1"/>
  <c r="L59" i="8" s="1"/>
  <c r="I34" i="9"/>
  <c r="M6" i="8"/>
  <c r="M28" i="8" s="1"/>
  <c r="M50" i="8" s="1"/>
  <c r="F79" i="9"/>
  <c r="J23" i="8"/>
  <c r="J45" i="8" s="1"/>
  <c r="J67" i="8" s="1"/>
  <c r="H34" i="9"/>
  <c r="L6" i="8"/>
  <c r="G15" i="8"/>
  <c r="G37" i="8" s="1"/>
  <c r="G59" i="8" s="1"/>
  <c r="C58" i="9"/>
  <c r="I6" i="8"/>
  <c r="I28" i="8" s="1"/>
  <c r="I50" i="8" s="1"/>
  <c r="E34" i="9"/>
  <c r="H15" i="8"/>
  <c r="H37" i="8" s="1"/>
  <c r="H59" i="8" s="1"/>
  <c r="D58" i="9"/>
  <c r="G58" i="9"/>
  <c r="K15" i="8"/>
  <c r="K37" i="8" s="1"/>
  <c r="K59" i="8" s="1"/>
  <c r="I13" i="8"/>
  <c r="I35" i="8" s="1"/>
  <c r="I57" i="8" s="1"/>
  <c r="E52" i="9"/>
  <c r="H23" i="8"/>
  <c r="H45" i="8" s="1"/>
  <c r="H67" i="8" s="1"/>
  <c r="D79" i="9"/>
  <c r="F52" i="9"/>
  <c r="J13" i="8"/>
  <c r="J35" i="8" s="1"/>
  <c r="J57" i="8" s="1"/>
  <c r="G34" i="9"/>
  <c r="K6" i="8"/>
  <c r="K28" i="8" s="1"/>
  <c r="K50" i="8" s="1"/>
  <c r="H52" i="9"/>
  <c r="L13" i="8"/>
  <c r="L35" i="8" s="1"/>
  <c r="L57" i="8" s="1"/>
  <c r="I79" i="9"/>
  <c r="M23" i="8"/>
  <c r="M45" i="8" s="1"/>
  <c r="M67" i="8" s="1"/>
  <c r="G23" i="8"/>
  <c r="G45" i="8" s="1"/>
  <c r="G67" i="8" s="1"/>
  <c r="C79" i="9"/>
  <c r="H13" i="8"/>
  <c r="H35" i="8" s="1"/>
  <c r="H57" i="8" s="1"/>
  <c r="D52" i="9"/>
  <c r="G52" i="9"/>
  <c r="K13" i="8"/>
  <c r="K35" i="8" s="1"/>
  <c r="K57" i="8" s="1"/>
  <c r="H45" i="7"/>
  <c r="K45" i="7" s="1"/>
  <c r="H38" i="7"/>
  <c r="K38" i="7" s="1"/>
  <c r="G22" i="7"/>
  <c r="AG19" i="7" s="1"/>
  <c r="G15" i="7"/>
  <c r="AG15" i="7" s="1"/>
  <c r="H20" i="7"/>
  <c r="AH18" i="7" s="1"/>
  <c r="L28" i="8"/>
  <c r="L50" i="8" s="1"/>
  <c r="H28" i="8"/>
  <c r="H50" i="8" s="1"/>
  <c r="J28" i="8"/>
  <c r="J50" i="8" s="1"/>
  <c r="G6" i="8"/>
  <c r="G28" i="8" s="1"/>
  <c r="G50" i="8" s="1"/>
  <c r="H12" i="7"/>
  <c r="BA15" i="7" s="1"/>
  <c r="H9" i="7"/>
  <c r="BA14" i="7" s="1"/>
  <c r="H14" i="7"/>
  <c r="BA16" i="7" s="1"/>
  <c r="H17" i="7"/>
  <c r="AH16" i="7" s="1"/>
  <c r="H19" i="7"/>
  <c r="BA18" i="7" s="1"/>
  <c r="H8" i="7"/>
  <c r="BA13" i="7" s="1"/>
  <c r="H10" i="7"/>
  <c r="AH12" i="7" s="1"/>
  <c r="H16" i="7"/>
  <c r="BA17" i="7" s="1"/>
  <c r="H18" i="7"/>
  <c r="AH17" i="7" s="1"/>
  <c r="F28" i="8"/>
  <c r="F50" i="8" s="1"/>
  <c r="H30" i="7"/>
  <c r="K30" i="7" s="1"/>
  <c r="G7" i="7"/>
  <c r="H36" i="7"/>
  <c r="K36" i="7" s="1"/>
  <c r="K47" i="7" s="1"/>
  <c r="F13" i="8"/>
  <c r="F35" i="8" s="1"/>
  <c r="F57" i="8" s="1"/>
  <c r="G13" i="7"/>
  <c r="H11" i="7"/>
  <c r="AH13" i="7" s="1"/>
  <c r="A53" i="25" l="1"/>
  <c r="B53" i="25" s="1"/>
  <c r="K48" i="7"/>
  <c r="K46" i="7"/>
  <c r="A47" i="25"/>
  <c r="B47" i="25" s="1"/>
  <c r="B79" i="9"/>
  <c r="A74" i="25" s="1"/>
  <c r="B74" i="25" s="1"/>
  <c r="A73" i="25"/>
  <c r="B73" i="25" s="1"/>
  <c r="H15" i="7"/>
  <c r="AH15" i="7" s="1"/>
  <c r="AH25" i="7" s="1"/>
  <c r="AH26" i="7" s="1"/>
  <c r="H22" i="7"/>
  <c r="AH19" i="7" s="1"/>
  <c r="AG14" i="7"/>
  <c r="H13" i="7"/>
  <c r="AH14" i="7" s="1"/>
  <c r="AZ12" i="7"/>
  <c r="H7" i="7"/>
  <c r="N23" i="7" l="1"/>
  <c r="N24" i="7"/>
  <c r="N25" i="7" s="1"/>
  <c r="N26" i="7" s="1"/>
  <c r="AH27" i="7"/>
  <c r="AH24" i="7"/>
  <c r="BA12" i="7"/>
  <c r="AY24" i="7" l="1"/>
  <c r="AY25" i="7"/>
  <c r="AY26" i="7" l="1"/>
  <c r="AY2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7" authorId="0" shapeId="0" xr:uid="{DB5E551F-42AB-472E-A0C7-EB81925DC892}">
      <text>
        <r>
          <rPr>
            <b/>
            <sz val="9"/>
            <color indexed="81"/>
            <rFont val="Tahoma"/>
            <family val="2"/>
          </rPr>
          <t>Author:</t>
        </r>
        <r>
          <rPr>
            <sz val="9"/>
            <color indexed="81"/>
            <rFont val="Tahoma"/>
            <family val="2"/>
          </rPr>
          <t xml:space="preserve">
Not really sure whether the exponent should be 1 or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3" authorId="0" shapeId="0" xr:uid="{3F98EDE5-3388-4666-A368-3493A859EDAB}">
      <text>
        <r>
          <rPr>
            <b/>
            <sz val="9"/>
            <color indexed="81"/>
            <rFont val="Tahoma"/>
            <charset val="1"/>
          </rPr>
          <t>Author:</t>
        </r>
        <r>
          <rPr>
            <sz val="9"/>
            <color indexed="81"/>
            <rFont val="Tahoma"/>
            <charset val="1"/>
          </rPr>
          <t xml:space="preserve">
Or toluene, if you're using it to normlize.</t>
        </r>
      </text>
    </comment>
    <comment ref="L13" authorId="0" shapeId="0" xr:uid="{1BEE34D5-465F-453F-9729-54B60BFD4625}">
      <text>
        <r>
          <rPr>
            <b/>
            <sz val="9"/>
            <color indexed="81"/>
            <rFont val="Tahoma"/>
            <charset val="1"/>
          </rPr>
          <t>Author:</t>
        </r>
        <r>
          <rPr>
            <sz val="9"/>
            <color indexed="81"/>
            <rFont val="Tahoma"/>
            <charset val="1"/>
          </rPr>
          <t xml:space="preserve">
Or dark count, if you're using toluene to normalize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52C6A7F3-16F8-410F-BE9A-3C0CBB74FF7E}">
      <text>
        <r>
          <rPr>
            <b/>
            <sz val="9"/>
            <color indexed="81"/>
            <rFont val="Tahoma"/>
            <family val="2"/>
          </rPr>
          <t>Author:</t>
        </r>
        <r>
          <rPr>
            <sz val="9"/>
            <color indexed="81"/>
            <rFont val="Tahoma"/>
            <family val="2"/>
          </rPr>
          <t xml:space="preserve">
From DLS results; enter 1
 if not yet known</t>
        </r>
      </text>
    </comment>
    <comment ref="J9" authorId="0" shapeId="0" xr:uid="{6CB500F6-8976-4707-BEED-93FBBDA51BDC}">
      <text>
        <r>
          <rPr>
            <b/>
            <sz val="9"/>
            <color indexed="81"/>
            <rFont val="Tahoma"/>
            <family val="2"/>
          </rPr>
          <t>Author:</t>
        </r>
        <r>
          <rPr>
            <sz val="9"/>
            <color indexed="81"/>
            <rFont val="Tahoma"/>
            <family val="2"/>
          </rPr>
          <t xml:space="preserve">
Light wavelength relative to scatterer size</t>
        </r>
      </text>
    </comment>
    <comment ref="J10" authorId="0" shapeId="0" xr:uid="{4E628910-0ABE-48F1-AAF6-4CBFEDB33751}">
      <text>
        <r>
          <rPr>
            <b/>
            <sz val="9"/>
            <color indexed="81"/>
            <rFont val="Tahoma"/>
            <family val="2"/>
          </rPr>
          <t>Author:</t>
        </r>
        <r>
          <rPr>
            <sz val="9"/>
            <color indexed="81"/>
            <rFont val="Tahoma"/>
            <family val="2"/>
          </rPr>
          <t xml:space="preserve">
&lt;1 implies you are in Guinier region</t>
        </r>
      </text>
    </comment>
    <comment ref="J11" authorId="0" shapeId="0" xr:uid="{F86E7D03-0384-4E1A-825A-A5A968412FFB}">
      <text>
        <r>
          <rPr>
            <b/>
            <sz val="9"/>
            <color indexed="81"/>
            <rFont val="Tahoma"/>
            <family val="2"/>
          </rPr>
          <t>Author:</t>
        </r>
        <r>
          <rPr>
            <sz val="9"/>
            <color indexed="81"/>
            <rFont val="Tahoma"/>
            <family val="2"/>
          </rPr>
          <t xml:space="preserve">
The deviation from 1 shows how much there is to measure. Roughly speaking, anything lower than 0.9 is a good sign.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AC013FFB-C857-49AF-B268-D8B4416653E2}">
      <text>
        <r>
          <rPr>
            <b/>
            <sz val="9"/>
            <color indexed="81"/>
            <rFont val="Tahoma"/>
            <family val="2"/>
          </rPr>
          <t>Author:</t>
        </r>
        <r>
          <rPr>
            <sz val="9"/>
            <color indexed="81"/>
            <rFont val="Tahoma"/>
            <family val="2"/>
          </rPr>
          <t xml:space="preserve">
From DLS results; enter 1 if not yet known</t>
        </r>
      </text>
    </comment>
    <comment ref="J9" authorId="0" shapeId="0" xr:uid="{27E82AEF-0873-4D39-BA40-16F14D43B919}">
      <text>
        <r>
          <rPr>
            <b/>
            <sz val="9"/>
            <color indexed="81"/>
            <rFont val="Tahoma"/>
            <family val="2"/>
          </rPr>
          <t>Author:</t>
        </r>
        <r>
          <rPr>
            <sz val="9"/>
            <color indexed="81"/>
            <rFont val="Tahoma"/>
            <family val="2"/>
          </rPr>
          <t xml:space="preserve">
Light wavelength relative to scatterer size</t>
        </r>
      </text>
    </comment>
    <comment ref="J10" authorId="0" shapeId="0" xr:uid="{2BA3EE16-7420-42F2-A871-E037AC790BA0}">
      <text>
        <r>
          <rPr>
            <b/>
            <sz val="9"/>
            <color indexed="81"/>
            <rFont val="Tahoma"/>
            <family val="2"/>
          </rPr>
          <t>Author:</t>
        </r>
        <r>
          <rPr>
            <sz val="9"/>
            <color indexed="81"/>
            <rFont val="Tahoma"/>
            <family val="2"/>
          </rPr>
          <t xml:space="preserve">
&lt;1 implies you are in Guinier region</t>
        </r>
      </text>
    </comment>
    <comment ref="J11" authorId="0" shapeId="0" xr:uid="{22E11214-79D3-4007-8906-12CD83FC3741}">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FFEF3FE8-5FF2-4964-BEEB-2298EA1A9B23}">
      <text>
        <r>
          <rPr>
            <b/>
            <sz val="9"/>
            <color indexed="81"/>
            <rFont val="Tahoma"/>
            <family val="2"/>
          </rPr>
          <t>Author:</t>
        </r>
        <r>
          <rPr>
            <sz val="9"/>
            <color indexed="81"/>
            <rFont val="Tahoma"/>
            <family val="2"/>
          </rPr>
          <t xml:space="preserve">
From DLS results; enter 1 if not yet known</t>
        </r>
      </text>
    </comment>
    <comment ref="J9" authorId="0" shapeId="0" xr:uid="{DF6CC008-BA82-47BA-9495-08BFDD9ED743}">
      <text>
        <r>
          <rPr>
            <b/>
            <sz val="9"/>
            <color indexed="81"/>
            <rFont val="Tahoma"/>
            <family val="2"/>
          </rPr>
          <t>Author:</t>
        </r>
        <r>
          <rPr>
            <sz val="9"/>
            <color indexed="81"/>
            <rFont val="Tahoma"/>
            <family val="2"/>
          </rPr>
          <t xml:space="preserve">
Light wavelength relative to scatterer size</t>
        </r>
      </text>
    </comment>
    <comment ref="J10" authorId="0" shapeId="0" xr:uid="{0CF1933C-F3AF-4433-A275-E55A3A29C152}">
      <text>
        <r>
          <rPr>
            <b/>
            <sz val="9"/>
            <color indexed="81"/>
            <rFont val="Tahoma"/>
            <family val="2"/>
          </rPr>
          <t>Author:</t>
        </r>
        <r>
          <rPr>
            <sz val="9"/>
            <color indexed="81"/>
            <rFont val="Tahoma"/>
            <family val="2"/>
          </rPr>
          <t xml:space="preserve">
&lt;1 implies you are in Guinier region</t>
        </r>
      </text>
    </comment>
    <comment ref="J11" authorId="0" shapeId="0" xr:uid="{206C643E-A4E6-4D7C-ABC8-F89E875AE09F}">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CB07922B-0270-4F42-ADAD-DDEF1FB8B49D}">
      <text>
        <r>
          <rPr>
            <b/>
            <sz val="9"/>
            <color indexed="81"/>
            <rFont val="Tahoma"/>
            <family val="2"/>
          </rPr>
          <t>Author:</t>
        </r>
        <r>
          <rPr>
            <sz val="9"/>
            <color indexed="81"/>
            <rFont val="Tahoma"/>
            <family val="2"/>
          </rPr>
          <t xml:space="preserve">
From DLS results; enter 1 if not yet known</t>
        </r>
      </text>
    </comment>
    <comment ref="J9" authorId="0" shapeId="0" xr:uid="{EE713D56-173B-419B-B63A-79FCF141B425}">
      <text>
        <r>
          <rPr>
            <b/>
            <sz val="9"/>
            <color indexed="81"/>
            <rFont val="Tahoma"/>
            <family val="2"/>
          </rPr>
          <t>Author:</t>
        </r>
        <r>
          <rPr>
            <sz val="9"/>
            <color indexed="81"/>
            <rFont val="Tahoma"/>
            <family val="2"/>
          </rPr>
          <t xml:space="preserve">
Light wavelength relative to scatterer size</t>
        </r>
      </text>
    </comment>
    <comment ref="J10" authorId="0" shapeId="0" xr:uid="{42FEFFFF-0D23-41AB-9AF6-A2A2DC4ADFBE}">
      <text>
        <r>
          <rPr>
            <b/>
            <sz val="9"/>
            <color indexed="81"/>
            <rFont val="Tahoma"/>
            <family val="2"/>
          </rPr>
          <t>Author:</t>
        </r>
        <r>
          <rPr>
            <sz val="9"/>
            <color indexed="81"/>
            <rFont val="Tahoma"/>
            <family val="2"/>
          </rPr>
          <t xml:space="preserve">
&lt;1 implies you are in Guinier region</t>
        </r>
      </text>
    </comment>
    <comment ref="J11" authorId="0" shapeId="0" xr:uid="{5E017205-CED5-4964-9701-CBE1B0ADD489}">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ED61AC7F-E0D6-45A2-AB66-94887749BFE9}">
      <text>
        <r>
          <rPr>
            <b/>
            <sz val="9"/>
            <color indexed="81"/>
            <rFont val="Tahoma"/>
            <family val="2"/>
          </rPr>
          <t>Author:</t>
        </r>
        <r>
          <rPr>
            <sz val="9"/>
            <color indexed="81"/>
            <rFont val="Tahoma"/>
            <family val="2"/>
          </rPr>
          <t xml:space="preserve">
From DLS results; enter 1 if not yet known</t>
        </r>
      </text>
    </comment>
    <comment ref="J9" authorId="0" shapeId="0" xr:uid="{E249C7DA-55B2-459E-890B-600812FF0408}">
      <text>
        <r>
          <rPr>
            <b/>
            <sz val="9"/>
            <color indexed="81"/>
            <rFont val="Tahoma"/>
            <family val="2"/>
          </rPr>
          <t>Author:</t>
        </r>
        <r>
          <rPr>
            <sz val="9"/>
            <color indexed="81"/>
            <rFont val="Tahoma"/>
            <family val="2"/>
          </rPr>
          <t xml:space="preserve">
Light wavelength relative to scatterer size</t>
        </r>
      </text>
    </comment>
    <comment ref="J10" authorId="0" shapeId="0" xr:uid="{0DCE664A-67DB-4BC0-B72F-A72DC3466A66}">
      <text>
        <r>
          <rPr>
            <b/>
            <sz val="9"/>
            <color indexed="81"/>
            <rFont val="Tahoma"/>
            <family val="2"/>
          </rPr>
          <t>Author:</t>
        </r>
        <r>
          <rPr>
            <sz val="9"/>
            <color indexed="81"/>
            <rFont val="Tahoma"/>
            <family val="2"/>
          </rPr>
          <t xml:space="preserve">
&lt;1 implies you are in Guinier region</t>
        </r>
      </text>
    </comment>
    <comment ref="J11" authorId="0" shapeId="0" xr:uid="{DB7C3216-B9EE-4A5F-BA7E-68E500CA3A56}">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3D0080A2-E693-4C28-9329-82A7D8D68ABF}">
      <text>
        <r>
          <rPr>
            <b/>
            <sz val="9"/>
            <color indexed="81"/>
            <rFont val="Tahoma"/>
            <family val="2"/>
          </rPr>
          <t>Author:</t>
        </r>
        <r>
          <rPr>
            <sz val="9"/>
            <color indexed="81"/>
            <rFont val="Tahoma"/>
            <family val="2"/>
          </rPr>
          <t xml:space="preserve">
From DLS results; enter 1 if not yet known</t>
        </r>
      </text>
    </comment>
    <comment ref="J9" authorId="0" shapeId="0" xr:uid="{7F0572F0-FC64-48F9-868B-388622F2A92A}">
      <text>
        <r>
          <rPr>
            <b/>
            <sz val="9"/>
            <color indexed="81"/>
            <rFont val="Tahoma"/>
            <family val="2"/>
          </rPr>
          <t>Author:</t>
        </r>
        <r>
          <rPr>
            <sz val="9"/>
            <color indexed="81"/>
            <rFont val="Tahoma"/>
            <family val="2"/>
          </rPr>
          <t xml:space="preserve">
Light wavelength relative to scatterer size</t>
        </r>
      </text>
    </comment>
    <comment ref="J10" authorId="0" shapeId="0" xr:uid="{FF0E4438-4828-4967-A821-756A8D3428E2}">
      <text>
        <r>
          <rPr>
            <b/>
            <sz val="9"/>
            <color indexed="81"/>
            <rFont val="Tahoma"/>
            <family val="2"/>
          </rPr>
          <t>Author:</t>
        </r>
        <r>
          <rPr>
            <sz val="9"/>
            <color indexed="81"/>
            <rFont val="Tahoma"/>
            <family val="2"/>
          </rPr>
          <t xml:space="preserve">
&lt;1 implies you are in Guinier region</t>
        </r>
      </text>
    </comment>
    <comment ref="J11" authorId="0" shapeId="0" xr:uid="{DC276FAC-6F70-49EE-BD9E-03A83BDB3C21}">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359367C6-A35E-4F15-94CD-4CABA61E555C}">
      <text>
        <r>
          <rPr>
            <b/>
            <sz val="9"/>
            <color indexed="81"/>
            <rFont val="Tahoma"/>
            <family val="2"/>
          </rPr>
          <t>Author:</t>
        </r>
        <r>
          <rPr>
            <sz val="9"/>
            <color indexed="81"/>
            <rFont val="Tahoma"/>
            <family val="2"/>
          </rPr>
          <t xml:space="preserve">
From DLS results; enter 1 if not yet known</t>
        </r>
      </text>
    </comment>
    <comment ref="J9" authorId="0" shapeId="0" xr:uid="{C5ADF246-8A0A-46CD-93D8-4CEC6BF20D6A}">
      <text>
        <r>
          <rPr>
            <b/>
            <sz val="9"/>
            <color indexed="81"/>
            <rFont val="Tahoma"/>
            <family val="2"/>
          </rPr>
          <t>Author:</t>
        </r>
        <r>
          <rPr>
            <sz val="9"/>
            <color indexed="81"/>
            <rFont val="Tahoma"/>
            <family val="2"/>
          </rPr>
          <t xml:space="preserve">
Light wavelength relative to scatterer size</t>
        </r>
      </text>
    </comment>
    <comment ref="J10" authorId="0" shapeId="0" xr:uid="{07DFC81B-3B25-4440-BC27-7B32A24B71F6}">
      <text>
        <r>
          <rPr>
            <b/>
            <sz val="9"/>
            <color indexed="81"/>
            <rFont val="Tahoma"/>
            <family val="2"/>
          </rPr>
          <t>Author:</t>
        </r>
        <r>
          <rPr>
            <sz val="9"/>
            <color indexed="81"/>
            <rFont val="Tahoma"/>
            <family val="2"/>
          </rPr>
          <t xml:space="preserve">
&lt;1 implies you are in Guinier region</t>
        </r>
      </text>
    </comment>
    <comment ref="J11" authorId="0" shapeId="0" xr:uid="{024CEE7B-790D-411A-8C34-983CBA82F588}">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254CBB1C-DA9C-4414-B337-E7578AA2F7A2}">
      <text>
        <r>
          <rPr>
            <b/>
            <sz val="9"/>
            <color indexed="81"/>
            <rFont val="Tahoma"/>
            <family val="2"/>
          </rPr>
          <t>Author:</t>
        </r>
        <r>
          <rPr>
            <sz val="9"/>
            <color indexed="81"/>
            <rFont val="Tahoma"/>
            <family val="2"/>
          </rPr>
          <t xml:space="preserve">
From DLS results; enter 1 if not yet known</t>
        </r>
      </text>
    </comment>
    <comment ref="J9" authorId="0" shapeId="0" xr:uid="{80910316-DFC0-4098-AF5D-3CF034073EAD}">
      <text>
        <r>
          <rPr>
            <b/>
            <sz val="9"/>
            <color indexed="81"/>
            <rFont val="Tahoma"/>
            <family val="2"/>
          </rPr>
          <t>Author:</t>
        </r>
        <r>
          <rPr>
            <sz val="9"/>
            <color indexed="81"/>
            <rFont val="Tahoma"/>
            <family val="2"/>
          </rPr>
          <t xml:space="preserve">
Light wavelength relative to scatterer size</t>
        </r>
      </text>
    </comment>
    <comment ref="J10" authorId="0" shapeId="0" xr:uid="{CCFCA915-AFCB-4A3E-A51A-A08BC5C76912}">
      <text>
        <r>
          <rPr>
            <b/>
            <sz val="9"/>
            <color indexed="81"/>
            <rFont val="Tahoma"/>
            <family val="2"/>
          </rPr>
          <t>Author:</t>
        </r>
        <r>
          <rPr>
            <sz val="9"/>
            <color indexed="81"/>
            <rFont val="Tahoma"/>
            <family val="2"/>
          </rPr>
          <t xml:space="preserve">
&lt;1 implies you are in Guinier region</t>
        </r>
      </text>
    </comment>
    <comment ref="J11" authorId="0" shapeId="0" xr:uid="{070EB66F-0FD8-4078-8DD9-192FC6E647E3}">
      <text>
        <r>
          <rPr>
            <b/>
            <sz val="9"/>
            <color indexed="81"/>
            <rFont val="Tahoma"/>
            <family val="2"/>
          </rPr>
          <t>Author:</t>
        </r>
        <r>
          <rPr>
            <sz val="9"/>
            <color indexed="81"/>
            <rFont val="Tahoma"/>
            <family val="2"/>
          </rPr>
          <t xml:space="preserve">
The deviation from 1 shows how much there is to measure. </t>
        </r>
      </text>
    </comment>
  </commentList>
</comments>
</file>

<file path=xl/sharedStrings.xml><?xml version="1.0" encoding="utf-8"?>
<sst xmlns="http://schemas.openxmlformats.org/spreadsheetml/2006/main" count="1181" uniqueCount="377">
  <si>
    <t>Detector type</t>
  </si>
  <si>
    <t>Fiber/APD</t>
  </si>
  <si>
    <t>Wyatt diode</t>
  </si>
  <si>
    <t>Wyatt Reading</t>
  </si>
  <si>
    <t>ALV Reading</t>
  </si>
  <si>
    <t>Front</t>
  </si>
  <si>
    <t>beam stop (y/n)</t>
  </si>
  <si>
    <t>y</t>
  </si>
  <si>
    <t>Wavelength/nm</t>
  </si>
  <si>
    <t>Wavelength/cm</t>
  </si>
  <si>
    <t>p1</t>
  </si>
  <si>
    <t>p2</t>
  </si>
  <si>
    <t>p3</t>
  </si>
  <si>
    <t>LC</t>
  </si>
  <si>
    <t>L</t>
  </si>
  <si>
    <t>Port #</t>
  </si>
  <si>
    <t>Monitors</t>
  </si>
  <si>
    <r>
      <t>Comment</t>
    </r>
    <r>
      <rPr>
        <b/>
        <sz val="11"/>
        <color indexed="8"/>
        <rFont val="Symbol"/>
        <family val="1"/>
        <charset val="2"/>
      </rPr>
      <t>¯</t>
    </r>
  </si>
  <si>
    <t>Normalizing standard</t>
  </si>
  <si>
    <t>nm</t>
  </si>
  <si>
    <r>
      <rPr>
        <sz val="11"/>
        <color indexed="8"/>
        <rFont val="Symbol"/>
        <family val="1"/>
        <charset val="2"/>
      </rPr>
      <t>l</t>
    </r>
    <r>
      <rPr>
        <vertAlign val="subscript"/>
        <sz val="11"/>
        <color indexed="8"/>
        <rFont val="Symbol"/>
        <family val="1"/>
        <charset val="2"/>
      </rPr>
      <t>o</t>
    </r>
    <r>
      <rPr>
        <sz val="11"/>
        <color theme="1"/>
        <rFont val="Calibri"/>
        <family val="2"/>
        <scheme val="minor"/>
      </rPr>
      <t>/(n*DLS radius)</t>
    </r>
  </si>
  <si>
    <r>
      <t>R</t>
    </r>
    <r>
      <rPr>
        <vertAlign val="subscript"/>
        <sz val="11"/>
        <color indexed="8"/>
        <rFont val="Calibri"/>
        <family val="2"/>
      </rPr>
      <t>h</t>
    </r>
  </si>
  <si>
    <r>
      <t>R</t>
    </r>
    <r>
      <rPr>
        <vertAlign val="subscript"/>
        <sz val="11"/>
        <color indexed="8"/>
        <rFont val="Calibri"/>
        <family val="2"/>
      </rPr>
      <t>g</t>
    </r>
    <r>
      <rPr>
        <sz val="11"/>
        <color theme="1"/>
        <rFont val="Calibri"/>
        <family val="2"/>
        <scheme val="minor"/>
      </rPr>
      <t xml:space="preserve"> (sphere)</t>
    </r>
  </si>
  <si>
    <t>Signal</t>
  </si>
  <si>
    <t>Date of normalization</t>
  </si>
  <si>
    <t>Russo</t>
  </si>
  <si>
    <t>ALV Reading/kHz</t>
  </si>
  <si>
    <t>MeanCR1 [kHz]   :</t>
  </si>
  <si>
    <t>MeanCR2 [kHz]   :</t>
  </si>
  <si>
    <t>MeanCR3 [kHz]   :</t>
  </si>
  <si>
    <t>MeanCR4 [kHz]   :</t>
  </si>
  <si>
    <t>MeanCR5 [kHz]   :</t>
  </si>
  <si>
    <t>MeanCR6 [kHz]   :</t>
  </si>
  <si>
    <t>MeanCR7 [kHz]   :</t>
  </si>
  <si>
    <t>MeanCR8 [kHz]   :</t>
  </si>
  <si>
    <t>here from .ASC file</t>
  </si>
  <si>
    <t>Angle/degrees</t>
  </si>
  <si>
    <t>Zero-ref</t>
  </si>
  <si>
    <t>----</t>
  </si>
  <si>
    <t>a small latex particle, bovine serum albumen, or Brij-97 microemulsion.</t>
  </si>
  <si>
    <t>The Wyatt detectors can most easily be read from the front panel display.</t>
  </si>
  <si>
    <t xml:space="preserve">The unit of measurement is probably in volts, but it does not matter. </t>
  </si>
  <si>
    <t>That will be good enough for any sensible normalization standard, but the equation</t>
  </si>
  <si>
    <t xml:space="preserve">could be replaced with a detailed expression for, say, a larger latex sphere. </t>
  </si>
  <si>
    <t xml:space="preserve">stray light. </t>
  </si>
  <si>
    <r>
      <t>q</t>
    </r>
    <r>
      <rPr>
        <vertAlign val="subscript"/>
        <sz val="11"/>
        <color indexed="8"/>
        <rFont val="Calibri"/>
        <family val="2"/>
      </rPr>
      <t>max</t>
    </r>
    <r>
      <rPr>
        <sz val="11"/>
        <color theme="1"/>
        <rFont val="Calibri"/>
        <family val="2"/>
        <scheme val="minor"/>
      </rPr>
      <t>R</t>
    </r>
    <r>
      <rPr>
        <vertAlign val="subscript"/>
        <sz val="11"/>
        <color indexed="8"/>
        <rFont val="Calibri"/>
        <family val="2"/>
      </rPr>
      <t>g</t>
    </r>
    <r>
      <rPr>
        <sz val="11"/>
        <color theme="1"/>
        <rFont val="Calibri"/>
        <family val="2"/>
        <scheme val="minor"/>
      </rPr>
      <t xml:space="preserve"> </t>
    </r>
  </si>
  <si>
    <r>
      <t>1-(q</t>
    </r>
    <r>
      <rPr>
        <vertAlign val="subscript"/>
        <sz val="11"/>
        <color indexed="8"/>
        <rFont val="Calibri"/>
        <family val="2"/>
      </rPr>
      <t>max</t>
    </r>
    <r>
      <rPr>
        <sz val="11"/>
        <color theme="1"/>
        <rFont val="Calibri"/>
        <family val="2"/>
        <scheme val="minor"/>
      </rPr>
      <t>R</t>
    </r>
    <r>
      <rPr>
        <vertAlign val="subscript"/>
        <sz val="11"/>
        <color indexed="8"/>
        <rFont val="Calibri"/>
        <family val="2"/>
      </rPr>
      <t>g</t>
    </r>
    <r>
      <rPr>
        <sz val="11"/>
        <color theme="1"/>
        <rFont val="Calibri"/>
        <family val="2"/>
        <scheme val="minor"/>
      </rPr>
      <t>)</t>
    </r>
    <r>
      <rPr>
        <vertAlign val="superscript"/>
        <sz val="11"/>
        <color indexed="8"/>
        <rFont val="Calibri"/>
        <family val="2"/>
      </rPr>
      <t>2</t>
    </r>
    <r>
      <rPr>
        <sz val="11"/>
        <color theme="1"/>
        <rFont val="Calibri"/>
        <family val="2"/>
        <scheme val="minor"/>
      </rPr>
      <t>/3</t>
    </r>
  </si>
  <si>
    <t>Normalization</t>
  </si>
  <si>
    <t>Factor</t>
  </si>
  <si>
    <t xml:space="preserve">          Normalizing solution</t>
  </si>
  <si>
    <r>
      <t>P(</t>
    </r>
    <r>
      <rPr>
        <b/>
        <sz val="11"/>
        <color indexed="8"/>
        <rFont val="Symbol"/>
        <family val="1"/>
        <charset val="2"/>
      </rPr>
      <t>q</t>
    </r>
    <r>
      <rPr>
        <b/>
        <sz val="11"/>
        <color indexed="8"/>
        <rFont val="Calibri"/>
        <family val="2"/>
      </rPr>
      <t>)</t>
    </r>
  </si>
  <si>
    <r>
      <t xml:space="preserve">Drop </t>
    </r>
    <r>
      <rPr>
        <b/>
        <u/>
        <sz val="11"/>
        <color indexed="43"/>
        <rFont val="Calibri"/>
        <family val="2"/>
      </rPr>
      <t>solvent</t>
    </r>
    <r>
      <rPr>
        <b/>
        <sz val="11"/>
        <color indexed="22"/>
        <rFont val="Calibri"/>
        <family val="2"/>
      </rPr>
      <t xml:space="preserve"> count rates </t>
    </r>
  </si>
  <si>
    <t>At this point, your normalization constants should be ready.</t>
  </si>
  <si>
    <t>Empty</t>
  </si>
  <si>
    <t>---</t>
  </si>
  <si>
    <t xml:space="preserve">Operator                           </t>
  </si>
  <si>
    <t>Parameter</t>
  </si>
  <si>
    <t>Purpose:</t>
  </si>
  <si>
    <t>Principle:</t>
  </si>
  <si>
    <t>Port</t>
  </si>
  <si>
    <t>Normalized</t>
  </si>
  <si>
    <t>intensity, I</t>
  </si>
  <si>
    <t>Intercept</t>
  </si>
  <si>
    <r>
      <t>R</t>
    </r>
    <r>
      <rPr>
        <vertAlign val="subscript"/>
        <sz val="11"/>
        <color indexed="8"/>
        <rFont val="Calibri"/>
        <family val="2"/>
      </rPr>
      <t>g,Guinier</t>
    </r>
  </si>
  <si>
    <t>R if sphere</t>
  </si>
  <si>
    <r>
      <t>R</t>
    </r>
    <r>
      <rPr>
        <vertAlign val="subscript"/>
        <sz val="11"/>
        <color indexed="8"/>
        <rFont val="Calibri"/>
        <family val="2"/>
      </rPr>
      <t>h</t>
    </r>
    <r>
      <rPr>
        <sz val="11"/>
        <color theme="1"/>
        <rFont val="Calibri"/>
        <family val="2"/>
        <scheme val="minor"/>
      </rPr>
      <t xml:space="preserve"> from DLS</t>
    </r>
  </si>
  <si>
    <t>Developed May-June 2022 by Paul Russo</t>
  </si>
  <si>
    <t>Date of measurement</t>
  </si>
  <si>
    <t>Sample</t>
  </si>
  <si>
    <t xml:space="preserve">There is no such thing as a perfect Rayleigh scatterer. Typically, we might use </t>
  </si>
  <si>
    <t xml:space="preserve">The idea is to use something small that scatters a lot, well above solvent level and any </t>
  </si>
  <si>
    <r>
      <t>R</t>
    </r>
    <r>
      <rPr>
        <vertAlign val="subscript"/>
        <sz val="11"/>
        <color theme="1"/>
        <rFont val="Calibri"/>
        <family val="2"/>
        <scheme val="minor"/>
      </rPr>
      <t>sphere</t>
    </r>
    <r>
      <rPr>
        <sz val="11"/>
        <color theme="1"/>
        <rFont val="Calibri"/>
        <family val="2"/>
        <scheme val="minor"/>
      </rPr>
      <t>/nm</t>
    </r>
  </si>
  <si>
    <r>
      <t>I</t>
    </r>
    <r>
      <rPr>
        <vertAlign val="subscript"/>
        <sz val="11"/>
        <color theme="1"/>
        <rFont val="Calibri"/>
        <family val="2"/>
        <scheme val="minor"/>
      </rPr>
      <t>zero</t>
    </r>
    <r>
      <rPr>
        <sz val="11"/>
        <color theme="1"/>
        <rFont val="Calibri"/>
        <family val="2"/>
        <scheme val="minor"/>
      </rPr>
      <t>/Arbitrary</t>
    </r>
  </si>
  <si>
    <t>Sq.Err.</t>
  </si>
  <si>
    <t>Izero*Icalc,pt by pt</t>
  </si>
  <si>
    <t>x=qR</t>
  </si>
  <si>
    <r>
      <t>q/nm</t>
    </r>
    <r>
      <rPr>
        <vertAlign val="superscript"/>
        <sz val="11"/>
        <color theme="1"/>
        <rFont val="Calibri"/>
        <family val="2"/>
        <scheme val="minor"/>
      </rPr>
      <t>-1</t>
    </r>
  </si>
  <si>
    <t>Icalc</t>
  </si>
  <si>
    <t>PthetaCalc</t>
  </si>
  <si>
    <r>
      <t>q/cm</t>
    </r>
    <r>
      <rPr>
        <vertAlign val="superscript"/>
        <sz val="11"/>
        <color theme="1"/>
        <rFont val="Calibri"/>
        <family val="2"/>
        <scheme val="minor"/>
      </rPr>
      <t>-1</t>
    </r>
  </si>
  <si>
    <t>CalcInten</t>
  </si>
  <si>
    <t>Measured</t>
  </si>
  <si>
    <t>SMALS Det #</t>
  </si>
  <si>
    <t xml:space="preserve">The APD detectors measure photocounts in kHz, a totally different thing. </t>
  </si>
  <si>
    <t>March 2 2023</t>
  </si>
  <si>
    <t>PS Cmax 100</t>
  </si>
  <si>
    <t>Wyatt Diode</t>
  </si>
  <si>
    <t>ALV APD</t>
  </si>
  <si>
    <t>Color key</t>
  </si>
  <si>
    <t>Row #</t>
  </si>
  <si>
    <t>Made separate Guinier plots for ALV and Wyatt detectors at ORNL</t>
  </si>
  <si>
    <t>Changed log(I) to ln(I)</t>
  </si>
  <si>
    <r>
      <t>q/cm</t>
    </r>
    <r>
      <rPr>
        <b/>
        <vertAlign val="superscript"/>
        <sz val="11"/>
        <color indexed="8"/>
        <rFont val="Calibri"/>
        <family val="2"/>
      </rPr>
      <t>-1</t>
    </r>
  </si>
  <si>
    <r>
      <t>q</t>
    </r>
    <r>
      <rPr>
        <b/>
        <vertAlign val="superscript"/>
        <sz val="11"/>
        <color indexed="8"/>
        <rFont val="Calibri"/>
        <family val="2"/>
      </rPr>
      <t>2</t>
    </r>
    <r>
      <rPr>
        <b/>
        <sz val="11"/>
        <color theme="1"/>
        <rFont val="Calibri"/>
        <family val="2"/>
        <scheme val="minor"/>
      </rPr>
      <t>/10</t>
    </r>
    <r>
      <rPr>
        <b/>
        <vertAlign val="superscript"/>
        <sz val="11"/>
        <color indexed="8"/>
        <rFont val="Calibri"/>
        <family val="2"/>
      </rPr>
      <t>10</t>
    </r>
    <r>
      <rPr>
        <b/>
        <sz val="11"/>
        <color theme="1"/>
        <rFont val="Calibri"/>
        <family val="2"/>
        <scheme val="minor"/>
      </rPr>
      <t>cm</t>
    </r>
    <r>
      <rPr>
        <b/>
        <vertAlign val="superscript"/>
        <sz val="11"/>
        <color indexed="8"/>
        <rFont val="Calibri"/>
        <family val="2"/>
      </rPr>
      <t>-2</t>
    </r>
  </si>
  <si>
    <r>
      <t>q</t>
    </r>
    <r>
      <rPr>
        <b/>
        <vertAlign val="superscript"/>
        <sz val="11"/>
        <color indexed="8"/>
        <rFont val="Calibri"/>
        <family val="2"/>
      </rPr>
      <t>2</t>
    </r>
    <r>
      <rPr>
        <b/>
        <sz val="11"/>
        <color theme="1"/>
        <rFont val="Calibri"/>
        <family val="2"/>
        <scheme val="minor"/>
      </rPr>
      <t>/10</t>
    </r>
    <r>
      <rPr>
        <b/>
        <vertAlign val="superscript"/>
        <sz val="11"/>
        <color indexed="8"/>
        <rFont val="Calibri"/>
        <family val="2"/>
      </rPr>
      <t>-4</t>
    </r>
    <r>
      <rPr>
        <b/>
        <sz val="11"/>
        <color theme="1"/>
        <rFont val="Calibri"/>
        <family val="2"/>
        <scheme val="minor"/>
      </rPr>
      <t>nm</t>
    </r>
    <r>
      <rPr>
        <b/>
        <vertAlign val="superscript"/>
        <sz val="11"/>
        <color indexed="8"/>
        <rFont val="Calibri"/>
        <family val="2"/>
      </rPr>
      <t>-2</t>
    </r>
  </si>
  <si>
    <r>
      <t xml:space="preserve"> </t>
    </r>
    <r>
      <rPr>
        <b/>
        <sz val="11"/>
        <color indexed="8"/>
        <rFont val="Script MT Bold"/>
        <family val="4"/>
      </rPr>
      <t xml:space="preserve"> ln</t>
    </r>
    <r>
      <rPr>
        <b/>
        <sz val="11"/>
        <color indexed="8"/>
        <rFont val="script"/>
      </rPr>
      <t xml:space="preserve"> </t>
    </r>
    <r>
      <rPr>
        <b/>
        <sz val="11"/>
        <color theme="1"/>
        <rFont val="Calibri"/>
        <family val="2"/>
        <scheme val="minor"/>
      </rPr>
      <t>(I)</t>
    </r>
  </si>
  <si>
    <t>arb.</t>
  </si>
  <si>
    <r>
      <t>nm</t>
    </r>
    <r>
      <rPr>
        <vertAlign val="superscript"/>
        <sz val="11"/>
        <color theme="1"/>
        <rFont val="Calibri"/>
        <family val="2"/>
        <scheme val="minor"/>
      </rPr>
      <t>2</t>
    </r>
  </si>
  <si>
    <r>
      <rPr>
        <b/>
        <sz val="11"/>
        <color theme="1"/>
        <rFont val="Symbol"/>
        <family val="1"/>
        <charset val="2"/>
      </rPr>
      <t>q</t>
    </r>
    <r>
      <rPr>
        <b/>
        <sz val="11"/>
        <color theme="1"/>
        <rFont val="Calibri"/>
        <family val="2"/>
        <scheme val="minor"/>
      </rPr>
      <t>/degrees</t>
    </r>
  </si>
  <si>
    <t>ALV APD Results</t>
  </si>
  <si>
    <t>Wyatt diode results</t>
  </si>
  <si>
    <t>All Detectors Results</t>
  </si>
  <si>
    <t>Normalized Intensity, I</t>
  </si>
  <si>
    <t xml:space="preserve">                                    Normalizing solvent background</t>
  </si>
  <si>
    <t xml:space="preserve">          Solution reading</t>
  </si>
  <si>
    <t xml:space="preserve">         Solvent background</t>
  </si>
  <si>
    <t>Wyatt reading</t>
  </si>
  <si>
    <t>ALV reading/kHz</t>
  </si>
  <si>
    <t>ALV reading</t>
  </si>
  <si>
    <t>Sep5_2023</t>
  </si>
  <si>
    <t>Modified Guinier page; cosmetic changes</t>
  </si>
  <si>
    <t>Refractive index of solutions &amp; solvent</t>
  </si>
  <si>
    <t>Refactive index of Rayleigh standard</t>
  </si>
  <si>
    <t>Volume expansion exponent, m</t>
  </si>
  <si>
    <t>Toluene</t>
  </si>
  <si>
    <t>Solvent for solutions</t>
  </si>
  <si>
    <t>Rayleigh factor of toluene</t>
  </si>
  <si>
    <t>dn/dc in mL/gram</t>
  </si>
  <si>
    <t>More accurate readings can be obtained by collecting data using the Astra software (requires Win98).</t>
  </si>
  <si>
    <t>Caveat:</t>
  </si>
  <si>
    <t xml:space="preserve">Similar to a GUI program, it is incumbent on the user to remember to enter data, update labels, etc. </t>
  </si>
  <si>
    <t>That's a little trickier in VB for Excel, but probably doable. It's just not done here, that's all.</t>
  </si>
  <si>
    <r>
      <t>Drop</t>
    </r>
    <r>
      <rPr>
        <b/>
        <sz val="11"/>
        <color rgb="FFFFFF99"/>
        <rFont val="Calibri"/>
        <family val="2"/>
      </rPr>
      <t xml:space="preserve"> </t>
    </r>
    <r>
      <rPr>
        <b/>
        <u/>
        <sz val="11"/>
        <color rgb="FFFFFF99"/>
        <rFont val="Calibri"/>
        <family val="2"/>
      </rPr>
      <t>solution</t>
    </r>
    <r>
      <rPr>
        <b/>
        <sz val="11"/>
        <color indexed="22"/>
        <rFont val="Calibri"/>
        <family val="2"/>
      </rPr>
      <t xml:space="preserve"> count rates </t>
    </r>
  </si>
  <si>
    <t xml:space="preserve">Brij </t>
  </si>
  <si>
    <t>Limitation:</t>
  </si>
  <si>
    <t>Rayleigh factors:</t>
  </si>
  <si>
    <t xml:space="preserve">Data from NormaSize can be extracted for Zimm plot creation as follows. </t>
  </si>
  <si>
    <t>1. Perform normalization as usual (or inherit a previous result by making a new copy of NormaSize)</t>
  </si>
  <si>
    <t>it's still a great way to present a snapshot of a polymer's molecular weight, size and virial coefficient.</t>
  </si>
  <si>
    <t xml:space="preserve">3. Data from the Excelitas APDs can be copy/pasted from the .ASC file into the marked boxes --&gt;   </t>
  </si>
  <si>
    <t xml:space="preserve">4. Data from the Wyatt pin photodiodes can be entered manually. At low angles, </t>
  </si>
  <si>
    <t xml:space="preserve">     it may help to average several readings (in teaching situations, several people </t>
  </si>
  <si>
    <t xml:space="preserve">    That will automatically populate the appropriate cells for those detectors</t>
  </si>
  <si>
    <t xml:space="preserve">     It is also possible to use Wyatt Astra software to record these values. Refer to the Astra manual. </t>
  </si>
  <si>
    <t>5.  The angle/intensity data are in columns D and M, respectively.</t>
  </si>
  <si>
    <t>Zimm plots:</t>
  </si>
  <si>
    <t>Angle/deg</t>
  </si>
  <si>
    <t>Detector</t>
  </si>
  <si>
    <t>Type</t>
  </si>
  <si>
    <t>Wyatt</t>
  </si>
  <si>
    <t>Blank</t>
  </si>
  <si>
    <t xml:space="preserve">These equations are intended for rotating detectors. </t>
  </si>
  <si>
    <t xml:space="preserve">An important caveat here about using the SMALS apparatus: we have only </t>
  </si>
  <si>
    <t xml:space="preserve">listed the Rayleigh factors at 90 degrees scattering angle. There are no </t>
  </si>
  <si>
    <t xml:space="preserve">for SLS, one must still make a measurement at 90 degrees with the </t>
  </si>
  <si>
    <t xml:space="preserve">Wyatt's diode detector at that angle. </t>
  </si>
  <si>
    <t xml:space="preserve">A:RUN4157.GAL </t>
  </si>
  <si>
    <t>The name of the file</t>
  </si>
  <si>
    <t>start time</t>
  </si>
  <si>
    <t>start date</t>
  </si>
  <si>
    <t>end time</t>
  </si>
  <si>
    <t>end date</t>
  </si>
  <si>
    <r>
      <t xml:space="preserve">DOW 1683 POLYSTYRENE IN TOLUENE. . . . . . . . . . . . . . . . . . . . . . . . . . . </t>
    </r>
    <r>
      <rPr>
        <i/>
        <sz val="12"/>
        <color rgb="FF0000FF"/>
        <rFont val="Times New Roman"/>
        <family val="1"/>
      </rPr>
      <t>first label</t>
    </r>
  </si>
  <si>
    <r>
      <t xml:space="preserve">WIESLAW WORST DAY. . . . . . . . . . . . . . . . . . . . . . . . . . . . . . . . . . . . . . . </t>
    </r>
    <r>
      <rPr>
        <i/>
        <sz val="12"/>
        <color rgb="FF0000FF"/>
        <rFont val="Times New Roman"/>
        <family val="1"/>
      </rPr>
      <t>second label</t>
    </r>
  </si>
  <si>
    <t xml:space="preserve">WS. . . . . . . . </t>
  </si>
  <si>
    <t>operator</t>
  </si>
  <si>
    <t>wavelength in Angstroms</t>
  </si>
  <si>
    <t xml:space="preserve">TOLUENE. . . . . . . </t>
  </si>
  <si>
    <t>Rayleigh standard material</t>
  </si>
  <si>
    <t>refractive index of Rayleigh standard</t>
  </si>
  <si>
    <t>refractive index of solvent for the polymer solutions</t>
  </si>
  <si>
    <t>m = volume exponent (see documentation)</t>
  </si>
  <si>
    <t>lowest temperature during measurement</t>
  </si>
  <si>
    <t>highest temperature during measurement</t>
  </si>
  <si>
    <t>dark count</t>
  </si>
  <si>
    <t xml:space="preserve">Rayleigh standard intensity = Istd </t>
  </si>
  <si>
    <t>uncertainty of Istd</t>
  </si>
  <si>
    <t>angle where Rayleigh standard was measured</t>
  </si>
  <si>
    <t>number of angles = Nang</t>
  </si>
  <si>
    <t>number of concentrations = Nconc; includes solvent as c=0</t>
  </si>
  <si>
    <t>c1</t>
  </si>
  <si>
    <t>c2</t>
  </si>
  <si>
    <t>c3</t>
  </si>
  <si>
    <t>c4</t>
  </si>
  <si>
    <t>c5</t>
  </si>
  <si>
    <t>c6</t>
  </si>
  <si>
    <t>c7</t>
  </si>
  <si>
    <t>c8</t>
  </si>
  <si>
    <t>c9</t>
  </si>
  <si>
    <t xml:space="preserve"> 81428.38  97591.7  122109.7  162909.5  197399.6  252660.4  301346.8  345541.3  373001.3</t>
  </si>
  <si>
    <t xml:space="preserve"> 189.3396  1144.371  75.31445  854.0734  235.379  396.2553  522.5136  2446.77  1101.427</t>
  </si>
  <si>
    <t xml:space="preserve"> 55574.58  66837.77  84346.55  112079.5  136769.3  177428.5  214188.9  232087  261054</t>
  </si>
  <si>
    <t xml:space="preserve"> 197.434  392.5005  324.2591  173.9281  403.8692  568.4637  619.549  392.1764  669.6632</t>
  </si>
  <si>
    <t xml:space="preserve"> 43341.26  51996.1  65401.65  87735.49  106350.9  138269.6  166658.1  179940.2  203643.3</t>
  </si>
  <si>
    <t xml:space="preserve"> 239.8559  261.1551  328.7555  248.4714  564.8671  214.7371  180.5043  537.835  635.0795</t>
  </si>
  <si>
    <t xml:space="preserve"> 32257.47  38655.18  48411.66  62924.06  78320.7  102318.9  119509.9  132199.1 148991</t>
  </si>
  <si>
    <t xml:space="preserve"> 106.8938  102.5643  131.3934  215.5929  239.1338  440.27  302.6808  93.53061  286.8959</t>
  </si>
  <si>
    <t xml:space="preserve"> 28955.09  33923.45  42198.49  55891.61  68934.62  90674.13  105791.5  116571.6  131802.6</t>
  </si>
  <si>
    <t xml:space="preserve"> 150.9799  122.7043  159.0369  253.9555  388.7278  110.6202  293.2361  286.2568  516.4243</t>
  </si>
  <si>
    <t xml:space="preserve"> 27126.31  32055.37  39665.98  51456.23  62408.91  84488.31  98041.87  105803.9  122512.3</t>
  </si>
  <si>
    <t xml:space="preserve"> 95.50737  194.1532  109.4389  230.5697  135.4062  152.2081  149.2928  281.5163  146.4149</t>
  </si>
  <si>
    <t xml:space="preserve"> 29638.82  34479.8  42685.7  54635.88  67755.86  89103.03  104593  114505.7  130324.7</t>
  </si>
  <si>
    <t xml:space="preserve"> 96.0753  157.568  165.4995  108.4058  114.0652  86.36407  222.5477  229.0522  273.5556</t>
  </si>
  <si>
    <t xml:space="preserve"> 32521.76  36138.69  46225.73  59356.04  73573.95  95478.31  110844.5  122913.1  140521</t>
  </si>
  <si>
    <t xml:space="preserve"> 170.4942  112.1322  216.0858  107.3936  102.3973  236.4535  258.8731  319.9878  372.4431</t>
  </si>
  <si>
    <t>EXAMPLE FROM ROTATING ARM INSTRUMENT</t>
  </si>
  <si>
    <r>
      <t xml:space="preserve">first angle; next row is intensity (c=0 &amp; up) and then </t>
    </r>
    <r>
      <rPr>
        <i/>
        <sz val="12"/>
        <color rgb="FF0000FF"/>
        <rFont val="Symbol"/>
        <family val="1"/>
        <charset val="2"/>
      </rPr>
      <t>s</t>
    </r>
    <r>
      <rPr>
        <i/>
        <sz val="12"/>
        <color rgb="FF0000FF"/>
        <rFont val="Times New Roman"/>
        <family val="1"/>
      </rPr>
      <t>intensity</t>
    </r>
  </si>
  <si>
    <t>Excess, Normalized Intensities (arbitrary units)</t>
  </si>
  <si>
    <t>Rayleigh calibration standard</t>
  </si>
  <si>
    <t>Rayleigh factor for calib. Std.</t>
  </si>
  <si>
    <t>(from Wyatt front panel display)</t>
  </si>
  <si>
    <t>Volume exponent, m</t>
  </si>
  <si>
    <t>Measured intensity Rayleigh Std at 90 deg.</t>
  </si>
  <si>
    <t xml:space="preserve">APD detectors at this angle. So, even if the plan is to use just the APD detectors </t>
  </si>
  <si>
    <r>
      <t>cm</t>
    </r>
    <r>
      <rPr>
        <vertAlign val="superscript"/>
        <sz val="11"/>
        <color theme="1"/>
        <rFont val="Calibri"/>
        <family val="2"/>
        <scheme val="minor"/>
      </rPr>
      <t>-1</t>
    </r>
  </si>
  <si>
    <r>
      <rPr>
        <sz val="11"/>
        <color theme="1"/>
        <rFont val="Colonna MT"/>
        <family val="5"/>
      </rPr>
      <t>R</t>
    </r>
    <r>
      <rPr>
        <sz val="11"/>
        <color theme="1"/>
        <rFont val="Calibri"/>
        <family val="2"/>
        <scheme val="minor"/>
      </rPr>
      <t xml:space="preserve"> in cm</t>
    </r>
    <r>
      <rPr>
        <vertAlign val="superscript"/>
        <sz val="11"/>
        <color theme="1"/>
        <rFont val="Calibri"/>
        <family val="2"/>
        <scheme val="minor"/>
      </rPr>
      <t>-1</t>
    </r>
  </si>
  <si>
    <r>
      <t xml:space="preserve">  28.07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532 nm (Frequency doubled diode)</t>
    </r>
  </si>
  <si>
    <r>
      <t xml:space="preserve">  32.08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514.5 nm (Argon ion green)</t>
    </r>
  </si>
  <si>
    <r>
      <t xml:space="preserve">  39.64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488 nm (Argon ion blue)</t>
    </r>
  </si>
  <si>
    <r>
      <t>R</t>
    </r>
    <r>
      <rPr>
        <vertAlign val="subscript"/>
        <sz val="11"/>
        <color theme="1"/>
        <rFont val="Calibri  "/>
      </rPr>
      <t>tol,Uv</t>
    </r>
    <r>
      <rPr>
        <sz val="11"/>
        <color theme="1"/>
        <rFont val="Calibri  "/>
      </rPr>
      <t xml:space="preserve"> =     </t>
    </r>
  </si>
  <si>
    <r>
      <t xml:space="preserve">  14.02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632.8 nm (HeNe red)</t>
    </r>
  </si>
  <si>
    <t xml:space="preserve">These values were calculated using </t>
  </si>
  <si>
    <r>
      <t xml:space="preserve">assuming </t>
    </r>
    <r>
      <rPr>
        <sz val="11"/>
        <color theme="1"/>
        <rFont val="Symbol"/>
        <family val="1"/>
        <charset val="2"/>
      </rPr>
      <t>r</t>
    </r>
    <r>
      <rPr>
        <vertAlign val="subscript"/>
        <sz val="11"/>
        <color theme="1"/>
        <rFont val="Calibri"/>
        <family val="2"/>
        <scheme val="minor"/>
      </rPr>
      <t>u</t>
    </r>
    <r>
      <rPr>
        <sz val="11"/>
        <color theme="1"/>
        <rFont val="Calibri"/>
        <family val="2"/>
        <scheme val="minor"/>
      </rPr>
      <t xml:space="preserve"> = 0.495 from the data collected by Hu</t>
    </r>
  </si>
  <si>
    <t xml:space="preserve">The dispersion equation is from: </t>
  </si>
  <si>
    <r>
      <t>Moutzouris, K., Papamichael, M., Betsis, S.C. </t>
    </r>
    <r>
      <rPr>
        <i/>
        <sz val="9"/>
        <color rgb="FF222222"/>
        <rFont val="Arial"/>
        <family val="2"/>
      </rPr>
      <t>et al.</t>
    </r>
    <r>
      <rPr>
        <sz val="9"/>
        <color rgb="FF222222"/>
        <rFont val="Arial"/>
        <family val="2"/>
      </rPr>
      <t> Refractive, dispersive and thermo-optic properties of twelve organic solvents in the visible and near-infrared. </t>
    </r>
    <r>
      <rPr>
        <i/>
        <sz val="9"/>
        <color rgb="FF222222"/>
        <rFont val="Arial"/>
        <family val="2"/>
      </rPr>
      <t>Appl. Phys. B</t>
    </r>
    <r>
      <rPr>
        <sz val="9"/>
        <color rgb="FF222222"/>
        <rFont val="Arial"/>
        <family val="2"/>
      </rPr>
      <t> </t>
    </r>
    <r>
      <rPr>
        <b/>
        <sz val="9"/>
        <color rgb="FF222222"/>
        <rFont val="Arial"/>
        <family val="2"/>
      </rPr>
      <t>116</t>
    </r>
    <r>
      <rPr>
        <sz val="9"/>
        <color rgb="FF222222"/>
        <rFont val="Arial"/>
        <family val="2"/>
      </rPr>
      <t>, 617–622 (2014). https://doi.org/10.1007/s00340-013-5744-3</t>
    </r>
  </si>
  <si>
    <r>
      <t>A</t>
    </r>
    <r>
      <rPr>
        <vertAlign val="subscript"/>
        <sz val="11"/>
        <color theme="1"/>
        <rFont val="Calibri"/>
        <family val="2"/>
        <scheme val="minor"/>
      </rPr>
      <t>0</t>
    </r>
  </si>
  <si>
    <r>
      <t>A</t>
    </r>
    <r>
      <rPr>
        <vertAlign val="subscript"/>
        <sz val="11"/>
        <color theme="1"/>
        <rFont val="Calibri"/>
        <family val="2"/>
        <scheme val="minor"/>
      </rPr>
      <t>1</t>
    </r>
  </si>
  <si>
    <r>
      <t>A</t>
    </r>
    <r>
      <rPr>
        <vertAlign val="subscript"/>
        <sz val="11"/>
        <color theme="1"/>
        <rFont val="Calibri"/>
        <family val="2"/>
        <scheme val="minor"/>
      </rPr>
      <t>2</t>
    </r>
  </si>
  <si>
    <r>
      <t>A</t>
    </r>
    <r>
      <rPr>
        <vertAlign val="subscript"/>
        <sz val="11"/>
        <color theme="1"/>
        <rFont val="Calibri"/>
        <family val="2"/>
        <scheme val="minor"/>
      </rPr>
      <t>3</t>
    </r>
  </si>
  <si>
    <r>
      <t>A</t>
    </r>
    <r>
      <rPr>
        <vertAlign val="subscript"/>
        <sz val="11"/>
        <color theme="1"/>
        <rFont val="Calibri"/>
        <family val="2"/>
        <scheme val="minor"/>
      </rPr>
      <t>4</t>
    </r>
  </si>
  <si>
    <t xml:space="preserve">(633/488)^4 = </t>
  </si>
  <si>
    <t xml:space="preserve">(633/488)^4.17 = </t>
  </si>
  <si>
    <t>* H. Wu, Chemical Physics 367 (1), 44-47 (2010), https://doi.org/10.1016/j.chemphys.2009.10.019</t>
  </si>
  <si>
    <r>
      <t xml:space="preserve">&lt;&lt; use </t>
    </r>
    <r>
      <rPr>
        <sz val="11"/>
        <color theme="1"/>
        <rFont val="Symbol"/>
        <family val="1"/>
        <charset val="2"/>
      </rPr>
      <t>l</t>
    </r>
    <r>
      <rPr>
        <vertAlign val="subscript"/>
        <sz val="11"/>
        <color theme="1"/>
        <rFont val="Calibri"/>
        <family val="2"/>
        <scheme val="minor"/>
      </rPr>
      <t>o</t>
    </r>
    <r>
      <rPr>
        <sz val="11"/>
        <color theme="1"/>
        <rFont val="Calibri"/>
        <family val="2"/>
        <scheme val="minor"/>
      </rPr>
      <t xml:space="preserve"> not </t>
    </r>
    <r>
      <rPr>
        <sz val="11"/>
        <color theme="1"/>
        <rFont val="Symbol"/>
        <family val="1"/>
        <charset val="2"/>
      </rPr>
      <t>l</t>
    </r>
    <r>
      <rPr>
        <sz val="11"/>
        <color theme="1"/>
        <rFont val="Calibri"/>
        <family val="2"/>
        <scheme val="minor"/>
      </rPr>
      <t xml:space="preserve"> in all these expressions</t>
    </r>
  </si>
  <si>
    <t>%</t>
  </si>
  <si>
    <t>The 4.17 exponent values in N11 - N15 compare reasonably well to the 4.0 exponent values in K2 - K5</t>
  </si>
  <si>
    <r>
      <t>Using the normalization, you can then push ahead to measure R</t>
    </r>
    <r>
      <rPr>
        <vertAlign val="subscript"/>
        <sz val="11"/>
        <color theme="1"/>
        <rFont val="Calibri"/>
        <family val="2"/>
        <scheme val="minor"/>
      </rPr>
      <t>g</t>
    </r>
    <r>
      <rPr>
        <sz val="11"/>
        <color theme="1"/>
        <rFont val="Calibri"/>
        <family val="2"/>
        <scheme val="minor"/>
      </rPr>
      <t xml:space="preserve"> using the law of Guinier </t>
    </r>
  </si>
  <si>
    <t>Excelitas avalanche photodiode light sensors selected for DLS performance by ALV.</t>
  </si>
  <si>
    <t xml:space="preserve">The objective of normalization is to figure out what factor puts the measured intensities for the  </t>
  </si>
  <si>
    <r>
      <t xml:space="preserve">Drop </t>
    </r>
    <r>
      <rPr>
        <b/>
        <u/>
        <sz val="11"/>
        <color rgb="FFFFFF99"/>
        <rFont val="Calibri"/>
        <family val="2"/>
      </rPr>
      <t>solution</t>
    </r>
    <r>
      <rPr>
        <b/>
        <sz val="11"/>
        <color indexed="22"/>
        <rFont val="Calibri"/>
        <family val="2"/>
      </rPr>
      <t xml:space="preserve"> count rates </t>
    </r>
  </si>
  <si>
    <t xml:space="preserve">Enter your name and date in the appropriate green cells. </t>
  </si>
  <si>
    <t>Enter the name of normalization standard in F3.</t>
  </si>
  <si>
    <r>
      <rPr>
        <sz val="10"/>
        <color theme="1"/>
        <rFont val="Symbol"/>
        <family val="1"/>
        <charset val="2"/>
      </rPr>
      <t>l</t>
    </r>
    <r>
      <rPr>
        <vertAlign val="subscript"/>
        <sz val="10"/>
        <color theme="1"/>
        <rFont val="Symbol"/>
        <family val="1"/>
        <charset val="2"/>
      </rPr>
      <t>o</t>
    </r>
    <r>
      <rPr>
        <sz val="10"/>
        <color theme="1"/>
        <rFont val="Symbol"/>
        <family val="1"/>
        <charset val="2"/>
      </rPr>
      <t>/</t>
    </r>
    <r>
      <rPr>
        <sz val="10"/>
        <color theme="1"/>
        <rFont val="Calibri "/>
      </rPr>
      <t>nm</t>
    </r>
    <r>
      <rPr>
        <sz val="10"/>
        <color theme="1"/>
        <rFont val="Calibri"/>
        <family val="2"/>
        <scheme val="minor"/>
      </rPr>
      <t xml:space="preserve"> </t>
    </r>
  </si>
  <si>
    <t>Almost always toluene</t>
  </si>
  <si>
    <t xml:space="preserve"> </t>
  </si>
  <si>
    <t>TO USE:</t>
  </si>
  <si>
    <t>SIZE MEASUREMENT OF A DISSOLVED SOLUTE</t>
  </si>
  <si>
    <t>NORMALIZATION USING A SOLUTION (E.G., BSA, BRIJ MICROEMULSION OR PS/TOL)</t>
  </si>
  <si>
    <t xml:space="preserve">Make a DLS run on your normalization solution, save as .ASC file. </t>
  </si>
  <si>
    <r>
      <t>R</t>
    </r>
    <r>
      <rPr>
        <vertAlign val="subscript"/>
        <sz val="11"/>
        <color indexed="8"/>
        <rFont val="Calibri"/>
        <family val="2"/>
      </rPr>
      <t>g</t>
    </r>
    <r>
      <rPr>
        <sz val="11"/>
        <color theme="1"/>
        <rFont val="Calibri"/>
        <family val="2"/>
        <scheme val="minor"/>
      </rPr>
      <t xml:space="preserve"> estimate (sphere)</t>
    </r>
  </si>
  <si>
    <r>
      <t>q</t>
    </r>
    <r>
      <rPr>
        <vertAlign val="subscript"/>
        <sz val="11"/>
        <color indexed="8"/>
        <rFont val="Calibri"/>
        <family val="2"/>
      </rPr>
      <t>max</t>
    </r>
    <r>
      <rPr>
        <sz val="11"/>
        <color rgb="FF000000"/>
        <rFont val="Calibri"/>
        <family val="2"/>
      </rPr>
      <t>*Estimated</t>
    </r>
    <r>
      <rPr>
        <vertAlign val="subscript"/>
        <sz val="11"/>
        <color indexed="8"/>
        <rFont val="Calibri"/>
        <family val="2"/>
      </rPr>
      <t xml:space="preserve"> </t>
    </r>
    <r>
      <rPr>
        <sz val="11"/>
        <color theme="1"/>
        <rFont val="Calibri"/>
        <family val="2"/>
        <scheme val="minor"/>
      </rPr>
      <t>R</t>
    </r>
    <r>
      <rPr>
        <vertAlign val="subscript"/>
        <sz val="11"/>
        <color indexed="8"/>
        <rFont val="Calibri"/>
        <family val="2"/>
      </rPr>
      <t>g</t>
    </r>
    <r>
      <rPr>
        <sz val="11"/>
        <color theme="1"/>
        <rFont val="Calibri"/>
        <family val="2"/>
        <scheme val="minor"/>
      </rPr>
      <t xml:space="preserve"> </t>
    </r>
  </si>
  <si>
    <r>
      <t>1-(q</t>
    </r>
    <r>
      <rPr>
        <vertAlign val="subscript"/>
        <sz val="11"/>
        <color indexed="8"/>
        <rFont val="Calibri"/>
        <family val="2"/>
      </rPr>
      <t>max</t>
    </r>
    <r>
      <rPr>
        <sz val="11"/>
        <color rgb="FF000000"/>
        <rFont val="Calibri"/>
        <family val="2"/>
      </rPr>
      <t>*estimated</t>
    </r>
    <r>
      <rPr>
        <vertAlign val="subscript"/>
        <sz val="11"/>
        <color indexed="8"/>
        <rFont val="Calibri"/>
        <family val="2"/>
      </rPr>
      <t xml:space="preserve"> </t>
    </r>
    <r>
      <rPr>
        <sz val="11"/>
        <color theme="1"/>
        <rFont val="Calibri"/>
        <family val="2"/>
        <scheme val="minor"/>
      </rPr>
      <t>R</t>
    </r>
    <r>
      <rPr>
        <vertAlign val="subscript"/>
        <sz val="11"/>
        <color indexed="8"/>
        <rFont val="Calibri"/>
        <family val="2"/>
      </rPr>
      <t>g</t>
    </r>
    <r>
      <rPr>
        <sz val="11"/>
        <color theme="1"/>
        <rFont val="Calibri"/>
        <family val="2"/>
        <scheme val="minor"/>
      </rPr>
      <t>)</t>
    </r>
    <r>
      <rPr>
        <vertAlign val="superscript"/>
        <sz val="11"/>
        <color indexed="8"/>
        <rFont val="Calibri"/>
        <family val="2"/>
      </rPr>
      <t>2</t>
    </r>
    <r>
      <rPr>
        <sz val="11"/>
        <color theme="1"/>
        <rFont val="Calibri"/>
        <family val="2"/>
        <scheme val="minor"/>
      </rPr>
      <t>/3</t>
    </r>
  </si>
  <si>
    <t>Will SLS work?</t>
  </si>
  <si>
    <t xml:space="preserve">type the results into the blue cells in column H. </t>
  </si>
  <si>
    <r>
      <t>Enter the R</t>
    </r>
    <r>
      <rPr>
        <vertAlign val="subscript"/>
        <sz val="11"/>
        <color indexed="8"/>
        <rFont val="Calibri"/>
        <family val="2"/>
      </rPr>
      <t>h</t>
    </r>
    <r>
      <rPr>
        <sz val="11"/>
        <color theme="1"/>
        <rFont val="Calibri"/>
        <family val="2"/>
        <scheme val="minor"/>
      </rPr>
      <t xml:space="preserve"> value (from .ASC file's automatic cumulant zone or any other analysis) into the K7 cell.</t>
    </r>
  </si>
  <si>
    <t>Select the Conc1 sheet &amp; measure your solution and solvent. For the ALV APD readings, enter intensities in cells O16 or R16, respectively.</t>
  </si>
  <si>
    <t>For the Wyatt diode detectors enter the front panel readings in the blue cells of columns G and J, respectively.</t>
  </si>
  <si>
    <r>
      <t>Then you can get R</t>
    </r>
    <r>
      <rPr>
        <vertAlign val="subscript"/>
        <sz val="11"/>
        <color theme="1"/>
        <rFont val="Calibri"/>
        <family val="2"/>
        <scheme val="minor"/>
      </rPr>
      <t>g</t>
    </r>
    <r>
      <rPr>
        <sz val="11"/>
        <color theme="1"/>
        <rFont val="Calibri"/>
        <family val="2"/>
        <scheme val="minor"/>
      </rPr>
      <t>/R</t>
    </r>
    <r>
      <rPr>
        <vertAlign val="subscript"/>
        <sz val="11"/>
        <color theme="1"/>
        <rFont val="Calibri"/>
        <family val="2"/>
        <scheme val="minor"/>
      </rPr>
      <t>h</t>
    </r>
    <r>
      <rPr>
        <sz val="11"/>
        <color theme="1"/>
        <rFont val="Calibri"/>
        <family val="2"/>
        <scheme val="minor"/>
      </rPr>
      <t xml:space="preserve"> for shape analysis (e.g., should be sqrt(3/5) for solid, uniform spheres).</t>
    </r>
  </si>
  <si>
    <t>REPEAT FOR EACH CONCENTRATION</t>
  </si>
  <si>
    <t>EXTRAPOLATE THE SIZE RESULTS TO c = 0</t>
  </si>
  <si>
    <t xml:space="preserve">It has been many years since the Zimm plot was an efficient way to process SLS data, but </t>
  </si>
  <si>
    <t>2. Measure the sample and solvent as described above and briefly repeated below.</t>
  </si>
  <si>
    <t xml:space="preserve">     can provide a reading). </t>
  </si>
  <si>
    <r>
      <t>q/cm</t>
    </r>
    <r>
      <rPr>
        <b/>
        <vertAlign val="superscript"/>
        <sz val="11"/>
        <color theme="1"/>
        <rFont val="Calibri"/>
        <family val="2"/>
        <scheme val="minor"/>
      </rPr>
      <t>-1</t>
    </r>
  </si>
  <si>
    <r>
      <t>q</t>
    </r>
    <r>
      <rPr>
        <b/>
        <vertAlign val="superscript"/>
        <sz val="11"/>
        <color theme="1"/>
        <rFont val="Calibri"/>
        <family val="2"/>
        <scheme val="minor"/>
      </rPr>
      <t>2</t>
    </r>
    <r>
      <rPr>
        <b/>
        <sz val="11"/>
        <color theme="1"/>
        <rFont val="Calibri"/>
        <family val="2"/>
        <scheme val="minor"/>
      </rPr>
      <t>/cm</t>
    </r>
    <r>
      <rPr>
        <b/>
        <vertAlign val="superscript"/>
        <sz val="11"/>
        <color theme="1"/>
        <rFont val="Calibri"/>
        <family val="2"/>
        <scheme val="minor"/>
      </rPr>
      <t>-2</t>
    </r>
  </si>
  <si>
    <r>
      <t>c1/g.mL</t>
    </r>
    <r>
      <rPr>
        <b/>
        <vertAlign val="superscript"/>
        <sz val="11"/>
        <color theme="1"/>
        <rFont val="Calibri"/>
        <family val="2"/>
        <scheme val="minor"/>
      </rPr>
      <t>-1</t>
    </r>
  </si>
  <si>
    <r>
      <t>c2/g.mL</t>
    </r>
    <r>
      <rPr>
        <b/>
        <vertAlign val="superscript"/>
        <sz val="11"/>
        <color theme="1"/>
        <rFont val="Calibri"/>
        <family val="2"/>
        <scheme val="minor"/>
      </rPr>
      <t>-1</t>
    </r>
  </si>
  <si>
    <r>
      <t>c3/g.mL</t>
    </r>
    <r>
      <rPr>
        <b/>
        <vertAlign val="superscript"/>
        <sz val="11"/>
        <color theme="1"/>
        <rFont val="Calibri"/>
        <family val="2"/>
        <scheme val="minor"/>
      </rPr>
      <t>-1</t>
    </r>
  </si>
  <si>
    <r>
      <t>c4/g.mL</t>
    </r>
    <r>
      <rPr>
        <b/>
        <vertAlign val="superscript"/>
        <sz val="11"/>
        <color theme="1"/>
        <rFont val="Calibri"/>
        <family val="2"/>
        <scheme val="minor"/>
      </rPr>
      <t>-1</t>
    </r>
  </si>
  <si>
    <r>
      <t>c5/g.mL</t>
    </r>
    <r>
      <rPr>
        <b/>
        <vertAlign val="superscript"/>
        <sz val="11"/>
        <color theme="1"/>
        <rFont val="Calibri"/>
        <family val="2"/>
        <scheme val="minor"/>
      </rPr>
      <t>-1</t>
    </r>
  </si>
  <si>
    <r>
      <t>c6/g.mL</t>
    </r>
    <r>
      <rPr>
        <b/>
        <vertAlign val="superscript"/>
        <sz val="11"/>
        <color theme="1"/>
        <rFont val="Calibri"/>
        <family val="2"/>
        <scheme val="minor"/>
      </rPr>
      <t>-1</t>
    </r>
  </si>
  <si>
    <r>
      <t>c7/g.mL</t>
    </r>
    <r>
      <rPr>
        <b/>
        <vertAlign val="superscript"/>
        <sz val="11"/>
        <color theme="1"/>
        <rFont val="Calibri"/>
        <family val="2"/>
        <scheme val="minor"/>
      </rPr>
      <t>-1</t>
    </r>
  </si>
  <si>
    <r>
      <t>c8/g.mL</t>
    </r>
    <r>
      <rPr>
        <b/>
        <vertAlign val="superscript"/>
        <sz val="11"/>
        <color theme="1"/>
        <rFont val="Calibri"/>
        <family val="2"/>
        <scheme val="minor"/>
      </rPr>
      <t>-1</t>
    </r>
  </si>
  <si>
    <t>&lt;&lt;</t>
  </si>
  <si>
    <r>
      <t>Excess Rayleigh factors in cm</t>
    </r>
    <r>
      <rPr>
        <b/>
        <vertAlign val="superscript"/>
        <sz val="11"/>
        <color theme="1"/>
        <rFont val="Calibri"/>
        <family val="2"/>
        <scheme val="minor"/>
      </rPr>
      <t>-1</t>
    </r>
  </si>
  <si>
    <r>
      <t>Kc/Excess Rayleigh factor in mol.g</t>
    </r>
    <r>
      <rPr>
        <b/>
        <vertAlign val="superscript"/>
        <sz val="11"/>
        <color theme="1"/>
        <rFont val="Calibri"/>
        <family val="2"/>
        <scheme val="minor"/>
      </rPr>
      <t>-1</t>
    </r>
  </si>
  <si>
    <t>mL/g</t>
  </si>
  <si>
    <r>
      <t>k</t>
    </r>
    <r>
      <rPr>
        <b/>
        <vertAlign val="subscript"/>
        <sz val="11"/>
        <color theme="1"/>
        <rFont val="Calibri"/>
        <family val="2"/>
        <scheme val="minor"/>
      </rPr>
      <t>scale</t>
    </r>
    <r>
      <rPr>
        <b/>
        <sz val="11"/>
        <color theme="1"/>
        <rFont val="Calibri"/>
        <family val="2"/>
        <scheme val="minor"/>
      </rPr>
      <t>:</t>
    </r>
  </si>
  <si>
    <t>April 5, 2024 Brij</t>
  </si>
  <si>
    <t>April 5, 2024 Dirty Water</t>
  </si>
  <si>
    <r>
      <t>cm</t>
    </r>
    <r>
      <rPr>
        <vertAlign val="superscript"/>
        <sz val="11"/>
        <color theme="1"/>
        <rFont val="Calibri"/>
        <family val="2"/>
        <scheme val="minor"/>
      </rPr>
      <t>-1</t>
    </r>
    <r>
      <rPr>
        <sz val="11"/>
        <color theme="1"/>
        <rFont val="Calibri"/>
        <family val="2"/>
        <scheme val="minor"/>
      </rPr>
      <t>; reminder:</t>
    </r>
  </si>
  <si>
    <t>refractive index dispersion by Wu* and the values claimed for toluene are:</t>
  </si>
  <si>
    <t>Uu geometry*</t>
  </si>
  <si>
    <t>Uv geometry (** our own calculation, based on Wu's collection of literature data, adjusted from Uu to Uv)</t>
  </si>
  <si>
    <r>
      <t>** R</t>
    </r>
    <r>
      <rPr>
        <vertAlign val="subscript"/>
        <sz val="11"/>
        <color theme="1"/>
        <rFont val="Calibri"/>
        <family val="2"/>
        <scheme val="minor"/>
      </rPr>
      <t xml:space="preserve">Uv  </t>
    </r>
    <r>
      <rPr>
        <sz val="11"/>
        <color theme="1"/>
        <rFont val="Calibri"/>
        <family val="2"/>
        <scheme val="minor"/>
      </rPr>
      <t>analysis from our own WavelengthDispersion spreadsheet &amp; associated Origin non-linear fit to data with error bars</t>
    </r>
  </si>
  <si>
    <t>Should they? Yes...here is how a 4.0 and 4.17 exponent differ.</t>
  </si>
  <si>
    <t>% Difference</t>
  </si>
  <si>
    <t>See our spreadsheet WavelengthDispersion.xlsx and associated Origin files RayleighVsWavelength.opj (2 files with different error assumptions)</t>
  </si>
  <si>
    <r>
      <rPr>
        <b/>
        <sz val="14"/>
        <color theme="1"/>
        <rFont val="Colonna MT"/>
        <family val="5"/>
      </rPr>
      <t>R</t>
    </r>
    <r>
      <rPr>
        <b/>
        <vertAlign val="subscript"/>
        <sz val="14"/>
        <color theme="1"/>
        <rFont val="Colonna MT"/>
        <family val="5"/>
      </rPr>
      <t>tol,Uu</t>
    </r>
    <r>
      <rPr>
        <b/>
        <sz val="11"/>
        <color theme="1"/>
        <rFont val="Calibri"/>
        <family val="2"/>
        <scheme val="minor"/>
      </rPr>
      <t xml:space="preserve"> = 4.9 x 10</t>
    </r>
    <r>
      <rPr>
        <b/>
        <vertAlign val="superscript"/>
        <sz val="11"/>
        <color theme="1"/>
        <rFont val="Calibri"/>
        <family val="2"/>
        <scheme val="minor"/>
      </rPr>
      <t>6</t>
    </r>
    <r>
      <rPr>
        <b/>
        <sz val="11"/>
        <color theme="1"/>
        <rFont val="Calibri"/>
        <family val="2"/>
        <scheme val="minor"/>
      </rPr>
      <t xml:space="preserve">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4.17</t>
    </r>
    <r>
      <rPr>
        <b/>
        <sz val="11"/>
        <color theme="1"/>
        <rFont val="Calibri"/>
        <family val="5"/>
        <scheme val="minor"/>
      </rPr>
      <t xml:space="preserve">  *</t>
    </r>
  </si>
  <si>
    <r>
      <t>in cm</t>
    </r>
    <r>
      <rPr>
        <b/>
        <vertAlign val="superscript"/>
        <sz val="11"/>
        <color theme="1"/>
        <rFont val="Calibri"/>
        <family val="2"/>
        <scheme val="minor"/>
      </rPr>
      <t>-1</t>
    </r>
    <r>
      <rPr>
        <b/>
        <sz val="11"/>
        <color theme="1"/>
        <rFont val="Calibri"/>
        <family val="2"/>
        <scheme val="minor"/>
      </rPr>
      <t xml:space="preserve"> with </t>
    </r>
    <r>
      <rPr>
        <b/>
        <sz val="11"/>
        <color theme="1"/>
        <rFont val="Symbol"/>
        <family val="1"/>
        <charset val="2"/>
      </rPr>
      <t>l</t>
    </r>
    <r>
      <rPr>
        <b/>
        <vertAlign val="subscript"/>
        <sz val="11"/>
        <color theme="1"/>
        <rFont val="Symbol"/>
        <family val="1"/>
        <charset val="2"/>
      </rPr>
      <t>o</t>
    </r>
    <r>
      <rPr>
        <b/>
        <sz val="11"/>
        <color theme="1"/>
        <rFont val="Calibri"/>
        <family val="2"/>
        <scheme val="minor"/>
      </rPr>
      <t xml:space="preserve"> given in nm</t>
    </r>
  </si>
  <si>
    <r>
      <rPr>
        <b/>
        <sz val="14"/>
        <color theme="1"/>
        <rFont val="Colonna MT"/>
        <family val="5"/>
      </rPr>
      <t>R</t>
    </r>
    <r>
      <rPr>
        <b/>
        <vertAlign val="subscript"/>
        <sz val="14"/>
        <color theme="1"/>
        <rFont val="Colonna MT"/>
        <family val="5"/>
      </rPr>
      <t>tol,Uv</t>
    </r>
    <r>
      <rPr>
        <b/>
        <sz val="14"/>
        <color theme="1"/>
        <rFont val="Calibri"/>
        <family val="2"/>
        <scheme val="minor"/>
      </rPr>
      <t xml:space="preserve"> </t>
    </r>
    <r>
      <rPr>
        <b/>
        <sz val="11"/>
        <color theme="1"/>
        <rFont val="Calibri"/>
        <family val="2"/>
        <scheme val="minor"/>
      </rPr>
      <t>= 6.653 x 10</t>
    </r>
    <r>
      <rPr>
        <b/>
        <vertAlign val="superscript"/>
        <sz val="11"/>
        <color theme="1"/>
        <rFont val="Calibri"/>
        <family val="2"/>
        <scheme val="minor"/>
      </rPr>
      <t>6</t>
    </r>
    <r>
      <rPr>
        <b/>
        <sz val="11"/>
        <color theme="1"/>
        <rFont val="Calibri"/>
        <family val="2"/>
        <scheme val="minor"/>
      </rPr>
      <t xml:space="preserve">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4.17</t>
    </r>
    <r>
      <rPr>
        <b/>
        <sz val="11"/>
        <color theme="1"/>
        <rFont val="Calibri"/>
        <family val="5"/>
        <scheme val="minor"/>
      </rPr>
      <t xml:space="preserve">  **</t>
    </r>
  </si>
  <si>
    <r>
      <t>in cm</t>
    </r>
    <r>
      <rPr>
        <b/>
        <vertAlign val="superscript"/>
        <sz val="11"/>
        <color theme="1"/>
        <rFont val="Calibri"/>
        <family val="2"/>
        <scheme val="minor"/>
      </rPr>
      <t>-1</t>
    </r>
    <r>
      <rPr>
        <b/>
        <sz val="11"/>
        <color theme="1"/>
        <rFont val="Calibri"/>
        <family val="2"/>
        <scheme val="minor"/>
      </rPr>
      <t xml:space="preserve"> with </t>
    </r>
    <r>
      <rPr>
        <b/>
        <sz val="11"/>
        <color theme="1"/>
        <rFont val="Symbol"/>
        <family val="1"/>
        <charset val="2"/>
      </rPr>
      <t>l</t>
    </r>
    <r>
      <rPr>
        <b/>
        <vertAlign val="subscript"/>
        <sz val="11"/>
        <color theme="1"/>
        <rFont val="Symbol"/>
        <family val="1"/>
        <charset val="2"/>
      </rPr>
      <t>o</t>
    </r>
    <r>
      <rPr>
        <b/>
        <sz val="11"/>
        <color theme="1"/>
        <rFont val="Calibri"/>
        <family val="2"/>
        <scheme val="minor"/>
      </rPr>
      <t xml:space="preserve">  in nm</t>
    </r>
  </si>
  <si>
    <r>
      <t xml:space="preserve">These traditional values assume a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t>
    </r>
    <r>
      <rPr>
        <b/>
        <sz val="11"/>
        <color theme="1"/>
        <rFont val="Calibri"/>
        <family val="2"/>
        <scheme val="minor"/>
      </rPr>
      <t xml:space="preserve"> dependence. The wavelength dependence was re-examined to account for </t>
    </r>
  </si>
  <si>
    <r>
      <t>Optical constant K/cm</t>
    </r>
    <r>
      <rPr>
        <b/>
        <vertAlign val="superscript"/>
        <sz val="11"/>
        <color theme="1"/>
        <rFont val="Calibri"/>
        <family val="2"/>
        <scheme val="minor"/>
      </rPr>
      <t>2</t>
    </r>
    <r>
      <rPr>
        <b/>
        <sz val="11"/>
        <color theme="1"/>
        <rFont val="Calibri"/>
        <family val="2"/>
        <scheme val="minor"/>
      </rPr>
      <t>.mol.g</t>
    </r>
    <r>
      <rPr>
        <b/>
        <vertAlign val="superscript"/>
        <sz val="11"/>
        <color theme="1"/>
        <rFont val="Calibri"/>
        <family val="2"/>
        <scheme val="minor"/>
      </rPr>
      <t>-2</t>
    </r>
  </si>
  <si>
    <t>Taken from Conc1 Sheet</t>
  </si>
  <si>
    <r>
      <t>R</t>
    </r>
    <r>
      <rPr>
        <vertAlign val="subscript"/>
        <sz val="11"/>
        <color indexed="8"/>
        <rFont val="Calibri"/>
        <family val="2"/>
      </rPr>
      <t>h</t>
    </r>
    <r>
      <rPr>
        <sz val="11"/>
        <color theme="1"/>
        <rFont val="Calibri"/>
        <family val="2"/>
        <scheme val="minor"/>
      </rPr>
      <t xml:space="preserve"> (if avail from DLS)</t>
    </r>
  </si>
  <si>
    <t>Y</t>
  </si>
  <si>
    <t>Metadata and solvent intensity values are inherited from the Conc1 worksheet</t>
  </si>
  <si>
    <t xml:space="preserve">c1 </t>
  </si>
  <si>
    <t>scint vial</t>
  </si>
  <si>
    <t>plus pellet</t>
  </si>
  <si>
    <t>plus toluene</t>
  </si>
  <si>
    <t>For c2 and c3, probably the filter was broken....catch the dust later</t>
  </si>
  <si>
    <t>PS 170 pellets</t>
  </si>
  <si>
    <t>PALL 0.2 um nylon filters</t>
  </si>
  <si>
    <t xml:space="preserve">Solute:  </t>
  </si>
  <si>
    <t xml:space="preserve">Solvent:  </t>
  </si>
  <si>
    <t xml:space="preserve">Solvent filter size and type:  </t>
  </si>
  <si>
    <t>Partial specific volume v2bar</t>
  </si>
  <si>
    <t>pellets, if applicable</t>
  </si>
  <si>
    <t>est. tol, mL</t>
  </si>
  <si>
    <t>https://nvlpubs.nist.gov/nistpubs/jres/52/jresv52n4p217_a1b.pdf</t>
  </si>
  <si>
    <t>sample label</t>
  </si>
  <si>
    <t>solute</t>
  </si>
  <si>
    <t>solvent</t>
  </si>
  <si>
    <t>solvent density</t>
  </si>
  <si>
    <t>partial specific vol reference</t>
  </si>
  <si>
    <t>solvent reference</t>
  </si>
  <si>
    <t>measurement temperature</t>
  </si>
  <si>
    <r>
      <rPr>
        <vertAlign val="superscript"/>
        <sz val="11"/>
        <color theme="1"/>
        <rFont val="Calibri"/>
        <family val="2"/>
        <scheme val="minor"/>
      </rPr>
      <t>o</t>
    </r>
    <r>
      <rPr>
        <sz val="11"/>
        <color theme="1"/>
        <rFont val="Calibri"/>
        <family val="2"/>
        <scheme val="minor"/>
      </rPr>
      <t>C</t>
    </r>
  </si>
  <si>
    <r>
      <t>c/g·mL</t>
    </r>
    <r>
      <rPr>
        <b/>
        <vertAlign val="superscript"/>
        <sz val="11"/>
        <color theme="1"/>
        <rFont val="Calibri"/>
        <family val="2"/>
        <scheme val="minor"/>
      </rPr>
      <t>-1</t>
    </r>
  </si>
  <si>
    <t>notes &amp; observations</t>
  </si>
  <si>
    <t>I measured at 25C, but the v2bar and rho1 data are at ~27C</t>
  </si>
  <si>
    <t>SAMPLE PREPARATION BY WEIGHT (PARTIAL SPECIFIC VOLUME OF SOLUTE &amp; SOLVENT DENSITY)</t>
  </si>
  <si>
    <t>adjustments (solvent evaporation, centrifugation or filtration to remove dust/aggregates)</t>
  </si>
  <si>
    <r>
      <t>c</t>
    </r>
    <r>
      <rPr>
        <b/>
        <vertAlign val="subscript"/>
        <sz val="11"/>
        <color theme="1"/>
        <rFont val="Calibri"/>
        <family val="2"/>
        <scheme val="minor"/>
      </rPr>
      <t>final</t>
    </r>
    <r>
      <rPr>
        <b/>
        <sz val="11"/>
        <color theme="1"/>
        <rFont val="Calibri"/>
        <family val="2"/>
        <scheme val="minor"/>
      </rPr>
      <t>/g·mL</t>
    </r>
    <r>
      <rPr>
        <b/>
        <vertAlign val="superscript"/>
        <sz val="11"/>
        <color theme="1"/>
        <rFont val="Calibri"/>
        <family val="2"/>
        <scheme val="minor"/>
      </rPr>
      <t>-1</t>
    </r>
  </si>
  <si>
    <t>None</t>
  </si>
  <si>
    <r>
      <t>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cm</t>
    </r>
    <r>
      <rPr>
        <b/>
        <vertAlign val="superscript"/>
        <sz val="11"/>
        <color theme="1"/>
        <rFont val="Calibri"/>
        <family val="2"/>
        <scheme val="minor"/>
      </rPr>
      <t>-2</t>
    </r>
  </si>
  <si>
    <r>
      <t>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cm</t>
    </r>
    <r>
      <rPr>
        <b/>
        <vertAlign val="superscript"/>
        <sz val="11"/>
        <color theme="1"/>
        <rFont val="Calibri"/>
        <family val="2"/>
        <scheme val="minor"/>
      </rPr>
      <t xml:space="preserve">-2  </t>
    </r>
    <r>
      <rPr>
        <b/>
        <sz val="11"/>
        <color theme="1"/>
        <rFont val="Calibri"/>
        <family val="2"/>
        <scheme val="minor"/>
      </rPr>
      <t>+ k</t>
    </r>
    <r>
      <rPr>
        <b/>
        <vertAlign val="subscript"/>
        <sz val="11"/>
        <color theme="1"/>
        <rFont val="Calibri"/>
        <family val="2"/>
        <scheme val="minor"/>
      </rPr>
      <t>scale</t>
    </r>
    <r>
      <rPr>
        <b/>
        <sz val="11"/>
        <color theme="1"/>
        <rFont val="Calibri"/>
        <family val="2"/>
        <scheme val="minor"/>
      </rPr>
      <t>·c  &gt;&gt;</t>
    </r>
  </si>
  <si>
    <t>&lt;&lt;Dummy values stored for nonexistent concentrations to prevent computational overflows</t>
  </si>
  <si>
    <t>Replace with true concentrations if present.</t>
  </si>
  <si>
    <t>Normalized XS intensity</t>
  </si>
  <si>
    <t>Normalized solvent intensity for NonZimm</t>
  </si>
  <si>
    <r>
      <t xml:space="preserve">INSERT KEY OFF, THEN </t>
    </r>
    <r>
      <rPr>
        <b/>
        <u/>
        <sz val="12"/>
        <color theme="1"/>
        <rFont val="Calibri"/>
        <family val="2"/>
        <scheme val="minor"/>
      </rPr>
      <t>OVERWRITE</t>
    </r>
    <r>
      <rPr>
        <b/>
        <sz val="12"/>
        <color theme="1"/>
        <rFont val="Calibri"/>
        <family val="2"/>
        <scheme val="minor"/>
      </rPr>
      <t xml:space="preserve"> WITH YOUR DATA (SEE FORMAT IN THE EXAMPLE AT RIGHT)</t>
    </r>
  </si>
  <si>
    <r>
      <t>Matrix to generate 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 xml:space="preserve">cm-2  + kscale·c  </t>
    </r>
  </si>
  <si>
    <t>LABEL1-60-CHARACTERSXXXXXXXXXXXXXXXXXXXXXXXXXXXXXXXXXXXXXXXX</t>
  </si>
  <si>
    <t>LABEL2-60-CHARACTERSXXXXXXXXXXXXXXXXXXXXXXXXXXXXXXXXXXXXXXXX</t>
  </si>
  <si>
    <t>USER10CHAR</t>
  </si>
  <si>
    <t>MM-DD-YYYY</t>
  </si>
  <si>
    <t>X:RUNXXXX.GAL</t>
  </si>
  <si>
    <t>HH:MM:SS</t>
  </si>
  <si>
    <t>TOLUENE.......</t>
  </si>
  <si>
    <t>May24_2024</t>
  </si>
  <si>
    <t xml:space="preserve">Zimm plot and export to NonZimm.exe </t>
  </si>
  <si>
    <t>(unlike a blank template). Be sure to cover these tracks with your new data.</t>
  </si>
  <si>
    <r>
      <t>The master version contains data from a normalization and R</t>
    </r>
    <r>
      <rPr>
        <vertAlign val="subscript"/>
        <sz val="11"/>
        <color theme="1"/>
        <rFont val="Calibri"/>
        <family val="2"/>
        <scheme val="minor"/>
      </rPr>
      <t>g</t>
    </r>
    <r>
      <rPr>
        <sz val="11"/>
        <color theme="1"/>
        <rFont val="Calibri"/>
        <family val="2"/>
        <scheme val="minor"/>
      </rPr>
      <t xml:space="preserve"> measurement </t>
    </r>
  </si>
  <si>
    <t xml:space="preserve">The SMALS instrument has two kinds of detectors: Wyatt pin photodiodes and  </t>
  </si>
  <si>
    <t>This workbook permits us to normalize detectors to a standard of finite (but usually small) size.</t>
  </si>
  <si>
    <t xml:space="preserve">Enter "Y' or "N" in F6 to indicate whether or not a beamstop was used. </t>
  </si>
  <si>
    <t xml:space="preserve">Your Master document may have been populated only for the Excelitas APD detectors. </t>
  </si>
  <si>
    <t>We will modify  the last one for SMALS.</t>
  </si>
  <si>
    <r>
      <t xml:space="preserve">Traditional values we have always used (e.g., GuiDe/NonZimm documentation) are scaled by </t>
    </r>
    <r>
      <rPr>
        <b/>
        <sz val="11"/>
        <color theme="1"/>
        <rFont val="Symbol"/>
        <family val="1"/>
        <charset val="2"/>
      </rPr>
      <t>l</t>
    </r>
    <r>
      <rPr>
        <b/>
        <vertAlign val="subscript"/>
        <sz val="11"/>
        <color theme="1"/>
        <rFont val="Calibri"/>
        <family val="2"/>
        <scheme val="minor"/>
      </rPr>
      <t>o</t>
    </r>
    <r>
      <rPr>
        <b/>
        <vertAlign val="superscript"/>
        <sz val="11"/>
        <color theme="1"/>
        <rFont val="Calibri"/>
        <family val="2"/>
        <scheme val="minor"/>
      </rPr>
      <t>-4</t>
    </r>
    <r>
      <rPr>
        <b/>
        <sz val="11"/>
        <color theme="1"/>
        <rFont val="Calibri"/>
        <family val="2"/>
        <scheme val="minor"/>
      </rPr>
      <t xml:space="preserve"> from a 632.8 nm result, probably Kaye &amp; McDaniel. </t>
    </r>
  </si>
  <si>
    <r>
      <t>Normally, this will give you the automatic cumulants Gamma value, a R</t>
    </r>
    <r>
      <rPr>
        <vertAlign val="subscript"/>
        <sz val="11"/>
        <color theme="1"/>
        <rFont val="Calibri"/>
        <family val="2"/>
        <scheme val="minor"/>
      </rPr>
      <t>h</t>
    </r>
    <r>
      <rPr>
        <sz val="11"/>
        <color theme="1"/>
        <rFont val="Calibri"/>
        <family val="2"/>
        <scheme val="minor"/>
      </rPr>
      <t xml:space="preserve"> value,</t>
    </r>
  </si>
  <si>
    <t xml:space="preserve"> and intensities for each APD detector. Copy the intensities.</t>
  </si>
  <si>
    <t xml:space="preserve">Select the NormStandard sheet; paste the intensities from .ASC file into the yellow cells (cursor on Q16). </t>
  </si>
  <si>
    <t>The ALV results are automatically copied where they need to go.</t>
  </si>
  <si>
    <r>
      <t>normalization standard on the correct P(</t>
    </r>
    <r>
      <rPr>
        <sz val="11"/>
        <color indexed="8"/>
        <rFont val="Symbol"/>
        <family val="1"/>
        <charset val="2"/>
      </rPr>
      <t>q</t>
    </r>
    <r>
      <rPr>
        <sz val="11"/>
        <color theme="1"/>
        <rFont val="Calibri"/>
        <family val="2"/>
        <scheme val="minor"/>
      </rPr>
      <t>) curve. We calculate the curve from the low-order P(</t>
    </r>
    <r>
      <rPr>
        <sz val="11"/>
        <color indexed="8"/>
        <rFont val="Symbol"/>
        <family val="1"/>
        <charset val="2"/>
      </rPr>
      <t>q</t>
    </r>
    <r>
      <rPr>
        <sz val="11"/>
        <color theme="1"/>
        <rFont val="Calibri"/>
        <family val="2"/>
        <scheme val="minor"/>
      </rPr>
      <t xml:space="preserve">) </t>
    </r>
  </si>
  <si>
    <r>
      <t>expansion, 1-q</t>
    </r>
    <r>
      <rPr>
        <vertAlign val="superscript"/>
        <sz val="11"/>
        <color theme="1"/>
        <rFont val="Calibri"/>
        <family val="2"/>
        <scheme val="minor"/>
      </rPr>
      <t>2</t>
    </r>
    <r>
      <rPr>
        <sz val="11"/>
        <color theme="1"/>
        <rFont val="Calibri"/>
        <family val="2"/>
        <scheme val="minor"/>
      </rPr>
      <t>R</t>
    </r>
    <r>
      <rPr>
        <vertAlign val="subscript"/>
        <sz val="11"/>
        <color theme="1"/>
        <rFont val="Calibri"/>
        <family val="2"/>
        <scheme val="minor"/>
      </rPr>
      <t>g</t>
    </r>
    <r>
      <rPr>
        <vertAlign val="superscript"/>
        <sz val="11"/>
        <color theme="1"/>
        <rFont val="Calibri"/>
        <family val="2"/>
        <scheme val="minor"/>
      </rPr>
      <t>2</t>
    </r>
    <r>
      <rPr>
        <sz val="11"/>
        <color theme="1"/>
        <rFont val="Calibri"/>
        <family val="2"/>
        <scheme val="minor"/>
      </rPr>
      <t>/3.</t>
    </r>
  </si>
  <si>
    <t xml:space="preserve">Read the ALV's front panel display for the laser monitor and all angles by gently pressing </t>
  </si>
  <si>
    <t xml:space="preserve">Repeat the previous 2 steps for the normalization standard's solvent (usually a much weaker scatterer) </t>
  </si>
  <si>
    <t xml:space="preserve"> but paste intensites to cell T16 and type the panel readings into the blue cells of column K. </t>
  </si>
  <si>
    <r>
      <t>You can enter the solute's R</t>
    </r>
    <r>
      <rPr>
        <vertAlign val="subscript"/>
        <sz val="11"/>
        <color theme="1"/>
        <rFont val="Calibri"/>
        <family val="2"/>
        <scheme val="minor"/>
      </rPr>
      <t>h</t>
    </r>
    <r>
      <rPr>
        <sz val="11"/>
        <color theme="1"/>
        <rFont val="Calibri"/>
        <family val="2"/>
        <scheme val="minor"/>
      </rPr>
      <t xml:space="preserve"> value from DLS in cell J7; a DLS-based R</t>
    </r>
    <r>
      <rPr>
        <vertAlign val="subscript"/>
        <sz val="11"/>
        <color theme="1"/>
        <rFont val="Calibri"/>
        <family val="2"/>
        <scheme val="minor"/>
      </rPr>
      <t>g</t>
    </r>
    <r>
      <rPr>
        <sz val="11"/>
        <color theme="1"/>
        <rFont val="Calibri"/>
        <family val="2"/>
        <scheme val="minor"/>
      </rPr>
      <t xml:space="preserve"> estimate will be </t>
    </r>
  </si>
  <si>
    <t xml:space="preserve">these will tell you whether there is hope of getting a useful size. </t>
  </si>
  <si>
    <r>
      <t>calculated automatically from a sphere model, along with comparisons to wavelength and the P(</t>
    </r>
    <r>
      <rPr>
        <sz val="11"/>
        <color theme="1"/>
        <rFont val="Symbol"/>
        <family val="1"/>
        <charset val="2"/>
      </rPr>
      <t>q</t>
    </r>
    <r>
      <rPr>
        <sz val="11"/>
        <color theme="1"/>
        <rFont val="Calibri"/>
        <family val="2"/>
        <scheme val="minor"/>
      </rPr>
      <t xml:space="preserve">) estimate at max angle;  </t>
    </r>
  </si>
  <si>
    <t>A Guinier plot or similar should give you the apparent SLS size for that concentration.</t>
  </si>
  <si>
    <t>This assertion is developed in a J. Chem. Ed. Article: (see: https://pubs.acs.org/doi/abs/10.1021/ed076p1534 ).</t>
  </si>
  <si>
    <t xml:space="preserve">The equations and figure below come from the Macromolecular Study </t>
  </si>
  <si>
    <t xml:space="preserve">Group's HowTo: https://macro.lsu.edu/HowTo/guide/guide.doc </t>
  </si>
  <si>
    <t xml:space="preserve">In a good GUI language (e.g., Visual C) it is easy to flag users when data is not updated or omitted.  </t>
  </si>
  <si>
    <t xml:space="preserve">See the Parameters worksheet for informaton about choosing the </t>
  </si>
  <si>
    <t>numeric values to use for the Raylegh factor standard, usually toluene.</t>
  </si>
  <si>
    <t xml:space="preserve">The value in B8 is not used; for Toluene, enter the </t>
  </si>
  <si>
    <t>value from cells N11 - N15 to cell G3.</t>
  </si>
  <si>
    <t>Slope</t>
  </si>
  <si>
    <t>All points SSE--&gt;</t>
  </si>
  <si>
    <t>ALV APD points SSE--&gt;</t>
  </si>
  <si>
    <t>Wyatt Diode SSE--&gt;</t>
  </si>
  <si>
    <r>
      <t>Model-predicted Kc/Excess Rayleigh factor in mol.g</t>
    </r>
    <r>
      <rPr>
        <b/>
        <vertAlign val="superscript"/>
        <sz val="11"/>
        <color theme="1"/>
        <rFont val="Calibri"/>
        <family val="2"/>
        <scheme val="minor"/>
      </rPr>
      <t>-1</t>
    </r>
  </si>
  <si>
    <t>Model parameters</t>
  </si>
  <si>
    <t>M</t>
  </si>
  <si>
    <r>
      <t>g.mol</t>
    </r>
    <r>
      <rPr>
        <b/>
        <vertAlign val="superscript"/>
        <sz val="11"/>
        <color theme="1"/>
        <rFont val="Calibri"/>
        <family val="2"/>
        <scheme val="minor"/>
      </rPr>
      <t>-1</t>
    </r>
  </si>
  <si>
    <r>
      <t>mL.mol.g</t>
    </r>
    <r>
      <rPr>
        <b/>
        <vertAlign val="superscript"/>
        <sz val="11"/>
        <color theme="1"/>
        <rFont val="Calibri"/>
        <family val="2"/>
        <scheme val="minor"/>
      </rPr>
      <t>-2</t>
    </r>
  </si>
  <si>
    <r>
      <t>A</t>
    </r>
    <r>
      <rPr>
        <b/>
        <vertAlign val="subscript"/>
        <sz val="11"/>
        <color theme="1"/>
        <rFont val="Calibri"/>
        <family val="2"/>
        <scheme val="minor"/>
      </rPr>
      <t>2</t>
    </r>
  </si>
  <si>
    <r>
      <t>R</t>
    </r>
    <r>
      <rPr>
        <b/>
        <vertAlign val="subscript"/>
        <sz val="11"/>
        <color theme="1"/>
        <rFont val="Calibri"/>
        <family val="2"/>
        <scheme val="minor"/>
      </rPr>
      <t>g</t>
    </r>
  </si>
  <si>
    <t>cm</t>
  </si>
  <si>
    <t>SSE-Down--&gt;</t>
  </si>
  <si>
    <t>SSE (scaled)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</si>
</sst>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00"/>
    <numFmt numFmtId="165" formatCode="0.000"/>
    <numFmt numFmtId="166" formatCode="0.0"/>
    <numFmt numFmtId="167" formatCode="0.000E+00"/>
    <numFmt numFmtId="168" formatCode="0.0000"/>
    <numFmt numFmtId="169" formatCode="[$-409]mmmm\ d\,\ yyyy;@"/>
    <numFmt numFmtId="170" formatCode="[$-F400]h:mm:ss\ AM/PM"/>
    <numFmt numFmtId="171" formatCode="m\-d\-yyyy"/>
  </numFmts>
  <fonts count="56">
    <font>
      <sz val="11"/>
      <color theme="1"/>
      <name val="Calibri"/>
      <family val="2"/>
      <scheme val="minor"/>
    </font>
    <font>
      <b/>
      <sz val="11"/>
      <color indexed="8"/>
      <name val="Calibri"/>
      <family val="2"/>
    </font>
    <font>
      <sz val="11"/>
      <color indexed="8"/>
      <name val="Symbol"/>
      <family val="1"/>
      <charset val="2"/>
    </font>
    <font>
      <b/>
      <sz val="11"/>
      <color indexed="8"/>
      <name val="Symbol"/>
      <family val="1"/>
      <charset val="2"/>
    </font>
    <font>
      <vertAlign val="subscript"/>
      <sz val="11"/>
      <color indexed="8"/>
      <name val="Symbol"/>
      <family val="1"/>
      <charset val="2"/>
    </font>
    <font>
      <vertAlign val="subscript"/>
      <sz val="11"/>
      <color indexed="8"/>
      <name val="Calibri"/>
      <family val="2"/>
    </font>
    <font>
      <vertAlign val="superscript"/>
      <sz val="11"/>
      <color indexed="8"/>
      <name val="Calibri"/>
      <family val="2"/>
    </font>
    <font>
      <b/>
      <sz val="11"/>
      <color indexed="22"/>
      <name val="Calibri"/>
      <family val="2"/>
    </font>
    <font>
      <b/>
      <u/>
      <sz val="11"/>
      <color indexed="43"/>
      <name val="Calibri"/>
      <family val="2"/>
    </font>
    <font>
      <b/>
      <sz val="11"/>
      <color indexed="8"/>
      <name val="script"/>
    </font>
    <font>
      <b/>
      <sz val="11"/>
      <color indexed="8"/>
      <name val="Script MT Bold"/>
      <family val="4"/>
    </font>
    <font>
      <sz val="8"/>
      <name val="Calibri"/>
      <family val="2"/>
    </font>
    <font>
      <vertAlign val="subscript"/>
      <sz val="11"/>
      <color theme="1"/>
      <name val="Calibri"/>
      <family val="2"/>
      <scheme val="minor"/>
    </font>
    <font>
      <vertAlign val="superscript"/>
      <sz val="11"/>
      <color theme="1"/>
      <name val="Calibri"/>
      <family val="2"/>
      <scheme val="minor"/>
    </font>
    <font>
      <b/>
      <sz val="11"/>
      <color theme="1"/>
      <name val="Calibri"/>
      <family val="2"/>
      <scheme val="minor"/>
    </font>
    <font>
      <b/>
      <vertAlign val="superscript"/>
      <sz val="11"/>
      <color indexed="8"/>
      <name val="Calibri"/>
      <family val="2"/>
    </font>
    <font>
      <b/>
      <sz val="11"/>
      <color theme="1"/>
      <name val="Symbol"/>
      <family val="1"/>
      <charset val="2"/>
    </font>
    <font>
      <b/>
      <sz val="11"/>
      <color theme="1"/>
      <name val="Calibri"/>
      <family val="1"/>
      <charset val="2"/>
      <scheme val="minor"/>
    </font>
    <font>
      <sz val="9"/>
      <color indexed="81"/>
      <name val="Tahoma"/>
      <family val="2"/>
    </font>
    <font>
      <b/>
      <sz val="9"/>
      <color indexed="81"/>
      <name val="Tahoma"/>
      <family val="2"/>
    </font>
    <font>
      <b/>
      <sz val="11"/>
      <color rgb="FFFFFF99"/>
      <name val="Calibri"/>
      <family val="2"/>
    </font>
    <font>
      <b/>
      <u/>
      <sz val="11"/>
      <color rgb="FFFFFF99"/>
      <name val="Calibri"/>
      <family val="2"/>
    </font>
    <font>
      <sz val="12"/>
      <color theme="1"/>
      <name val="Times New Roman"/>
      <family val="1"/>
    </font>
    <font>
      <i/>
      <sz val="12"/>
      <color rgb="FF0000FF"/>
      <name val="Times New Roman"/>
      <family val="1"/>
    </font>
    <font>
      <b/>
      <sz val="12"/>
      <color theme="1"/>
      <name val="Calibri"/>
      <family val="2"/>
      <scheme val="minor"/>
    </font>
    <font>
      <i/>
      <sz val="12"/>
      <color rgb="FF0000FF"/>
      <name val="Symbol"/>
      <family val="1"/>
      <charset val="2"/>
    </font>
    <font>
      <sz val="10"/>
      <color theme="1"/>
      <name val="Calibri"/>
      <family val="2"/>
      <scheme val="minor"/>
    </font>
    <font>
      <sz val="11"/>
      <color theme="1"/>
      <name val="Symbol"/>
      <family val="1"/>
      <charset val="2"/>
    </font>
    <font>
      <sz val="10"/>
      <color theme="1"/>
      <name val="Calibri "/>
    </font>
    <font>
      <sz val="10"/>
      <color theme="1"/>
      <name val="Symbol"/>
      <family val="1"/>
      <charset val="2"/>
    </font>
    <font>
      <sz val="11"/>
      <color theme="1"/>
      <name val="Colonna MT"/>
      <family val="5"/>
    </font>
    <font>
      <sz val="11"/>
      <color theme="1"/>
      <name val="Calibri"/>
      <family val="5"/>
      <scheme val="minor"/>
    </font>
    <font>
      <vertAlign val="superscript"/>
      <sz val="10"/>
      <color theme="1"/>
      <name val="Calibri"/>
      <family val="2"/>
      <scheme val="minor"/>
    </font>
    <font>
      <vertAlign val="subscript"/>
      <sz val="11"/>
      <color theme="1"/>
      <name val="Calibri  "/>
    </font>
    <font>
      <sz val="11"/>
      <color theme="1"/>
      <name val="Calibri  "/>
    </font>
    <font>
      <sz val="9"/>
      <color rgb="FF222222"/>
      <name val="Arial"/>
      <family val="2"/>
    </font>
    <font>
      <i/>
      <sz val="9"/>
      <color rgb="FF222222"/>
      <name val="Arial"/>
      <family val="2"/>
    </font>
    <font>
      <b/>
      <sz val="9"/>
      <color rgb="FF222222"/>
      <name val="Arial"/>
      <family val="2"/>
    </font>
    <font>
      <sz val="10"/>
      <color theme="1"/>
      <name val="Calibri"/>
      <family val="1"/>
      <charset val="2"/>
      <scheme val="minor"/>
    </font>
    <font>
      <vertAlign val="subscript"/>
      <sz val="10"/>
      <color theme="1"/>
      <name val="Symbol"/>
      <family val="1"/>
      <charset val="2"/>
    </font>
    <font>
      <sz val="11"/>
      <color rgb="FF000000"/>
      <name val="Calibri"/>
      <family val="2"/>
    </font>
    <font>
      <sz val="11"/>
      <color rgb="FFFFFF99"/>
      <name val="Calibri"/>
      <family val="2"/>
      <scheme val="minor"/>
    </font>
    <font>
      <b/>
      <vertAlign val="superscript"/>
      <sz val="11"/>
      <color theme="1"/>
      <name val="Calibri"/>
      <family val="2"/>
      <scheme val="minor"/>
    </font>
    <font>
      <b/>
      <vertAlign val="subscript"/>
      <sz val="11"/>
      <color theme="1"/>
      <name val="Calibri"/>
      <family val="2"/>
      <scheme val="minor"/>
    </font>
    <font>
      <sz val="11"/>
      <color rgb="FFFF0000"/>
      <name val="Calibri"/>
      <family val="2"/>
      <scheme val="minor"/>
    </font>
    <font>
      <b/>
      <sz val="11"/>
      <color theme="1"/>
      <name val="Calibri"/>
      <family val="5"/>
      <scheme val="minor"/>
    </font>
    <font>
      <b/>
      <sz val="14"/>
      <color theme="1"/>
      <name val="Colonna MT"/>
      <family val="5"/>
    </font>
    <font>
      <b/>
      <vertAlign val="subscript"/>
      <sz val="14"/>
      <color theme="1"/>
      <name val="Colonna MT"/>
      <family val="5"/>
    </font>
    <font>
      <b/>
      <vertAlign val="subscript"/>
      <sz val="11"/>
      <color theme="1"/>
      <name val="Symbol"/>
      <family val="1"/>
      <charset val="2"/>
    </font>
    <font>
      <b/>
      <sz val="14"/>
      <color theme="1"/>
      <name val="Calibri"/>
      <family val="2"/>
      <scheme val="minor"/>
    </font>
    <font>
      <b/>
      <sz val="11"/>
      <name val="Calibri"/>
      <family val="2"/>
    </font>
    <font>
      <sz val="11"/>
      <color rgb="FF00B050"/>
      <name val="Calibri"/>
      <family val="2"/>
      <scheme val="minor"/>
    </font>
    <font>
      <sz val="12"/>
      <color rgb="FF00B050"/>
      <name val="Times New Roman"/>
      <family val="1"/>
    </font>
    <font>
      <b/>
      <u/>
      <sz val="12"/>
      <color theme="1"/>
      <name val="Calibri"/>
      <family val="2"/>
      <scheme val="minor"/>
    </font>
    <font>
      <sz val="9"/>
      <color indexed="81"/>
      <name val="Tahoma"/>
      <charset val="1"/>
    </font>
    <font>
      <b/>
      <sz val="9"/>
      <color indexed="81"/>
      <name val="Tahoma"/>
      <charset val="1"/>
    </font>
  </fonts>
  <fills count="24">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8"/>
        <bgColor indexed="64"/>
      </patternFill>
    </fill>
    <fill>
      <patternFill patternType="solid">
        <fgColor indexed="57"/>
        <bgColor indexed="64"/>
      </patternFill>
    </fill>
    <fill>
      <patternFill patternType="solid">
        <fgColor indexed="10"/>
        <bgColor indexed="64"/>
      </patternFill>
    </fill>
    <fill>
      <patternFill patternType="solid">
        <fgColor indexed="9"/>
        <bgColor indexed="64"/>
      </patternFill>
    </fill>
    <fill>
      <patternFill patternType="solid">
        <fgColor indexed="40"/>
        <bgColor indexed="64"/>
      </patternFill>
    </fill>
    <fill>
      <patternFill patternType="solid">
        <fgColor indexed="50"/>
        <bgColor indexed="64"/>
      </patternFill>
    </fill>
    <fill>
      <patternFill patternType="solid">
        <fgColor rgb="FF92D050"/>
        <bgColor indexed="64"/>
      </patternFill>
    </fill>
    <fill>
      <patternFill patternType="solid">
        <fgColor rgb="FFFF0000"/>
        <bgColor indexed="64"/>
      </patternFill>
    </fill>
    <fill>
      <patternFill patternType="solid">
        <fgColor rgb="FFFFFFCC"/>
        <bgColor indexed="64"/>
      </patternFill>
    </fill>
    <fill>
      <patternFill patternType="solid">
        <fgColor theme="4" tint="0.39997558519241921"/>
        <bgColor indexed="64"/>
      </patternFill>
    </fill>
    <fill>
      <patternFill patternType="solid">
        <fgColor rgb="FFFFFF99"/>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99CC"/>
        <bgColor indexed="64"/>
      </patternFill>
    </fill>
    <fill>
      <patternFill patternType="solid">
        <fgColor theme="4" tint="0.5999938962981048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diagonal/>
    </border>
  </borders>
  <cellStyleXfs count="1">
    <xf numFmtId="0" fontId="0" fillId="0" borderId="0"/>
  </cellStyleXfs>
  <cellXfs count="280">
    <xf numFmtId="0" fontId="0" fillId="0" borderId="0" xfId="0"/>
    <xf numFmtId="0" fontId="0" fillId="0" borderId="1" xfId="0" applyBorder="1"/>
    <xf numFmtId="0" fontId="0" fillId="2" borderId="1" xfId="0" applyFill="1" applyBorder="1"/>
    <xf numFmtId="0" fontId="0" fillId="3" borderId="1" xfId="0" applyFill="1" applyBorder="1"/>
    <xf numFmtId="0" fontId="0" fillId="4" borderId="1" xfId="0" applyFill="1" applyBorder="1"/>
    <xf numFmtId="0" fontId="0" fillId="0" borderId="1" xfId="0" applyBorder="1" applyAlignment="1">
      <alignment horizontal="center"/>
    </xf>
    <xf numFmtId="0" fontId="1" fillId="0" borderId="1" xfId="0" applyFont="1" applyBorder="1"/>
    <xf numFmtId="0" fontId="1" fillId="0" borderId="1" xfId="0" applyFont="1" applyBorder="1" applyAlignment="1">
      <alignment horizontal="center"/>
    </xf>
    <xf numFmtId="165" fontId="0" fillId="0" borderId="1" xfId="0" applyNumberFormat="1" applyBorder="1" applyAlignment="1">
      <alignment horizontal="center"/>
    </xf>
    <xf numFmtId="2" fontId="0" fillId="0" borderId="1" xfId="0" applyNumberFormat="1" applyBorder="1" applyAlignment="1">
      <alignment horizontal="center"/>
    </xf>
    <xf numFmtId="1" fontId="0" fillId="0" borderId="1" xfId="0" applyNumberFormat="1" applyBorder="1" applyAlignment="1">
      <alignment horizontal="center"/>
    </xf>
    <xf numFmtId="0" fontId="1" fillId="0" borderId="0" xfId="0" applyFont="1"/>
    <xf numFmtId="0" fontId="0" fillId="0" borderId="0" xfId="0" applyFont="1"/>
    <xf numFmtId="0" fontId="0" fillId="0" borderId="2" xfId="0" applyBorder="1"/>
    <xf numFmtId="0" fontId="0" fillId="0" borderId="3" xfId="0" applyBorder="1"/>
    <xf numFmtId="0" fontId="1" fillId="0" borderId="3" xfId="0" applyFont="1" applyBorder="1"/>
    <xf numFmtId="0" fontId="1" fillId="0" borderId="4" xfId="0" applyFont="1" applyBorder="1"/>
    <xf numFmtId="0" fontId="1" fillId="0" borderId="2" xfId="0" applyFont="1" applyBorder="1"/>
    <xf numFmtId="0" fontId="0" fillId="0" borderId="5" xfId="0"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0" borderId="10" xfId="0" applyFill="1" applyBorder="1" applyAlignment="1">
      <alignment horizontal="center"/>
    </xf>
    <xf numFmtId="0" fontId="1" fillId="0" borderId="1" xfId="0" quotePrefix="1" applyFont="1" applyBorder="1" applyAlignment="1">
      <alignment horizontal="center"/>
    </xf>
    <xf numFmtId="164" fontId="0" fillId="2" borderId="1" xfId="0" applyNumberFormat="1" applyFill="1" applyBorder="1"/>
    <xf numFmtId="164" fontId="0" fillId="3" borderId="1" xfId="0" applyNumberFormat="1" applyFill="1" applyBorder="1"/>
    <xf numFmtId="0" fontId="7" fillId="5" borderId="11" xfId="0" applyFont="1" applyFill="1" applyBorder="1"/>
    <xf numFmtId="0" fontId="7" fillId="5" borderId="12" xfId="0" applyFont="1" applyFill="1" applyBorder="1"/>
    <xf numFmtId="0" fontId="7" fillId="5" borderId="6" xfId="0" applyFont="1" applyFill="1" applyBorder="1"/>
    <xf numFmtId="0" fontId="7" fillId="5" borderId="7" xfId="0" applyFont="1" applyFill="1" applyBorder="1"/>
    <xf numFmtId="0" fontId="0" fillId="6" borderId="1" xfId="0" applyFill="1" applyBorder="1"/>
    <xf numFmtId="0" fontId="0" fillId="6" borderId="1" xfId="0" quotePrefix="1" applyFill="1" applyBorder="1" applyAlignment="1">
      <alignment horizontal="center"/>
    </xf>
    <xf numFmtId="0" fontId="0" fillId="7" borderId="1" xfId="0" applyFill="1" applyBorder="1"/>
    <xf numFmtId="0" fontId="1" fillId="8" borderId="1" xfId="0" applyFont="1" applyFill="1" applyBorder="1"/>
    <xf numFmtId="0" fontId="0" fillId="8" borderId="1" xfId="0" applyFill="1" applyBorder="1"/>
    <xf numFmtId="0" fontId="1" fillId="0" borderId="2" xfId="0" applyFont="1" applyBorder="1" applyAlignment="1">
      <alignment horizontal="center"/>
    </xf>
    <xf numFmtId="0" fontId="1" fillId="0" borderId="13" xfId="0" applyFont="1" applyBorder="1" applyAlignment="1">
      <alignment horizontal="center"/>
    </xf>
    <xf numFmtId="0" fontId="1" fillId="0" borderId="4" xfId="0" applyFont="1" applyBorder="1" applyAlignment="1">
      <alignment horizontal="center"/>
    </xf>
    <xf numFmtId="0" fontId="0" fillId="0" borderId="0" xfId="0" applyBorder="1"/>
    <xf numFmtId="15" fontId="0" fillId="9" borderId="14" xfId="0" applyNumberFormat="1" applyFill="1" applyBorder="1"/>
    <xf numFmtId="0" fontId="0" fillId="9" borderId="14" xfId="0" applyFill="1" applyBorder="1"/>
    <xf numFmtId="0" fontId="0" fillId="9" borderId="15" xfId="0" applyFill="1" applyBorder="1"/>
    <xf numFmtId="0" fontId="0" fillId="9" borderId="16" xfId="0" applyFill="1" applyBorder="1"/>
    <xf numFmtId="0" fontId="0" fillId="9" borderId="17" xfId="0" applyFill="1" applyBorder="1"/>
    <xf numFmtId="11" fontId="0" fillId="0" borderId="0" xfId="0" applyNumberFormat="1"/>
    <xf numFmtId="0" fontId="0" fillId="0" borderId="0" xfId="0" applyAlignment="1">
      <alignment horizontal="right" vertical="center"/>
    </xf>
    <xf numFmtId="0" fontId="0" fillId="10" borderId="1" xfId="0" applyFill="1" applyBorder="1"/>
    <xf numFmtId="0" fontId="0" fillId="0" borderId="0" xfId="0" applyFill="1" applyBorder="1"/>
    <xf numFmtId="0" fontId="0" fillId="0" borderId="1" xfId="0" applyFill="1" applyBorder="1"/>
    <xf numFmtId="0" fontId="0" fillId="0" borderId="0" xfId="0" applyBorder="1" applyAlignment="1">
      <alignment horizontal="center"/>
    </xf>
    <xf numFmtId="165" fontId="0" fillId="10" borderId="1" xfId="0" applyNumberFormat="1" applyFill="1" applyBorder="1"/>
    <xf numFmtId="166" fontId="0" fillId="10" borderId="1" xfId="0" applyNumberFormat="1" applyFill="1" applyBorder="1"/>
    <xf numFmtId="0" fontId="0" fillId="11" borderId="1" xfId="0" applyFill="1" applyBorder="1" applyAlignment="1">
      <alignment horizontal="center"/>
    </xf>
    <xf numFmtId="0" fontId="0" fillId="11" borderId="1" xfId="0" applyFill="1" applyBorder="1"/>
    <xf numFmtId="0" fontId="1" fillId="0" borderId="0" xfId="0" applyFont="1" applyBorder="1"/>
    <xf numFmtId="0" fontId="0" fillId="0" borderId="2" xfId="0" applyBorder="1" applyAlignment="1">
      <alignment horizontal="center"/>
    </xf>
    <xf numFmtId="0" fontId="0" fillId="0" borderId="0" xfId="0" applyFill="1" applyBorder="1" applyAlignment="1">
      <alignment horizontal="center"/>
    </xf>
    <xf numFmtId="0" fontId="0" fillId="11" borderId="1" xfId="0" quotePrefix="1" applyFill="1" applyBorder="1" applyAlignment="1">
      <alignment horizontal="center"/>
    </xf>
    <xf numFmtId="0" fontId="0" fillId="12" borderId="1" xfId="0" applyFill="1" applyBorder="1" applyAlignment="1">
      <alignment horizontal="center"/>
    </xf>
    <xf numFmtId="0" fontId="0" fillId="13" borderId="1" xfId="0" applyFill="1" applyBorder="1" applyAlignment="1">
      <alignment horizontal="center"/>
    </xf>
    <xf numFmtId="0" fontId="0" fillId="13" borderId="4" xfId="0" applyFill="1" applyBorder="1" applyAlignment="1">
      <alignment horizontal="center"/>
    </xf>
    <xf numFmtId="0" fontId="0" fillId="14" borderId="1" xfId="0" applyFill="1" applyBorder="1" applyAlignment="1">
      <alignment horizontal="center"/>
    </xf>
    <xf numFmtId="0" fontId="0" fillId="14" borderId="4" xfId="0" applyFill="1" applyBorder="1" applyAlignment="1">
      <alignment horizontal="center"/>
    </xf>
    <xf numFmtId="164" fontId="0" fillId="14" borderId="1" xfId="0" applyNumberFormat="1" applyFill="1" applyBorder="1"/>
    <xf numFmtId="0" fontId="14" fillId="0" borderId="1" xfId="0" applyFont="1" applyBorder="1"/>
    <xf numFmtId="0" fontId="14" fillId="12" borderId="1" xfId="0" applyFont="1" applyFill="1" applyBorder="1" applyAlignment="1">
      <alignment horizontal="center"/>
    </xf>
    <xf numFmtId="0" fontId="14" fillId="0" borderId="0" xfId="0" applyFont="1"/>
    <xf numFmtId="0" fontId="14" fillId="0" borderId="0" xfId="0" applyFont="1" applyAlignment="1">
      <alignment horizontal="right"/>
    </xf>
    <xf numFmtId="0" fontId="17" fillId="12" borderId="1" xfId="0" applyFont="1" applyFill="1" applyBorder="1" applyAlignment="1">
      <alignment horizontal="center"/>
    </xf>
    <xf numFmtId="0" fontId="0" fillId="0" borderId="18" xfId="0" applyBorder="1"/>
    <xf numFmtId="0" fontId="14" fillId="0" borderId="19" xfId="0" applyFont="1" applyBorder="1"/>
    <xf numFmtId="0" fontId="14" fillId="13" borderId="1" xfId="0" applyFont="1" applyFill="1" applyBorder="1" applyAlignment="1">
      <alignment horizontal="center"/>
    </xf>
    <xf numFmtId="0" fontId="14" fillId="13" borderId="1" xfId="0" applyFont="1" applyFill="1" applyBorder="1"/>
    <xf numFmtId="0" fontId="0" fillId="12" borderId="1" xfId="0" applyFill="1" applyBorder="1" applyAlignment="1">
      <alignment horizontal="left"/>
    </xf>
    <xf numFmtId="0" fontId="0" fillId="12" borderId="20" xfId="0" applyFill="1" applyBorder="1" applyAlignment="1">
      <alignment horizontal="left"/>
    </xf>
    <xf numFmtId="0" fontId="0" fillId="12" borderId="21" xfId="0" applyFill="1" applyBorder="1" applyAlignment="1">
      <alignment horizontal="left"/>
    </xf>
    <xf numFmtId="0" fontId="0" fillId="12" borderId="22" xfId="0" applyFill="1" applyBorder="1" applyAlignment="1">
      <alignment horizontal="left"/>
    </xf>
    <xf numFmtId="0" fontId="0" fillId="12" borderId="23" xfId="0" applyFill="1" applyBorder="1" applyAlignment="1">
      <alignment horizontal="left"/>
    </xf>
    <xf numFmtId="0" fontId="0" fillId="12" borderId="24" xfId="0" applyFill="1" applyBorder="1" applyAlignment="1">
      <alignment horizontal="left"/>
    </xf>
    <xf numFmtId="0" fontId="0" fillId="12" borderId="25" xfId="0" applyFill="1" applyBorder="1" applyAlignment="1">
      <alignment horizontal="left"/>
    </xf>
    <xf numFmtId="0" fontId="0" fillId="12" borderId="26" xfId="0" applyFill="1" applyBorder="1" applyAlignment="1">
      <alignment horizontal="left"/>
    </xf>
    <xf numFmtId="0" fontId="0" fillId="12" borderId="27" xfId="0" applyFill="1" applyBorder="1" applyAlignment="1">
      <alignment horizontal="left"/>
    </xf>
    <xf numFmtId="11" fontId="0" fillId="13" borderId="1" xfId="0" applyNumberFormat="1" applyFill="1" applyBorder="1"/>
    <xf numFmtId="2" fontId="0" fillId="13" borderId="1" xfId="0" applyNumberFormat="1" applyFill="1" applyBorder="1"/>
    <xf numFmtId="0" fontId="0" fillId="13" borderId="20" xfId="0" applyFill="1" applyBorder="1"/>
    <xf numFmtId="0" fontId="0" fillId="13" borderId="21" xfId="0" applyFill="1" applyBorder="1"/>
    <xf numFmtId="0" fontId="0" fillId="13" borderId="12" xfId="0" applyFill="1" applyBorder="1"/>
    <xf numFmtId="0" fontId="0" fillId="13" borderId="23" xfId="0" quotePrefix="1" applyFill="1" applyBorder="1"/>
    <xf numFmtId="0" fontId="0" fillId="13" borderId="7" xfId="0" applyFill="1" applyBorder="1"/>
    <xf numFmtId="0" fontId="0" fillId="13" borderId="23" xfId="0" applyFill="1" applyBorder="1"/>
    <xf numFmtId="0" fontId="0" fillId="13" borderId="24" xfId="0" applyFill="1" applyBorder="1"/>
    <xf numFmtId="0" fontId="0" fillId="13" borderId="25" xfId="0" applyFill="1" applyBorder="1"/>
    <xf numFmtId="0" fontId="0" fillId="13" borderId="26" xfId="0" applyFill="1" applyBorder="1"/>
    <xf numFmtId="0" fontId="0" fillId="13" borderId="27" xfId="0" applyFill="1" applyBorder="1"/>
    <xf numFmtId="0" fontId="0" fillId="13" borderId="28" xfId="0" applyFill="1" applyBorder="1"/>
    <xf numFmtId="0" fontId="0" fillId="12" borderId="12" xfId="0" applyFill="1" applyBorder="1" applyAlignment="1">
      <alignment horizontal="left"/>
    </xf>
    <xf numFmtId="0" fontId="0" fillId="12" borderId="31" xfId="0" applyFill="1" applyBorder="1" applyAlignment="1">
      <alignment horizontal="left"/>
    </xf>
    <xf numFmtId="0" fontId="14" fillId="12" borderId="30" xfId="0" applyFont="1" applyFill="1" applyBorder="1" applyAlignment="1">
      <alignment horizontal="left"/>
    </xf>
    <xf numFmtId="0" fontId="14" fillId="13" borderId="11" xfId="0" applyFont="1" applyFill="1" applyBorder="1"/>
    <xf numFmtId="0" fontId="0" fillId="15" borderId="28" xfId="0" applyFill="1" applyBorder="1"/>
    <xf numFmtId="0" fontId="0" fillId="15" borderId="12" xfId="0" applyFill="1" applyBorder="1"/>
    <xf numFmtId="0" fontId="0" fillId="15" borderId="23" xfId="0" applyFill="1" applyBorder="1"/>
    <xf numFmtId="0" fontId="0" fillId="15" borderId="23" xfId="0" quotePrefix="1" applyFill="1" applyBorder="1"/>
    <xf numFmtId="11" fontId="0" fillId="15" borderId="1" xfId="0" applyNumberFormat="1" applyFill="1" applyBorder="1"/>
    <xf numFmtId="2" fontId="0" fillId="15" borderId="1" xfId="0" applyNumberFormat="1" applyFill="1" applyBorder="1"/>
    <xf numFmtId="0" fontId="0" fillId="15" borderId="24" xfId="0" applyFill="1" applyBorder="1"/>
    <xf numFmtId="0" fontId="0" fillId="15" borderId="25" xfId="0" applyFill="1" applyBorder="1"/>
    <xf numFmtId="0" fontId="0" fillId="15" borderId="26" xfId="0" applyFill="1" applyBorder="1"/>
    <xf numFmtId="0" fontId="0" fillId="15" borderId="27" xfId="0" applyFill="1" applyBorder="1"/>
    <xf numFmtId="0" fontId="0" fillId="15" borderId="20" xfId="0" applyFill="1" applyBorder="1"/>
    <xf numFmtId="0" fontId="0" fillId="15" borderId="21" xfId="0" applyFill="1" applyBorder="1"/>
    <xf numFmtId="0" fontId="14" fillId="15" borderId="11" xfId="0" applyFont="1" applyFill="1" applyBorder="1"/>
    <xf numFmtId="0" fontId="0" fillId="15" borderId="22" xfId="0" applyFill="1" applyBorder="1"/>
    <xf numFmtId="0" fontId="14" fillId="0" borderId="21" xfId="0" applyFont="1" applyBorder="1" applyAlignment="1">
      <alignment horizontal="center"/>
    </xf>
    <xf numFmtId="0" fontId="14" fillId="0" borderId="22" xfId="0" applyFont="1" applyBorder="1" applyAlignment="1">
      <alignment horizontal="center"/>
    </xf>
    <xf numFmtId="0" fontId="0" fillId="13" borderId="23" xfId="0" applyFill="1" applyBorder="1" applyAlignment="1">
      <alignment horizontal="center"/>
    </xf>
    <xf numFmtId="0" fontId="0" fillId="13" borderId="29" xfId="0" applyFill="1" applyBorder="1" applyAlignment="1">
      <alignment horizontal="center"/>
    </xf>
    <xf numFmtId="0" fontId="0" fillId="14" borderId="23" xfId="0" applyFill="1" applyBorder="1" applyAlignment="1">
      <alignment horizontal="center"/>
    </xf>
    <xf numFmtId="0" fontId="0" fillId="14" borderId="29" xfId="0" applyFill="1" applyBorder="1" applyAlignment="1">
      <alignment horizontal="center"/>
    </xf>
    <xf numFmtId="0" fontId="0" fillId="14" borderId="25" xfId="0" applyFill="1" applyBorder="1" applyAlignment="1">
      <alignment horizontal="center"/>
    </xf>
    <xf numFmtId="0" fontId="0" fillId="14" borderId="26" xfId="0" applyFill="1" applyBorder="1" applyAlignment="1">
      <alignment horizontal="center"/>
    </xf>
    <xf numFmtId="0" fontId="0" fillId="14" borderId="32" xfId="0" applyFill="1" applyBorder="1" applyAlignment="1">
      <alignment horizontal="center"/>
    </xf>
    <xf numFmtId="0" fontId="0" fillId="14" borderId="33" xfId="0" applyFill="1" applyBorder="1" applyAlignment="1">
      <alignment horizontal="center"/>
    </xf>
    <xf numFmtId="0" fontId="14" fillId="0" borderId="0" xfId="0" applyFont="1" applyBorder="1" applyAlignment="1">
      <alignment horizontal="center"/>
    </xf>
    <xf numFmtId="15" fontId="0" fillId="9" borderId="17" xfId="0" applyNumberFormat="1" applyFont="1" applyFill="1" applyBorder="1"/>
    <xf numFmtId="166" fontId="0" fillId="0" borderId="4" xfId="0" applyNumberFormat="1" applyBorder="1" applyAlignment="1">
      <alignment horizontal="center"/>
    </xf>
    <xf numFmtId="0" fontId="0" fillId="9" borderId="17" xfId="0" applyFill="1" applyBorder="1" applyAlignment="1">
      <alignment horizontal="center"/>
    </xf>
    <xf numFmtId="0" fontId="14" fillId="0" borderId="20" xfId="0" applyFont="1" applyBorder="1" applyAlignment="1">
      <alignment horizontal="center"/>
    </xf>
    <xf numFmtId="0" fontId="7" fillId="5" borderId="28" xfId="0" applyFont="1" applyFill="1" applyBorder="1"/>
    <xf numFmtId="0" fontId="1" fillId="0" borderId="0" xfId="0" applyFont="1" applyFill="1" applyBorder="1"/>
    <xf numFmtId="0" fontId="0" fillId="0" borderId="0" xfId="0" applyAlignment="1">
      <alignment horizontal="left"/>
    </xf>
    <xf numFmtId="0" fontId="0" fillId="11" borderId="0" xfId="0" applyFill="1"/>
    <xf numFmtId="0" fontId="24" fillId="0" borderId="0" xfId="0" applyFont="1"/>
    <xf numFmtId="0" fontId="14" fillId="0" borderId="0" xfId="0" applyFont="1" applyBorder="1"/>
    <xf numFmtId="0" fontId="0" fillId="17" borderId="0" xfId="0" applyFill="1"/>
    <xf numFmtId="0" fontId="26" fillId="0" borderId="0" xfId="0" applyFont="1"/>
    <xf numFmtId="0" fontId="0" fillId="0" borderId="0" xfId="0" applyFill="1"/>
    <xf numFmtId="0" fontId="0" fillId="0" borderId="0" xfId="0" applyAlignment="1">
      <alignment vertical="center"/>
    </xf>
    <xf numFmtId="167" fontId="0" fillId="0" borderId="0" xfId="0" applyNumberFormat="1"/>
    <xf numFmtId="0" fontId="0" fillId="0" borderId="0" xfId="0" applyAlignment="1">
      <alignment horizontal="right"/>
    </xf>
    <xf numFmtId="0" fontId="31" fillId="0" borderId="0" xfId="0" applyFont="1"/>
    <xf numFmtId="0" fontId="26" fillId="0" borderId="0" xfId="0" applyFont="1" applyAlignment="1">
      <alignment vertical="center"/>
    </xf>
    <xf numFmtId="0" fontId="30" fillId="0" borderId="0" xfId="0" applyFont="1" applyAlignment="1">
      <alignment vertical="center"/>
    </xf>
    <xf numFmtId="0" fontId="0" fillId="0" borderId="0" xfId="0" quotePrefix="1"/>
    <xf numFmtId="0" fontId="35" fillId="0" borderId="0" xfId="0" applyFont="1"/>
    <xf numFmtId="2" fontId="0" fillId="0" borderId="0" xfId="0" applyNumberFormat="1"/>
    <xf numFmtId="0" fontId="38" fillId="0" borderId="0" xfId="0" applyFont="1" applyAlignment="1">
      <alignment horizontal="right"/>
    </xf>
    <xf numFmtId="0" fontId="0" fillId="0" borderId="34" xfId="0" applyBorder="1"/>
    <xf numFmtId="0" fontId="14" fillId="20" borderId="20" xfId="0" applyFont="1" applyFill="1" applyBorder="1"/>
    <xf numFmtId="0" fontId="0" fillId="20" borderId="21" xfId="0" applyFill="1" applyBorder="1"/>
    <xf numFmtId="0" fontId="0" fillId="20" borderId="28" xfId="0" applyFill="1" applyBorder="1"/>
    <xf numFmtId="0" fontId="0" fillId="20" borderId="12" xfId="0" applyFill="1" applyBorder="1"/>
    <xf numFmtId="0" fontId="0" fillId="20" borderId="23" xfId="0" applyFill="1" applyBorder="1"/>
    <xf numFmtId="0" fontId="0" fillId="20" borderId="2" xfId="0" applyFill="1" applyBorder="1"/>
    <xf numFmtId="0" fontId="0" fillId="20" borderId="35" xfId="0" applyFill="1" applyBorder="1"/>
    <xf numFmtId="0" fontId="0" fillId="20" borderId="1" xfId="0" applyFill="1" applyBorder="1"/>
    <xf numFmtId="166" fontId="0" fillId="20" borderId="4" xfId="0" applyNumberFormat="1" applyFill="1" applyBorder="1" applyAlignment="1">
      <alignment horizontal="center"/>
    </xf>
    <xf numFmtId="0" fontId="0" fillId="20" borderId="24" xfId="0" applyFill="1" applyBorder="1"/>
    <xf numFmtId="1" fontId="0" fillId="20" borderId="1" xfId="0" applyNumberFormat="1" applyFill="1" applyBorder="1" applyAlignment="1">
      <alignment horizontal="center"/>
    </xf>
    <xf numFmtId="2" fontId="0" fillId="20" borderId="1" xfId="0" applyNumberFormat="1" applyFill="1" applyBorder="1" applyAlignment="1">
      <alignment horizontal="center"/>
    </xf>
    <xf numFmtId="0" fontId="0" fillId="20" borderId="25" xfId="0" applyFill="1" applyBorder="1"/>
    <xf numFmtId="0" fontId="0" fillId="20" borderId="26" xfId="0" applyFill="1" applyBorder="1"/>
    <xf numFmtId="165" fontId="0" fillId="20" borderId="26" xfId="0" applyNumberFormat="1" applyFill="1" applyBorder="1" applyAlignment="1">
      <alignment horizontal="center"/>
    </xf>
    <xf numFmtId="0" fontId="0" fillId="20" borderId="27" xfId="0" applyFill="1" applyBorder="1"/>
    <xf numFmtId="0" fontId="0" fillId="0" borderId="0" xfId="0" applyAlignment="1">
      <alignment horizontal="center"/>
    </xf>
    <xf numFmtId="0" fontId="0" fillId="9" borderId="16" xfId="0" applyFill="1" applyBorder="1" applyAlignment="1">
      <alignment horizontal="center"/>
    </xf>
    <xf numFmtId="0" fontId="1" fillId="19" borderId="36" xfId="0" applyFont="1" applyFill="1" applyBorder="1"/>
    <xf numFmtId="0" fontId="14" fillId="0" borderId="37" xfId="0" applyFont="1" applyBorder="1"/>
    <xf numFmtId="0" fontId="0" fillId="0" borderId="37" xfId="0" applyBorder="1"/>
    <xf numFmtId="0" fontId="0" fillId="0" borderId="14" xfId="0" applyBorder="1"/>
    <xf numFmtId="0" fontId="0" fillId="19" borderId="36" xfId="0" applyFill="1" applyBorder="1"/>
    <xf numFmtId="0" fontId="14" fillId="0" borderId="36" xfId="0" applyFont="1" applyBorder="1"/>
    <xf numFmtId="0" fontId="41" fillId="0" borderId="0" xfId="0" applyFont="1" applyFill="1" applyBorder="1"/>
    <xf numFmtId="0" fontId="41" fillId="0" borderId="36" xfId="0" applyFont="1" applyFill="1" applyBorder="1"/>
    <xf numFmtId="0" fontId="14" fillId="0" borderId="13" xfId="0" applyFont="1" applyBorder="1"/>
    <xf numFmtId="0" fontId="0" fillId="13" borderId="1" xfId="0" applyFill="1" applyBorder="1"/>
    <xf numFmtId="0" fontId="0" fillId="16" borderId="1" xfId="0" applyFill="1" applyBorder="1"/>
    <xf numFmtId="0" fontId="0" fillId="18" borderId="1" xfId="0" applyFont="1" applyFill="1" applyBorder="1"/>
    <xf numFmtId="0" fontId="0" fillId="9" borderId="1" xfId="0" applyFill="1" applyBorder="1"/>
    <xf numFmtId="0" fontId="0" fillId="21" borderId="1" xfId="0" applyFill="1" applyBorder="1"/>
    <xf numFmtId="0" fontId="14" fillId="0" borderId="0" xfId="0" applyFont="1" applyFill="1" applyBorder="1"/>
    <xf numFmtId="0" fontId="14" fillId="0" borderId="0" xfId="0" applyFont="1" applyFill="1" applyBorder="1" applyAlignment="1">
      <alignment horizontal="right"/>
    </xf>
    <xf numFmtId="0" fontId="0" fillId="11" borderId="13" xfId="0" applyFill="1" applyBorder="1"/>
    <xf numFmtId="168" fontId="0" fillId="0" borderId="0" xfId="0" applyNumberFormat="1"/>
    <xf numFmtId="0" fontId="45" fillId="0" borderId="0" xfId="0" applyFont="1"/>
    <xf numFmtId="0" fontId="14" fillId="0" borderId="10" xfId="0" applyFont="1" applyFill="1" applyBorder="1"/>
    <xf numFmtId="0" fontId="14" fillId="0" borderId="1" xfId="0" applyFont="1" applyBorder="1" applyAlignment="1">
      <alignment horizontal="left"/>
    </xf>
    <xf numFmtId="167" fontId="0" fillId="10" borderId="1" xfId="0" applyNumberFormat="1" applyFill="1" applyBorder="1"/>
    <xf numFmtId="0" fontId="7" fillId="11" borderId="12" xfId="0" applyFont="1" applyFill="1" applyBorder="1"/>
    <xf numFmtId="0" fontId="7" fillId="11" borderId="6" xfId="0" applyFont="1" applyFill="1" applyBorder="1"/>
    <xf numFmtId="0" fontId="7" fillId="11" borderId="7" xfId="0" applyFont="1" applyFill="1" applyBorder="1"/>
    <xf numFmtId="169" fontId="0" fillId="9" borderId="14" xfId="0" applyNumberFormat="1" applyFill="1" applyBorder="1"/>
    <xf numFmtId="0" fontId="50" fillId="11" borderId="11" xfId="0" applyFont="1" applyFill="1" applyBorder="1"/>
    <xf numFmtId="0" fontId="0" fillId="11" borderId="14" xfId="0" applyFill="1" applyBorder="1"/>
    <xf numFmtId="169" fontId="0" fillId="11" borderId="14" xfId="0" applyNumberFormat="1" applyFill="1" applyBorder="1" applyAlignment="1">
      <alignment horizontal="left"/>
    </xf>
    <xf numFmtId="0" fontId="0" fillId="11" borderId="17" xfId="0" applyFill="1" applyBorder="1"/>
    <xf numFmtId="0" fontId="0" fillId="11" borderId="15" xfId="0" applyFill="1" applyBorder="1"/>
    <xf numFmtId="0" fontId="0" fillId="11" borderId="17" xfId="0" applyFill="1" applyBorder="1" applyAlignment="1">
      <alignment horizontal="center"/>
    </xf>
    <xf numFmtId="166" fontId="0" fillId="11" borderId="4" xfId="0" applyNumberFormat="1" applyFill="1" applyBorder="1" applyAlignment="1">
      <alignment horizontal="center"/>
    </xf>
    <xf numFmtId="1" fontId="0" fillId="11" borderId="1" xfId="0" applyNumberFormat="1" applyFill="1" applyBorder="1" applyAlignment="1">
      <alignment horizontal="center"/>
    </xf>
    <xf numFmtId="2" fontId="0" fillId="11" borderId="1" xfId="0" applyNumberFormat="1" applyFill="1" applyBorder="1" applyAlignment="1">
      <alignment horizontal="center"/>
    </xf>
    <xf numFmtId="165" fontId="0" fillId="11" borderId="1" xfId="0" applyNumberFormat="1" applyFill="1" applyBorder="1" applyAlignment="1">
      <alignment horizontal="center"/>
    </xf>
    <xf numFmtId="0" fontId="44" fillId="2" borderId="1" xfId="0" applyFont="1" applyFill="1" applyBorder="1"/>
    <xf numFmtId="0" fontId="44" fillId="3" borderId="7" xfId="0" applyFont="1" applyFill="1" applyBorder="1"/>
    <xf numFmtId="0" fontId="44" fillId="3" borderId="9" xfId="0" applyFont="1" applyFill="1" applyBorder="1"/>
    <xf numFmtId="0" fontId="51" fillId="3" borderId="7" xfId="0" applyFont="1" applyFill="1" applyBorder="1"/>
    <xf numFmtId="0" fontId="51" fillId="3" borderId="9" xfId="0" applyFont="1" applyFill="1" applyBorder="1"/>
    <xf numFmtId="0" fontId="0" fillId="21" borderId="0" xfId="0" applyFill="1"/>
    <xf numFmtId="0" fontId="0" fillId="21" borderId="11" xfId="0" applyFill="1" applyBorder="1"/>
    <xf numFmtId="0" fontId="0" fillId="0" borderId="8" xfId="0" applyBorder="1"/>
    <xf numFmtId="0" fontId="0" fillId="14" borderId="9" xfId="0" applyFill="1" applyBorder="1"/>
    <xf numFmtId="0" fontId="0" fillId="10" borderId="0" xfId="0" applyFill="1"/>
    <xf numFmtId="0" fontId="14" fillId="11" borderId="0" xfId="0" applyFont="1" applyFill="1"/>
    <xf numFmtId="0" fontId="14" fillId="11" borderId="0" xfId="0" applyFont="1" applyFill="1" applyAlignment="1">
      <alignment horizontal="right"/>
    </xf>
    <xf numFmtId="0" fontId="14" fillId="0" borderId="0" xfId="0" quotePrefix="1" applyFont="1"/>
    <xf numFmtId="0" fontId="14" fillId="11" borderId="0" xfId="0" applyFont="1" applyFill="1" applyAlignment="1">
      <alignment horizontal="left"/>
    </xf>
    <xf numFmtId="11" fontId="0" fillId="18" borderId="1" xfId="0" applyNumberFormat="1" applyFont="1" applyFill="1" applyBorder="1"/>
    <xf numFmtId="0" fontId="24" fillId="0" borderId="11" xfId="0" applyFont="1" applyBorder="1"/>
    <xf numFmtId="0" fontId="0" fillId="0" borderId="28" xfId="0" applyBorder="1"/>
    <xf numFmtId="0" fontId="0" fillId="0" borderId="12" xfId="0" applyBorder="1"/>
    <xf numFmtId="0" fontId="22" fillId="0" borderId="6" xfId="0" applyFont="1" applyBorder="1" applyAlignment="1">
      <alignment vertical="center"/>
    </xf>
    <xf numFmtId="0" fontId="23" fillId="0" borderId="0" xfId="0" applyFont="1" applyBorder="1" applyAlignment="1">
      <alignment vertical="center"/>
    </xf>
    <xf numFmtId="0" fontId="0" fillId="0" borderId="7" xfId="0" applyBorder="1"/>
    <xf numFmtId="21" fontId="22" fillId="0" borderId="6" xfId="0" applyNumberFormat="1" applyFont="1" applyBorder="1" applyAlignment="1">
      <alignment vertical="center"/>
    </xf>
    <xf numFmtId="0" fontId="23" fillId="0" borderId="0" xfId="0" applyFont="1" applyBorder="1"/>
    <xf numFmtId="0" fontId="0" fillId="0" borderId="38" xfId="0" applyBorder="1"/>
    <xf numFmtId="0" fontId="0" fillId="0" borderId="9" xfId="0" applyBorder="1"/>
    <xf numFmtId="0" fontId="52" fillId="0" borderId="0" xfId="0" applyFont="1" applyAlignment="1">
      <alignment vertical="center"/>
    </xf>
    <xf numFmtId="0" fontId="22" fillId="11" borderId="0" xfId="0" applyFont="1" applyFill="1" applyAlignment="1">
      <alignment vertical="center"/>
    </xf>
    <xf numFmtId="0" fontId="22" fillId="11" borderId="6" xfId="0" applyFont="1" applyFill="1" applyBorder="1" applyAlignment="1">
      <alignment vertical="center"/>
    </xf>
    <xf numFmtId="0" fontId="22" fillId="22" borderId="6" xfId="0" applyFont="1" applyFill="1" applyBorder="1" applyAlignment="1">
      <alignment vertical="center"/>
    </xf>
    <xf numFmtId="0" fontId="23" fillId="22" borderId="0" xfId="0" applyFont="1" applyFill="1" applyAlignment="1">
      <alignment vertical="center"/>
    </xf>
    <xf numFmtId="170" fontId="0" fillId="0" borderId="0" xfId="0" applyNumberFormat="1" applyAlignment="1">
      <alignment horizontal="left"/>
    </xf>
    <xf numFmtId="171" fontId="22" fillId="0" borderId="6" xfId="0" applyNumberFormat="1" applyFont="1" applyBorder="1" applyAlignment="1">
      <alignment vertical="center"/>
    </xf>
    <xf numFmtId="0" fontId="52" fillId="0" borderId="6" xfId="0" applyFont="1" applyBorder="1" applyAlignment="1">
      <alignment vertical="center"/>
    </xf>
    <xf numFmtId="21" fontId="52" fillId="0" borderId="6" xfId="0" applyNumberFormat="1" applyFont="1" applyBorder="1" applyAlignment="1">
      <alignment vertical="center"/>
    </xf>
    <xf numFmtId="171" fontId="52" fillId="0" borderId="6" xfId="0" applyNumberFormat="1" applyFont="1" applyBorder="1" applyAlignment="1">
      <alignment vertical="center"/>
    </xf>
    <xf numFmtId="0" fontId="0" fillId="2" borderId="4" xfId="0" applyFill="1" applyBorder="1"/>
    <xf numFmtId="0" fontId="22" fillId="17" borderId="6" xfId="0" applyFont="1" applyFill="1" applyBorder="1" applyAlignment="1">
      <alignment vertical="center"/>
    </xf>
    <xf numFmtId="0" fontId="22" fillId="17" borderId="8" xfId="0" applyFont="1" applyFill="1" applyBorder="1" applyAlignment="1">
      <alignment vertical="center"/>
    </xf>
    <xf numFmtId="167" fontId="14" fillId="0" borderId="0" xfId="0" applyNumberFormat="1" applyFont="1"/>
    <xf numFmtId="0" fontId="0" fillId="0" borderId="0" xfId="0" applyNumberFormat="1" applyFill="1"/>
    <xf numFmtId="0" fontId="0" fillId="17" borderId="0" xfId="0" applyNumberFormat="1" applyFill="1"/>
    <xf numFmtId="0" fontId="0" fillId="0" borderId="0" xfId="0" applyNumberFormat="1" applyAlignment="1">
      <alignment horizontal="left"/>
    </xf>
    <xf numFmtId="0" fontId="0" fillId="0" borderId="0" xfId="0" applyNumberFormat="1"/>
    <xf numFmtId="0" fontId="52" fillId="0" borderId="0" xfId="0" applyFont="1" applyFill="1" applyAlignment="1">
      <alignment vertical="center"/>
    </xf>
    <xf numFmtId="168" fontId="0" fillId="10" borderId="1" xfId="0" applyNumberFormat="1" applyFill="1" applyBorder="1"/>
    <xf numFmtId="11" fontId="0" fillId="11" borderId="1" xfId="0" applyNumberFormat="1" applyFill="1" applyBorder="1"/>
    <xf numFmtId="0" fontId="0" fillId="21" borderId="2" xfId="0" applyFill="1" applyBorder="1"/>
    <xf numFmtId="0" fontId="0" fillId="21" borderId="28" xfId="0" applyFill="1" applyBorder="1"/>
    <xf numFmtId="0" fontId="0" fillId="21" borderId="12" xfId="0" applyFill="1" applyBorder="1"/>
    <xf numFmtId="0" fontId="0" fillId="21" borderId="8" xfId="0" applyFill="1" applyBorder="1"/>
    <xf numFmtId="0" fontId="0" fillId="21" borderId="38" xfId="0" applyFill="1" applyBorder="1"/>
    <xf numFmtId="0" fontId="0" fillId="21" borderId="9" xfId="0" applyFill="1" applyBorder="1"/>
    <xf numFmtId="0" fontId="0" fillId="14" borderId="1" xfId="0" applyFill="1" applyBorder="1"/>
    <xf numFmtId="0" fontId="0" fillId="23" borderId="1" xfId="0" applyFill="1" applyBorder="1"/>
    <xf numFmtId="0" fontId="0" fillId="23" borderId="4" xfId="0" applyFill="1" applyBorder="1" applyAlignment="1">
      <alignment horizontal="center"/>
    </xf>
    <xf numFmtId="0" fontId="0" fillId="23" borderId="1" xfId="0" applyFill="1" applyBorder="1" applyAlignment="1">
      <alignment horizontal="center"/>
    </xf>
    <xf numFmtId="0" fontId="0" fillId="14" borderId="10" xfId="0" applyFill="1" applyBorder="1" applyAlignment="1">
      <alignment horizontal="center"/>
    </xf>
    <xf numFmtId="0" fontId="0" fillId="14" borderId="13" xfId="0" applyFill="1" applyBorder="1"/>
    <xf numFmtId="0" fontId="14" fillId="0" borderId="39" xfId="0" applyFont="1" applyFill="1" applyBorder="1"/>
    <xf numFmtId="0" fontId="14" fillId="23" borderId="40" xfId="0" applyFont="1" applyFill="1" applyBorder="1" applyAlignment="1">
      <alignment horizontal="right"/>
    </xf>
    <xf numFmtId="0" fontId="14" fillId="14" borderId="41" xfId="0" applyFont="1" applyFill="1" applyBorder="1" applyAlignment="1">
      <alignment horizontal="right"/>
    </xf>
    <xf numFmtId="0" fontId="14" fillId="0" borderId="20" xfId="0" applyFont="1" applyBorder="1" applyAlignment="1">
      <alignment horizontal="right" vertical="center"/>
    </xf>
    <xf numFmtId="0" fontId="0" fillId="0" borderId="29" xfId="0" applyBorder="1"/>
    <xf numFmtId="0" fontId="14" fillId="0" borderId="11" xfId="0" applyFont="1" applyBorder="1"/>
    <xf numFmtId="11" fontId="0" fillId="10" borderId="1" xfId="0" applyNumberFormat="1" applyFill="1" applyBorder="1"/>
    <xf numFmtId="0" fontId="14" fillId="0" borderId="23" xfId="0" applyFont="1" applyFill="1" applyBorder="1"/>
    <xf numFmtId="0" fontId="14" fillId="0" borderId="24" xfId="0" applyFont="1" applyFill="1" applyBorder="1"/>
    <xf numFmtId="0" fontId="14" fillId="0" borderId="23" xfId="0" applyFont="1" applyBorder="1"/>
    <xf numFmtId="0" fontId="14" fillId="0" borderId="24" xfId="0" applyFon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14" fillId="0" borderId="42" xfId="0" applyFont="1" applyFill="1" applyBorder="1"/>
    <xf numFmtId="0" fontId="1" fillId="0" borderId="13" xfId="0" applyFont="1" applyBorder="1" applyAlignment="1">
      <alignment vertical="top" wrapText="1"/>
    </xf>
    <xf numFmtId="0" fontId="1" fillId="0" borderId="4" xfId="0" applyFont="1" applyBorder="1" applyAlignment="1">
      <alignmen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FF99"/>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Diode &amp; APD detectors</a:t>
            </a:r>
          </a:p>
        </c:rich>
      </c:tx>
      <c:layout>
        <c:manualLayout>
          <c:xMode val="edge"/>
          <c:yMode val="edge"/>
          <c:x val="1.684133257898213E-2"/>
          <c:y val="1.0009529319037484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0.20526081350505038"/>
                  <c:y val="0.10893523183588756"/>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'Guinier+SphereFit1'!$F$7:$F$22</c:f>
              <c:numCache>
                <c:formatCode>General</c:formatCode>
                <c:ptCount val="16"/>
                <c:pt idx="0">
                  <c:v>0.28628093142053257</c:v>
                </c:pt>
                <c:pt idx="1">
                  <c:v>0.44022157570604104</c:v>
                </c:pt>
                <c:pt idx="2">
                  <c:v>0.57147484768024681</c:v>
                </c:pt>
                <c:pt idx="3">
                  <c:v>1.0555329732261189</c:v>
                </c:pt>
                <c:pt idx="4">
                  <c:v>1.3434375692589569</c:v>
                </c:pt>
                <c:pt idx="5">
                  <c:v>1.7125638542325015</c:v>
                </c:pt>
                <c:pt idx="6">
                  <c:v>2.1122260085135278</c:v>
                </c:pt>
                <c:pt idx="7">
                  <c:v>2.5987131315953915</c:v>
                </c:pt>
                <c:pt idx="8">
                  <c:v>3.1725596942550371</c:v>
                </c:pt>
                <c:pt idx="9">
                  <c:v>3.7608929748491216</c:v>
                </c:pt>
                <c:pt idx="10">
                  <c:v>4.349226255443206</c:v>
                </c:pt>
                <c:pt idx="11">
                  <c:v>5.4683026559678263</c:v>
                </c:pt>
                <c:pt idx="12">
                  <c:v>5.971490400915803</c:v>
                </c:pt>
                <c:pt idx="13">
                  <c:v>6.3734287602285056</c:v>
                </c:pt>
                <c:pt idx="14">
                  <c:v>6.6836557617250101</c:v>
                </c:pt>
                <c:pt idx="15">
                  <c:v>6.9150432220477915</c:v>
                </c:pt>
              </c:numCache>
            </c:numRef>
          </c:xVal>
          <c:yVal>
            <c:numRef>
              <c:f>'Guinier+SphereFit1'!$H$7:$H$22</c:f>
              <c:numCache>
                <c:formatCode>General</c:formatCode>
                <c:ptCount val="16"/>
                <c:pt idx="0">
                  <c:v>-2.8106691587487767</c:v>
                </c:pt>
                <c:pt idx="1">
                  <c:v>-2.82213050777123</c:v>
                </c:pt>
                <c:pt idx="2">
                  <c:v>-2.4236324697762925</c:v>
                </c:pt>
                <c:pt idx="3">
                  <c:v>-2.7704485299748627</c:v>
                </c:pt>
                <c:pt idx="4">
                  <c:v>-2.4819459629698319</c:v>
                </c:pt>
                <c:pt idx="5">
                  <c:v>-2.6649023403633962</c:v>
                </c:pt>
                <c:pt idx="6">
                  <c:v>-2.6312506421069708</c:v>
                </c:pt>
                <c:pt idx="7">
                  <c:v>-2.548311496135371</c:v>
                </c:pt>
                <c:pt idx="8">
                  <c:v>-2.7320754885725167</c:v>
                </c:pt>
                <c:pt idx="9">
                  <c:v>-2.5863680168434815</c:v>
                </c:pt>
                <c:pt idx="10">
                  <c:v>-2.3464985192097245</c:v>
                </c:pt>
                <c:pt idx="11">
                  <c:v>-2.3091077548648475</c:v>
                </c:pt>
                <c:pt idx="12">
                  <c:v>-2.736663821316311</c:v>
                </c:pt>
                <c:pt idx="13">
                  <c:v>-2.6075030264198276</c:v>
                </c:pt>
                <c:pt idx="14">
                  <c:v>-2.6831466740143664</c:v>
                </c:pt>
                <c:pt idx="15">
                  <c:v>-2.3744622247654124</c:v>
                </c:pt>
              </c:numCache>
            </c:numRef>
          </c:yVal>
          <c:smooth val="0"/>
          <c:extLst>
            <c:ext xmlns:c16="http://schemas.microsoft.com/office/drawing/2014/chart" uri="{C3380CC4-5D6E-409C-BE32-E72D297353CC}">
              <c16:uniqueId val="{00000001-9AD9-40C9-AE62-615D241A2B7D}"/>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a:t>
                </a:r>
                <a:r>
                  <a:rPr lang="en-US" sz="1400" b="0" i="0" u="none" strike="noStrike" baseline="30000">
                    <a:solidFill>
                      <a:sysClr val="windowText" lastClr="000000"/>
                    </a:solidFill>
                    <a:latin typeface="Calibri"/>
                  </a:rPr>
                  <a:t>2</a:t>
                </a:r>
                <a:r>
                  <a:rPr lang="en-US" sz="1400" b="0" i="0" u="none" strike="noStrike" baseline="0">
                    <a:solidFill>
                      <a:sysClr val="windowText" lastClr="000000"/>
                    </a:solidFill>
                    <a:latin typeface="Calibri"/>
                  </a:rPr>
                  <a:t>/nm</a:t>
                </a:r>
                <a:r>
                  <a:rPr lang="en-US" sz="1400" b="0" i="0" u="none" strike="noStrike" baseline="30000">
                    <a:solidFill>
                      <a:sysClr val="windowText" lastClr="000000"/>
                    </a:solidFill>
                    <a:latin typeface="Calibri"/>
                  </a:rPr>
                  <a:t>-2</a:t>
                </a:r>
              </a:p>
            </c:rich>
          </c:tx>
          <c:layout>
            <c:manualLayout>
              <c:xMode val="edge"/>
              <c:yMode val="edge"/>
              <c:x val="0.53162913388271171"/>
              <c:y val="1.7720481667841112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rgbClr val="333333"/>
                    </a:solidFill>
                    <a:latin typeface="Script MT Bold"/>
                  </a:rPr>
                  <a:t>ln</a:t>
                </a:r>
                <a:r>
                  <a:rPr lang="en-US" sz="1400" b="0" i="0" u="none" strike="noStrike" baseline="0">
                    <a:solidFill>
                      <a:srgbClr val="333333"/>
                    </a:solidFill>
                    <a:latin typeface="Calibri"/>
                  </a:rPr>
                  <a:t>(Intensity)</a:t>
                </a:r>
              </a:p>
            </c:rich>
          </c:tx>
          <c:layout>
            <c:manualLayout>
              <c:xMode val="edge"/>
              <c:yMode val="edge"/>
              <c:x val="8.9726141093454236E-3"/>
              <c:y val="0.43158516113422724"/>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chemeClr val="bg1"/>
    </a:solidFill>
    <a:ln w="38100" cap="flat" cmpd="sng" algn="ctr">
      <a:solidFill>
        <a:schemeClr val="tx1">
          <a:lumMod val="75000"/>
          <a:lumOff val="25000"/>
        </a:schemeClr>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Sphere plot</a:t>
            </a:r>
          </a:p>
        </c:rich>
      </c:tx>
      <c:layout>
        <c:manualLayout>
          <c:xMode val="edge"/>
          <c:yMode val="edge"/>
          <c:x val="2.0542228139849867E-2"/>
          <c:y val="2.1897783610382037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'Guinier+SphereFit1'!$D$7:$D$22</c:f>
              <c:numCache>
                <c:formatCode>General</c:formatCode>
                <c:ptCount val="16"/>
                <c:pt idx="0">
                  <c:v>53505.226980224332</c:v>
                </c:pt>
                <c:pt idx="1">
                  <c:v>66349.195602210661</c:v>
                </c:pt>
                <c:pt idx="2">
                  <c:v>75595.955426216213</c:v>
                </c:pt>
                <c:pt idx="3">
                  <c:v>102739.13437566617</c:v>
                </c:pt>
                <c:pt idx="4">
                  <c:v>115906.75430098787</c:v>
                </c:pt>
                <c:pt idx="5">
                  <c:v>130864.96300509552</c:v>
                </c:pt>
                <c:pt idx="6">
                  <c:v>145334.99263816432</c:v>
                </c:pt>
                <c:pt idx="7">
                  <c:v>161205.2459318676</c:v>
                </c:pt>
                <c:pt idx="8">
                  <c:v>178116.80701873807</c:v>
                </c:pt>
                <c:pt idx="9">
                  <c:v>193930.21876048925</c:v>
                </c:pt>
                <c:pt idx="10">
                  <c:v>208547.98621524032</c:v>
                </c:pt>
                <c:pt idx="11">
                  <c:v>233844.02186003872</c:v>
                </c:pt>
                <c:pt idx="12">
                  <c:v>244366.33157855037</c:v>
                </c:pt>
                <c:pt idx="13">
                  <c:v>252456.50635760027</c:v>
                </c:pt>
                <c:pt idx="14">
                  <c:v>258527.67282681772</c:v>
                </c:pt>
                <c:pt idx="15">
                  <c:v>262964.69766962621</c:v>
                </c:pt>
              </c:numCache>
            </c:numRef>
          </c:xVal>
          <c:yVal>
            <c:numRef>
              <c:f>'Guinier+SphereFit1'!$G$7:$G$22</c:f>
              <c:numCache>
                <c:formatCode>General</c:formatCode>
                <c:ptCount val="16"/>
                <c:pt idx="0">
                  <c:v>6.0164719171086116E-2</c:v>
                </c:pt>
                <c:pt idx="1">
                  <c:v>5.9479086966343034E-2</c:v>
                </c:pt>
                <c:pt idx="2">
                  <c:v>8.8599198314927075E-2</c:v>
                </c:pt>
                <c:pt idx="3">
                  <c:v>6.2633905256943095E-2</c:v>
                </c:pt>
                <c:pt idx="4">
                  <c:v>8.3580422831665696E-2</c:v>
                </c:pt>
                <c:pt idx="5">
                  <c:v>6.9606150912752338E-2</c:v>
                </c:pt>
                <c:pt idx="6">
                  <c:v>7.1988374224558796E-2</c:v>
                </c:pt>
                <c:pt idx="7">
                  <c:v>7.8213618565810245E-2</c:v>
                </c:pt>
                <c:pt idx="8">
                  <c:v>6.5084068151610414E-2</c:v>
                </c:pt>
                <c:pt idx="9">
                  <c:v>7.5293007012894111E-2</c:v>
                </c:pt>
                <c:pt idx="10">
                  <c:v>9.5703680818486445E-2</c:v>
                </c:pt>
                <c:pt idx="11">
                  <c:v>9.9349856451222421E-2</c:v>
                </c:pt>
                <c:pt idx="12">
                  <c:v>6.4786124844837673E-2</c:v>
                </c:pt>
                <c:pt idx="13">
                  <c:v>7.3718387006404235E-2</c:v>
                </c:pt>
                <c:pt idx="14">
                  <c:v>6.834774734400241E-2</c:v>
                </c:pt>
                <c:pt idx="15">
                  <c:v>9.3064523551827746E-2</c:v>
                </c:pt>
              </c:numCache>
            </c:numRef>
          </c:yVal>
          <c:smooth val="0"/>
          <c:extLst>
            <c:ext xmlns:c16="http://schemas.microsoft.com/office/drawing/2014/chart" uri="{C3380CC4-5D6E-409C-BE32-E72D297353CC}">
              <c16:uniqueId val="{00000000-22A7-4C52-AFAC-2B744F03BFFA}"/>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22A7-4C52-AFAC-2B744F03BFFA}"/>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q/cm</a:t>
                </a:r>
                <a:r>
                  <a:rPr lang="en-US" sz="1400" b="0" i="0" u="none" strike="noStrike" baseline="30000">
                    <a:solidFill>
                      <a:sysClr val="windowText" lastClr="000000"/>
                    </a:solidFill>
                    <a:latin typeface="Calibri"/>
                  </a:rPr>
                  <a:t>-1</a:t>
                </a:r>
              </a:p>
            </c:rich>
          </c:tx>
          <c:layout>
            <c:manualLayout>
              <c:xMode val="edge"/>
              <c:yMode val="edge"/>
              <c:x val="0.55347381945702334"/>
              <c:y val="1.2598656954949067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ALV APD detectors</a:t>
            </a:r>
          </a:p>
        </c:rich>
      </c:tx>
      <c:layout>
        <c:manualLayout>
          <c:xMode val="edge"/>
          <c:yMode val="edge"/>
          <c:x val="2.0542306940523183E-2"/>
          <c:y val="1.2517237584322901E-2"/>
        </c:manualLayout>
      </c:layout>
      <c:overlay val="0"/>
      <c:spPr>
        <a:noFill/>
        <a:ln w="25400">
          <a:noFill/>
        </a:ln>
      </c:spPr>
    </c:title>
    <c:autoTitleDeleted val="0"/>
    <c:plotArea>
      <c:layout>
        <c:manualLayout>
          <c:layoutTarget val="inner"/>
          <c:xMode val="edge"/>
          <c:yMode val="edge"/>
          <c:x val="0.11478368135920848"/>
          <c:y val="7.4652904345880136E-2"/>
          <c:w val="0.8473154106366203"/>
          <c:h val="0.82641234825973597"/>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0.11678638458971426"/>
                  <c:y val="0.39256377813871757"/>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'Guinier+SphereFit1'!$AF$12:$AF$19</c:f>
              <c:numCache>
                <c:formatCode>General</c:formatCode>
                <c:ptCount val="8"/>
                <c:pt idx="0">
                  <c:v>1.0555329732261189</c:v>
                </c:pt>
                <c:pt idx="1">
                  <c:v>1.3434375692589569</c:v>
                </c:pt>
                <c:pt idx="2">
                  <c:v>2.1122260085135278</c:v>
                </c:pt>
                <c:pt idx="3">
                  <c:v>3.1725596942550371</c:v>
                </c:pt>
                <c:pt idx="4">
                  <c:v>4.349226255443206</c:v>
                </c:pt>
                <c:pt idx="5">
                  <c:v>5.4683026559678263</c:v>
                </c:pt>
                <c:pt idx="6">
                  <c:v>6.3734287602285056</c:v>
                </c:pt>
                <c:pt idx="7">
                  <c:v>6.9150432220477915</c:v>
                </c:pt>
              </c:numCache>
            </c:numRef>
          </c:xVal>
          <c:yVal>
            <c:numRef>
              <c:f>'Guinier+SphereFit1'!$AH$12:$AH$19</c:f>
              <c:numCache>
                <c:formatCode>General</c:formatCode>
                <c:ptCount val="8"/>
                <c:pt idx="0">
                  <c:v>-2.7704485299748627</c:v>
                </c:pt>
                <c:pt idx="1">
                  <c:v>-2.4819459629698319</c:v>
                </c:pt>
                <c:pt idx="2">
                  <c:v>-2.6312506421069708</c:v>
                </c:pt>
                <c:pt idx="3">
                  <c:v>-2.7320754885725167</c:v>
                </c:pt>
                <c:pt idx="4">
                  <c:v>-2.3464985192097245</c:v>
                </c:pt>
                <c:pt idx="5">
                  <c:v>-2.3091077548648475</c:v>
                </c:pt>
                <c:pt idx="6">
                  <c:v>-2.6075030264198276</c:v>
                </c:pt>
                <c:pt idx="7">
                  <c:v>-2.3744622247654124</c:v>
                </c:pt>
              </c:numCache>
            </c:numRef>
          </c:yVal>
          <c:smooth val="0"/>
          <c:extLst>
            <c:ext xmlns:c16="http://schemas.microsoft.com/office/drawing/2014/chart" uri="{C3380CC4-5D6E-409C-BE32-E72D297353CC}">
              <c16:uniqueId val="{00000001-1A9A-492B-90F9-B981F2CF8705}"/>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a:t>
                </a:r>
                <a:r>
                  <a:rPr lang="en-US" sz="1400" b="0" i="0" u="none" strike="noStrike" baseline="30000">
                    <a:solidFill>
                      <a:sysClr val="windowText" lastClr="000000"/>
                    </a:solidFill>
                    <a:latin typeface="Calibri"/>
                  </a:rPr>
                  <a:t>2</a:t>
                </a:r>
                <a:r>
                  <a:rPr lang="en-US" sz="1400" b="0" i="0" u="none" strike="noStrike" baseline="0">
                    <a:solidFill>
                      <a:sysClr val="windowText" lastClr="000000"/>
                    </a:solidFill>
                    <a:latin typeface="Calibri"/>
                  </a:rPr>
                  <a:t>/nm</a:t>
                </a:r>
                <a:r>
                  <a:rPr lang="en-US" sz="1400" b="0" i="0" u="none" strike="noStrike" baseline="30000">
                    <a:solidFill>
                      <a:sysClr val="windowText" lastClr="000000"/>
                    </a:solidFill>
                    <a:latin typeface="Calibri"/>
                  </a:rPr>
                  <a:t>-2</a:t>
                </a:r>
              </a:p>
            </c:rich>
          </c:tx>
          <c:layout>
            <c:manualLayout>
              <c:xMode val="edge"/>
              <c:yMode val="edge"/>
              <c:x val="0.5324262481908667"/>
              <c:y val="2.0134176488044688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rgbClr val="333333"/>
                    </a:solidFill>
                    <a:latin typeface="Script MT Bold"/>
                  </a:rPr>
                  <a:t>ln</a:t>
                </a:r>
                <a:r>
                  <a:rPr lang="en-US" sz="1400" b="0" i="0" u="none" strike="noStrike" baseline="0">
                    <a:solidFill>
                      <a:srgbClr val="333333"/>
                    </a:solidFill>
                    <a:latin typeface="Calibri"/>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rgbClr val="FFFF99"/>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Wyatt diode detectors</a:t>
            </a:r>
          </a:p>
        </c:rich>
      </c:tx>
      <c:layout>
        <c:manualLayout>
          <c:xMode val="edge"/>
          <c:yMode val="edge"/>
          <c:x val="2.2761462729386957E-2"/>
          <c:y val="1.018940996121674E-2"/>
        </c:manualLayout>
      </c:layout>
      <c:overlay val="0"/>
      <c:spPr>
        <a:noFill/>
        <a:ln w="25400">
          <a:noFill/>
        </a:ln>
      </c:spPr>
    </c:title>
    <c:autoTitleDeleted val="0"/>
    <c:plotArea>
      <c:layout>
        <c:manualLayout>
          <c:layoutTarget val="inner"/>
          <c:xMode val="edge"/>
          <c:yMode val="edge"/>
          <c:x val="0.13841774920739069"/>
          <c:y val="7.4652904345880136E-2"/>
          <c:w val="0.82368130070967549"/>
          <c:h val="0.80957113237937239"/>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9.6111118197899276E-2"/>
                  <c:y val="9.7896846191205117E-2"/>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'Guinier+SphereFit1'!$AY$12:$AY$19</c:f>
              <c:numCache>
                <c:formatCode>General</c:formatCode>
                <c:ptCount val="8"/>
                <c:pt idx="0">
                  <c:v>0.28628093142053257</c:v>
                </c:pt>
                <c:pt idx="1">
                  <c:v>0.44022157570604104</c:v>
                </c:pt>
                <c:pt idx="2">
                  <c:v>0.57147484768024681</c:v>
                </c:pt>
                <c:pt idx="3">
                  <c:v>1.7125638542325015</c:v>
                </c:pt>
                <c:pt idx="4">
                  <c:v>2.5987131315953915</c:v>
                </c:pt>
                <c:pt idx="5">
                  <c:v>3.7608929748491216</c:v>
                </c:pt>
                <c:pt idx="6">
                  <c:v>5.971490400915803</c:v>
                </c:pt>
                <c:pt idx="7">
                  <c:v>6.6836557617250101</c:v>
                </c:pt>
              </c:numCache>
            </c:numRef>
          </c:xVal>
          <c:yVal>
            <c:numRef>
              <c:f>'Guinier+SphereFit1'!$BA$12:$BA$19</c:f>
              <c:numCache>
                <c:formatCode>General</c:formatCode>
                <c:ptCount val="8"/>
                <c:pt idx="0">
                  <c:v>-2.8106691587487767</c:v>
                </c:pt>
                <c:pt idx="1">
                  <c:v>-2.82213050777123</c:v>
                </c:pt>
                <c:pt idx="2">
                  <c:v>-2.4236324697762925</c:v>
                </c:pt>
                <c:pt idx="3">
                  <c:v>-2.6649023403633962</c:v>
                </c:pt>
                <c:pt idx="4">
                  <c:v>-2.548311496135371</c:v>
                </c:pt>
                <c:pt idx="5">
                  <c:v>-2.5863680168434815</c:v>
                </c:pt>
                <c:pt idx="6">
                  <c:v>-2.736663821316311</c:v>
                </c:pt>
                <c:pt idx="7">
                  <c:v>-2.6831466740143664</c:v>
                </c:pt>
              </c:numCache>
            </c:numRef>
          </c:yVal>
          <c:smooth val="0"/>
          <c:extLst>
            <c:ext xmlns:c16="http://schemas.microsoft.com/office/drawing/2014/chart" uri="{C3380CC4-5D6E-409C-BE32-E72D297353CC}">
              <c16:uniqueId val="{00000001-1AAD-47FB-8BD9-1CF992FD2C84}"/>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chemeClr val="tx1"/>
                    </a:solidFill>
                    <a:latin typeface="Calibri"/>
                  </a:rPr>
                  <a:t>q</a:t>
                </a:r>
                <a:r>
                  <a:rPr lang="en-US" sz="1400" b="0" i="0" u="none" strike="noStrike" baseline="30000">
                    <a:solidFill>
                      <a:schemeClr val="tx1"/>
                    </a:solidFill>
                    <a:latin typeface="Calibri"/>
                  </a:rPr>
                  <a:t>2</a:t>
                </a:r>
                <a:r>
                  <a:rPr lang="en-US" sz="1400" b="0" i="0" u="none" strike="noStrike" baseline="0">
                    <a:solidFill>
                      <a:schemeClr val="tx1"/>
                    </a:solidFill>
                    <a:latin typeface="Calibri"/>
                  </a:rPr>
                  <a:t>/nm</a:t>
                </a:r>
                <a:r>
                  <a:rPr lang="en-US" sz="1400" b="0" i="0" u="none" strike="noStrike" baseline="30000">
                    <a:solidFill>
                      <a:schemeClr val="tx1"/>
                    </a:solidFill>
                    <a:latin typeface="Calibri"/>
                  </a:rPr>
                  <a:t>-2</a:t>
                </a:r>
              </a:p>
            </c:rich>
          </c:tx>
          <c:layout>
            <c:manualLayout>
              <c:xMode val="edge"/>
              <c:yMode val="edge"/>
              <c:x val="0.5441432664938296"/>
              <c:y val="1.511994830588774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Script MT Bold"/>
                  </a:rPr>
                  <a:t>ln</a:t>
                </a:r>
                <a:r>
                  <a:rPr lang="en-US" sz="1400" b="0" i="0" u="none" strike="noStrike" baseline="0">
                    <a:solidFill>
                      <a:sysClr val="windowText" lastClr="000000"/>
                    </a:solidFill>
                    <a:latin typeface="Calibri"/>
                  </a:rPr>
                  <a:t>(Intensity)</a:t>
                </a:r>
              </a:p>
            </c:rich>
          </c:tx>
          <c:layout>
            <c:manualLayout>
              <c:xMode val="edge"/>
              <c:yMode val="edge"/>
              <c:x val="3.9728983876253857E-2"/>
              <c:y val="0.41297524826116788"/>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chemeClr val="accent1">
        <a:lumMod val="60000"/>
        <a:lumOff val="40000"/>
      </a:schemeClr>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Sphere plot, ALV APD detectors</a:t>
            </a:r>
          </a:p>
        </c:rich>
      </c:tx>
      <c:layout>
        <c:manualLayout>
          <c:xMode val="edge"/>
          <c:yMode val="edge"/>
          <c:x val="2.0542180176352426E-2"/>
          <c:y val="1.213535607204037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'Guinier+SphereFit1'!$AD$12:$AD$19</c:f>
              <c:numCache>
                <c:formatCode>General</c:formatCode>
                <c:ptCount val="8"/>
                <c:pt idx="0">
                  <c:v>102739.13437566617</c:v>
                </c:pt>
                <c:pt idx="1">
                  <c:v>115906.75430098787</c:v>
                </c:pt>
                <c:pt idx="2">
                  <c:v>145334.99263816432</c:v>
                </c:pt>
                <c:pt idx="3">
                  <c:v>178116.80701873807</c:v>
                </c:pt>
                <c:pt idx="4">
                  <c:v>208547.98621524032</c:v>
                </c:pt>
                <c:pt idx="5">
                  <c:v>233844.02186003872</c:v>
                </c:pt>
                <c:pt idx="6">
                  <c:v>252456.50635760027</c:v>
                </c:pt>
                <c:pt idx="7">
                  <c:v>262964.69766962621</c:v>
                </c:pt>
              </c:numCache>
            </c:numRef>
          </c:xVal>
          <c:yVal>
            <c:numRef>
              <c:f>'Guinier+SphereFit1'!$AG$12:$AG$19</c:f>
              <c:numCache>
                <c:formatCode>General</c:formatCode>
                <c:ptCount val="8"/>
                <c:pt idx="0">
                  <c:v>6.2633905256943095E-2</c:v>
                </c:pt>
                <c:pt idx="1">
                  <c:v>8.3580422831665696E-2</c:v>
                </c:pt>
                <c:pt idx="2">
                  <c:v>7.1988374224558796E-2</c:v>
                </c:pt>
                <c:pt idx="3">
                  <c:v>6.5084068151610414E-2</c:v>
                </c:pt>
                <c:pt idx="4">
                  <c:v>9.5703680818486445E-2</c:v>
                </c:pt>
                <c:pt idx="5">
                  <c:v>9.9349856451222421E-2</c:v>
                </c:pt>
                <c:pt idx="6">
                  <c:v>7.3718387006404235E-2</c:v>
                </c:pt>
                <c:pt idx="7">
                  <c:v>9.3064523551827746E-2</c:v>
                </c:pt>
              </c:numCache>
            </c:numRef>
          </c:yVal>
          <c:smooth val="0"/>
          <c:extLst>
            <c:ext xmlns:c16="http://schemas.microsoft.com/office/drawing/2014/chart" uri="{C3380CC4-5D6E-409C-BE32-E72D297353CC}">
              <c16:uniqueId val="{00000000-FA22-4165-A8D1-8C7429F432AB}"/>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FA22-4165-A8D1-8C7429F432AB}"/>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chemeClr val="tx1"/>
                    </a:solidFill>
                    <a:latin typeface="Calibri"/>
                    <a:ea typeface="Calibri"/>
                    <a:cs typeface="Calibri"/>
                  </a:defRPr>
                </a:pPr>
                <a:r>
                  <a:rPr lang="en-US" sz="1400" b="0" i="0" u="none" strike="noStrike" baseline="0">
                    <a:solidFill>
                      <a:schemeClr val="tx1"/>
                    </a:solidFill>
                    <a:latin typeface="Calibri"/>
                  </a:rPr>
                  <a:t>q/cm</a:t>
                </a:r>
                <a:r>
                  <a:rPr lang="en-US" sz="1400" b="0" i="0" u="none" strike="noStrike" baseline="30000">
                    <a:solidFill>
                      <a:schemeClr val="tx1"/>
                    </a:solidFill>
                    <a:latin typeface="Calibri"/>
                  </a:rPr>
                  <a:t>-1</a:t>
                </a:r>
              </a:p>
            </c:rich>
          </c:tx>
          <c:layout>
            <c:manualLayout>
              <c:xMode val="edge"/>
              <c:yMode val="edge"/>
              <c:x val="0.54309028556845951"/>
              <c:y val="2.4681633312886961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rgbClr val="FFFF99"/>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Sphere plot, Wyatt diode detectors</a:t>
            </a:r>
          </a:p>
        </c:rich>
      </c:tx>
      <c:layout>
        <c:manualLayout>
          <c:xMode val="edge"/>
          <c:yMode val="edge"/>
          <c:x val="2.054228477548499E-2"/>
          <c:y val="9.7075934927947482E-3"/>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'Guinier+SphereFit1'!$AW$12:$AW$19</c:f>
              <c:numCache>
                <c:formatCode>General</c:formatCode>
                <c:ptCount val="8"/>
                <c:pt idx="0">
                  <c:v>53505.226980224332</c:v>
                </c:pt>
                <c:pt idx="1">
                  <c:v>66349.195602210661</c:v>
                </c:pt>
                <c:pt idx="2">
                  <c:v>75595.955426216213</c:v>
                </c:pt>
                <c:pt idx="3">
                  <c:v>130864.96300509552</c:v>
                </c:pt>
                <c:pt idx="4">
                  <c:v>161205.2459318676</c:v>
                </c:pt>
                <c:pt idx="5">
                  <c:v>193930.21876048925</c:v>
                </c:pt>
                <c:pt idx="6">
                  <c:v>244366.33157855037</c:v>
                </c:pt>
                <c:pt idx="7">
                  <c:v>258527.67282681772</c:v>
                </c:pt>
              </c:numCache>
            </c:numRef>
          </c:xVal>
          <c:yVal>
            <c:numRef>
              <c:f>'Guinier+SphereFit1'!$AZ$12:$AZ$19</c:f>
              <c:numCache>
                <c:formatCode>General</c:formatCode>
                <c:ptCount val="8"/>
                <c:pt idx="0">
                  <c:v>6.0164719171086116E-2</c:v>
                </c:pt>
                <c:pt idx="1">
                  <c:v>5.9479086966343034E-2</c:v>
                </c:pt>
                <c:pt idx="2">
                  <c:v>8.8599198314927075E-2</c:v>
                </c:pt>
                <c:pt idx="3">
                  <c:v>6.9606150912752338E-2</c:v>
                </c:pt>
                <c:pt idx="4">
                  <c:v>7.8213618565810245E-2</c:v>
                </c:pt>
                <c:pt idx="5">
                  <c:v>7.5293007012894111E-2</c:v>
                </c:pt>
                <c:pt idx="6">
                  <c:v>6.4786124844837673E-2</c:v>
                </c:pt>
                <c:pt idx="7">
                  <c:v>6.834774734400241E-2</c:v>
                </c:pt>
              </c:numCache>
            </c:numRef>
          </c:yVal>
          <c:smooth val="0"/>
          <c:extLst>
            <c:ext xmlns:c16="http://schemas.microsoft.com/office/drawing/2014/chart" uri="{C3380CC4-5D6E-409C-BE32-E72D297353CC}">
              <c16:uniqueId val="{00000000-E6C5-4797-A643-87EDC06F620B}"/>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E6C5-4797-A643-87EDC06F620B}"/>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chemeClr val="tx1"/>
                    </a:solidFill>
                    <a:latin typeface="Calibri"/>
                  </a:rPr>
                  <a:t>q/cm</a:t>
                </a:r>
                <a:r>
                  <a:rPr lang="en-US" sz="1400" b="0" i="0" u="none" strike="noStrike" baseline="30000">
                    <a:solidFill>
                      <a:schemeClr val="tx1"/>
                    </a:solidFill>
                    <a:latin typeface="Calibri"/>
                  </a:rPr>
                  <a:t>-1</a:t>
                </a:r>
              </a:p>
            </c:rich>
          </c:tx>
          <c:layout>
            <c:manualLayout>
              <c:xMode val="edge"/>
              <c:yMode val="edge"/>
              <c:x val="0.54804355655138448"/>
              <c:y val="1.7480099796681078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chemeClr val="accent1">
        <a:lumMod val="60000"/>
        <a:lumOff val="40000"/>
      </a:schemeClr>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Zimm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c1</c:v>
          </c:tx>
          <c:spPr>
            <a:ln w="25400" cap="rnd">
              <a:noFill/>
              <a:round/>
            </a:ln>
            <a:effectLst/>
          </c:spPr>
          <c:marker>
            <c:symbol val="circle"/>
            <c:size val="5"/>
            <c:spPr>
              <a:solidFill>
                <a:schemeClr val="accent1"/>
              </a:solidFill>
              <a:ln w="9525">
                <a:solidFill>
                  <a:schemeClr val="accent1"/>
                </a:solidFill>
              </a:ln>
              <a:effectLst/>
            </c:spPr>
          </c:marker>
          <c:xVal>
            <c:numRef>
              <c:f>ZimmPrep!$F$71:$F$88</c:f>
              <c:numCache>
                <c:formatCode>General</c:formatCode>
                <c:ptCount val="18"/>
                <c:pt idx="0">
                  <c:v>13.291280931420534</c:v>
                </c:pt>
                <c:pt idx="1">
                  <c:v>13.445221575706041</c:v>
                </c:pt>
                <c:pt idx="2">
                  <c:v>13.576474847680247</c:v>
                </c:pt>
                <c:pt idx="4">
                  <c:v>14.06053297322612</c:v>
                </c:pt>
                <c:pt idx="5">
                  <c:v>14.348437569258959</c:v>
                </c:pt>
                <c:pt idx="6">
                  <c:v>14.717563854232502</c:v>
                </c:pt>
                <c:pt idx="7">
                  <c:v>15.117226008513528</c:v>
                </c:pt>
                <c:pt idx="8">
                  <c:v>15.603713131595391</c:v>
                </c:pt>
                <c:pt idx="9">
                  <c:v>16.177559694255038</c:v>
                </c:pt>
                <c:pt idx="10">
                  <c:v>16.765892974849123</c:v>
                </c:pt>
                <c:pt idx="11">
                  <c:v>17.354226255443209</c:v>
                </c:pt>
                <c:pt idx="13">
                  <c:v>18.473302655967828</c:v>
                </c:pt>
                <c:pt idx="14">
                  <c:v>18.976490400915804</c:v>
                </c:pt>
                <c:pt idx="15">
                  <c:v>19.378428760228509</c:v>
                </c:pt>
                <c:pt idx="16">
                  <c:v>19.688655761725013</c:v>
                </c:pt>
                <c:pt idx="17">
                  <c:v>19.920043222047795</c:v>
                </c:pt>
              </c:numCache>
            </c:numRef>
          </c:xVal>
          <c:yVal>
            <c:numRef>
              <c:f>ZimmPrep!$F$50:$F$67</c:f>
              <c:numCache>
                <c:formatCode>General</c:formatCode>
                <c:ptCount val="18"/>
                <c:pt idx="0">
                  <c:v>1.0487122183080994E-6</c:v>
                </c:pt>
                <c:pt idx="1">
                  <c:v>1.0608010197180212E-6</c:v>
                </c:pt>
                <c:pt idx="2">
                  <c:v>7.1214500024616271E-7</c:v>
                </c:pt>
                <c:pt idx="4">
                  <c:v>1.0073693448772985E-6</c:v>
                </c:pt>
                <c:pt idx="5">
                  <c:v>7.5490735710766103E-7</c:v>
                </c:pt>
                <c:pt idx="6">
                  <c:v>9.0646408799245959E-7</c:v>
                </c:pt>
                <c:pt idx="7">
                  <c:v>8.7646757945908118E-7</c:v>
                </c:pt>
                <c:pt idx="8">
                  <c:v>8.0670703213538152E-7</c:v>
                </c:pt>
                <c:pt idx="9">
                  <c:v>9.6944579368971646E-7</c:v>
                </c:pt>
                <c:pt idx="10">
                  <c:v>8.3799915302875726E-7</c:v>
                </c:pt>
                <c:pt idx="11">
                  <c:v>6.5927951324528178E-7</c:v>
                </c:pt>
                <c:pt idx="13">
                  <c:v>6.3508371687251908E-7</c:v>
                </c:pt>
                <c:pt idx="14">
                  <c:v>9.7390415396671408E-7</c:v>
                </c:pt>
                <c:pt idx="15">
                  <c:v>8.5589876105553125E-7</c:v>
                </c:pt>
                <c:pt idx="16">
                  <c:v>9.2315370378231284E-7</c:v>
                </c:pt>
                <c:pt idx="17">
                  <c:v>6.7797559905473115E-7</c:v>
                </c:pt>
              </c:numCache>
            </c:numRef>
          </c:yVal>
          <c:smooth val="0"/>
          <c:extLst>
            <c:ext xmlns:c16="http://schemas.microsoft.com/office/drawing/2014/chart" uri="{C3380CC4-5D6E-409C-BE32-E72D297353CC}">
              <c16:uniqueId val="{00000000-FEF3-4409-864D-D8691767E01C}"/>
            </c:ext>
          </c:extLst>
        </c:ser>
        <c:ser>
          <c:idx val="1"/>
          <c:order val="1"/>
          <c:tx>
            <c:v>c2</c:v>
          </c:tx>
          <c:spPr>
            <a:ln w="25400" cap="rnd">
              <a:noFill/>
              <a:round/>
            </a:ln>
            <a:effectLst/>
          </c:spPr>
          <c:marker>
            <c:symbol val="circle"/>
            <c:size val="5"/>
            <c:spPr>
              <a:solidFill>
                <a:schemeClr val="accent2"/>
              </a:solidFill>
              <a:ln w="9525">
                <a:solidFill>
                  <a:schemeClr val="accent2"/>
                </a:solidFill>
              </a:ln>
              <a:effectLst/>
            </c:spPr>
          </c:marker>
          <c:xVal>
            <c:numRef>
              <c:f>ZimmPrep!$G$71:$G$88</c:f>
              <c:numCache>
                <c:formatCode>General</c:formatCode>
                <c:ptCount val="18"/>
                <c:pt idx="0">
                  <c:v>24.426280931420532</c:v>
                </c:pt>
                <c:pt idx="1">
                  <c:v>24.580221575706041</c:v>
                </c:pt>
                <c:pt idx="2">
                  <c:v>24.711474847680247</c:v>
                </c:pt>
                <c:pt idx="4">
                  <c:v>25.195532973226118</c:v>
                </c:pt>
                <c:pt idx="5">
                  <c:v>25.483437569258957</c:v>
                </c:pt>
                <c:pt idx="6">
                  <c:v>25.852563854232503</c:v>
                </c:pt>
                <c:pt idx="7">
                  <c:v>26.252226008513528</c:v>
                </c:pt>
                <c:pt idx="8">
                  <c:v>26.738713131595393</c:v>
                </c:pt>
                <c:pt idx="9">
                  <c:v>27.312559694255039</c:v>
                </c:pt>
                <c:pt idx="10">
                  <c:v>27.900892974849121</c:v>
                </c:pt>
                <c:pt idx="11">
                  <c:v>28.489226255443207</c:v>
                </c:pt>
                <c:pt idx="13">
                  <c:v>29.608302655967826</c:v>
                </c:pt>
                <c:pt idx="14">
                  <c:v>30.111490400915802</c:v>
                </c:pt>
                <c:pt idx="15">
                  <c:v>30.513428760228507</c:v>
                </c:pt>
                <c:pt idx="16">
                  <c:v>30.823655761725011</c:v>
                </c:pt>
                <c:pt idx="17">
                  <c:v>31.055043222047793</c:v>
                </c:pt>
              </c:numCache>
            </c:numRef>
          </c:xVal>
          <c:yVal>
            <c:numRef>
              <c:f>ZimmPrep!$G$50:$G$67</c:f>
              <c:numCache>
                <c:formatCode>General</c:formatCode>
                <c:ptCount val="18"/>
                <c:pt idx="0">
                  <c:v>6.7853932660950551E-7</c:v>
                </c:pt>
                <c:pt idx="1">
                  <c:v>1.133706140304702E-6</c:v>
                </c:pt>
                <c:pt idx="2">
                  <c:v>9.3161776067061012E-7</c:v>
                </c:pt>
                <c:pt idx="4">
                  <c:v>6.5327936500448436E-7</c:v>
                </c:pt>
                <c:pt idx="5">
                  <c:v>1.2583226476369954E-6</c:v>
                </c:pt>
                <c:pt idx="6">
                  <c:v>1.1975168273095932E-6</c:v>
                </c:pt>
                <c:pt idx="7">
                  <c:v>1.4845906395913994E-6</c:v>
                </c:pt>
                <c:pt idx="8">
                  <c:v>1.136927702999804E-6</c:v>
                </c:pt>
                <c:pt idx="9">
                  <c:v>2.0574298680161101E-6</c:v>
                </c:pt>
                <c:pt idx="10">
                  <c:v>1.1625328463482538E-6</c:v>
                </c:pt>
                <c:pt idx="11">
                  <c:v>2.2111809585574598E-6</c:v>
                </c:pt>
                <c:pt idx="13">
                  <c:v>1.1358081931753252E-6</c:v>
                </c:pt>
                <c:pt idx="14">
                  <c:v>1.2818731324224987E-6</c:v>
                </c:pt>
                <c:pt idx="15">
                  <c:v>7.7932871813475499E-7</c:v>
                </c:pt>
                <c:pt idx="16">
                  <c:v>1.2437175136346152E-6</c:v>
                </c:pt>
                <c:pt idx="17">
                  <c:v>1.3679405959316914E-6</c:v>
                </c:pt>
              </c:numCache>
            </c:numRef>
          </c:yVal>
          <c:smooth val="0"/>
          <c:extLst>
            <c:ext xmlns:c16="http://schemas.microsoft.com/office/drawing/2014/chart" uri="{C3380CC4-5D6E-409C-BE32-E72D297353CC}">
              <c16:uniqueId val="{00000001-FEF3-4409-864D-D8691767E01C}"/>
            </c:ext>
          </c:extLst>
        </c:ser>
        <c:ser>
          <c:idx val="2"/>
          <c:order val="2"/>
          <c:tx>
            <c:v>c3</c:v>
          </c:tx>
          <c:spPr>
            <a:ln w="25400" cap="rnd">
              <a:noFill/>
              <a:round/>
            </a:ln>
            <a:effectLst/>
          </c:spPr>
          <c:marker>
            <c:symbol val="circle"/>
            <c:size val="5"/>
            <c:spPr>
              <a:solidFill>
                <a:schemeClr val="accent3"/>
              </a:solidFill>
              <a:ln w="9525">
                <a:solidFill>
                  <a:schemeClr val="accent3"/>
                </a:solidFill>
              </a:ln>
              <a:effectLst/>
            </c:spPr>
          </c:marker>
          <c:xVal>
            <c:numRef>
              <c:f>ZimmPrep!$H$71:$H$88</c:f>
              <c:numCache>
                <c:formatCode>General</c:formatCode>
                <c:ptCount val="18"/>
                <c:pt idx="0">
                  <c:v>41.16628093142053</c:v>
                </c:pt>
                <c:pt idx="1">
                  <c:v>41.320221575706036</c:v>
                </c:pt>
                <c:pt idx="2">
                  <c:v>41.451474847680245</c:v>
                </c:pt>
                <c:pt idx="4">
                  <c:v>41.935532973226117</c:v>
                </c:pt>
                <c:pt idx="5">
                  <c:v>42.223437569258955</c:v>
                </c:pt>
                <c:pt idx="6">
                  <c:v>42.592563854232495</c:v>
                </c:pt>
                <c:pt idx="7">
                  <c:v>42.992226008513526</c:v>
                </c:pt>
                <c:pt idx="8">
                  <c:v>43.478713131595384</c:v>
                </c:pt>
                <c:pt idx="9">
                  <c:v>44.052559694255031</c:v>
                </c:pt>
                <c:pt idx="10">
                  <c:v>44.640892974849116</c:v>
                </c:pt>
                <c:pt idx="11">
                  <c:v>45.229226255443201</c:v>
                </c:pt>
                <c:pt idx="13">
                  <c:v>46.348302655967821</c:v>
                </c:pt>
                <c:pt idx="14">
                  <c:v>46.8514904009158</c:v>
                </c:pt>
                <c:pt idx="15">
                  <c:v>47.253428760228502</c:v>
                </c:pt>
                <c:pt idx="16">
                  <c:v>47.563655761725009</c:v>
                </c:pt>
                <c:pt idx="17">
                  <c:v>47.795043222047788</c:v>
                </c:pt>
              </c:numCache>
            </c:numRef>
          </c:xVal>
          <c:yVal>
            <c:numRef>
              <c:f>ZimmPrep!$H$50:$H$67</c:f>
              <c:numCache>
                <c:formatCode>General</c:formatCode>
                <c:ptCount val="18"/>
                <c:pt idx="0">
                  <c:v>5.2779068106261185E-7</c:v>
                </c:pt>
                <c:pt idx="1">
                  <c:v>9.6726786589465721E-7</c:v>
                </c:pt>
                <c:pt idx="2">
                  <c:v>9.5203174868404774E-7</c:v>
                </c:pt>
                <c:pt idx="4">
                  <c:v>8.0958407125170481E-7</c:v>
                </c:pt>
                <c:pt idx="5">
                  <c:v>1.6439987302200593E-6</c:v>
                </c:pt>
                <c:pt idx="6">
                  <c:v>1.5524235513945077E-6</c:v>
                </c:pt>
                <c:pt idx="7">
                  <c:v>2.0673490251375933E-6</c:v>
                </c:pt>
                <c:pt idx="8">
                  <c:v>1.5872996849966335E-6</c:v>
                </c:pt>
                <c:pt idx="9">
                  <c:v>3.1118514640680294E-6</c:v>
                </c:pt>
                <c:pt idx="10">
                  <c:v>1.5985145632238147E-6</c:v>
                </c:pt>
                <c:pt idx="11">
                  <c:v>3.5998685394357052E-6</c:v>
                </c:pt>
                <c:pt idx="13">
                  <c:v>1.7362116118884604E-6</c:v>
                </c:pt>
                <c:pt idx="14">
                  <c:v>1.7429735006493419E-6</c:v>
                </c:pt>
                <c:pt idx="15">
                  <c:v>1.1866774583964995E-6</c:v>
                </c:pt>
                <c:pt idx="16">
                  <c:v>1.6529509618773137E-6</c:v>
                </c:pt>
                <c:pt idx="17">
                  <c:v>1.9711311450078154E-6</c:v>
                </c:pt>
              </c:numCache>
            </c:numRef>
          </c:yVal>
          <c:smooth val="0"/>
          <c:extLst>
            <c:ext xmlns:c16="http://schemas.microsoft.com/office/drawing/2014/chart" uri="{C3380CC4-5D6E-409C-BE32-E72D297353CC}">
              <c16:uniqueId val="{00000002-FEF3-4409-864D-D8691767E01C}"/>
            </c:ext>
          </c:extLst>
        </c:ser>
        <c:ser>
          <c:idx val="3"/>
          <c:order val="3"/>
          <c:tx>
            <c:v>c4</c:v>
          </c:tx>
          <c:spPr>
            <a:ln w="25400" cap="rnd">
              <a:noFill/>
              <a:round/>
            </a:ln>
            <a:effectLst/>
          </c:spPr>
          <c:marker>
            <c:symbol val="circle"/>
            <c:size val="5"/>
            <c:spPr>
              <a:solidFill>
                <a:schemeClr val="accent4"/>
              </a:solidFill>
              <a:ln w="9525">
                <a:solidFill>
                  <a:schemeClr val="accent4"/>
                </a:solidFill>
              </a:ln>
              <a:effectLst/>
            </c:spPr>
          </c:marker>
          <c:xVal>
            <c:numRef>
              <c:f>ZimmPrep!$I$71:$I$88</c:f>
              <c:numCache>
                <c:formatCode>General</c:formatCode>
                <c:ptCount val="18"/>
                <c:pt idx="0">
                  <c:v>51.461280931420532</c:v>
                </c:pt>
                <c:pt idx="1">
                  <c:v>51.615221575706038</c:v>
                </c:pt>
                <c:pt idx="2">
                  <c:v>51.746474847680247</c:v>
                </c:pt>
                <c:pt idx="4">
                  <c:v>52.230532973226119</c:v>
                </c:pt>
                <c:pt idx="5">
                  <c:v>52.518437569258957</c:v>
                </c:pt>
                <c:pt idx="6">
                  <c:v>52.887563854232496</c:v>
                </c:pt>
                <c:pt idx="7">
                  <c:v>53.287226008513528</c:v>
                </c:pt>
                <c:pt idx="8">
                  <c:v>53.773713131595386</c:v>
                </c:pt>
                <c:pt idx="9">
                  <c:v>54.347559694255033</c:v>
                </c:pt>
                <c:pt idx="10">
                  <c:v>54.935892974849118</c:v>
                </c:pt>
                <c:pt idx="11">
                  <c:v>55.524226255443203</c:v>
                </c:pt>
                <c:pt idx="13">
                  <c:v>56.643302655967823</c:v>
                </c:pt>
                <c:pt idx="14">
                  <c:v>57.146490400915802</c:v>
                </c:pt>
                <c:pt idx="15">
                  <c:v>57.548428760228504</c:v>
                </c:pt>
                <c:pt idx="16">
                  <c:v>57.858655761725011</c:v>
                </c:pt>
                <c:pt idx="17">
                  <c:v>58.09004322204779</c:v>
                </c:pt>
              </c:numCache>
            </c:numRef>
          </c:xVal>
          <c:yVal>
            <c:numRef>
              <c:f>ZimmPrep!$I$50:$I$67</c:f>
              <c:numCache>
                <c:formatCode>General</c:formatCode>
                <c:ptCount val="18"/>
                <c:pt idx="0">
                  <c:v>4.9262081407601566E-7</c:v>
                </c:pt>
                <c:pt idx="1">
                  <c:v>7.1774924819888233E-7</c:v>
                </c:pt>
                <c:pt idx="2">
                  <c:v>9.8748009325431801E-7</c:v>
                </c:pt>
                <c:pt idx="4">
                  <c:v>9.9575062919074696E-7</c:v>
                </c:pt>
                <c:pt idx="5">
                  <c:v>2.1153514078562755E-6</c:v>
                </c:pt>
                <c:pt idx="6">
                  <c:v>1.6010781152957406E-6</c:v>
                </c:pt>
                <c:pt idx="7">
                  <c:v>2.2920289191476669E-6</c:v>
                </c:pt>
                <c:pt idx="8">
                  <c:v>1.795184904639493E-6</c:v>
                </c:pt>
                <c:pt idx="9">
                  <c:v>3.3617056526655457E-6</c:v>
                </c:pt>
                <c:pt idx="10">
                  <c:v>1.8291084394184406E-6</c:v>
                </c:pt>
                <c:pt idx="11">
                  <c:v>4.0925047699564214E-6</c:v>
                </c:pt>
                <c:pt idx="13">
                  <c:v>2.0197388731324503E-6</c:v>
                </c:pt>
                <c:pt idx="14">
                  <c:v>1.8800144676726827E-6</c:v>
                </c:pt>
                <c:pt idx="15">
                  <c:v>1.3335906243034321E-6</c:v>
                </c:pt>
                <c:pt idx="16">
                  <c:v>1.7577255940417407E-6</c:v>
                </c:pt>
                <c:pt idx="17">
                  <c:v>2.1281873869691094E-6</c:v>
                </c:pt>
              </c:numCache>
            </c:numRef>
          </c:yVal>
          <c:smooth val="0"/>
          <c:extLst>
            <c:ext xmlns:c16="http://schemas.microsoft.com/office/drawing/2014/chart" uri="{C3380CC4-5D6E-409C-BE32-E72D297353CC}">
              <c16:uniqueId val="{00000003-FEF3-4409-864D-D8691767E01C}"/>
            </c:ext>
          </c:extLst>
        </c:ser>
        <c:dLbls>
          <c:showLegendKey val="0"/>
          <c:showVal val="0"/>
          <c:showCatName val="0"/>
          <c:showSerName val="0"/>
          <c:showPercent val="0"/>
          <c:showBubbleSize val="0"/>
        </c:dLbls>
        <c:axId val="682350143"/>
        <c:axId val="626107919"/>
      </c:scatterChart>
      <c:valAx>
        <c:axId val="6823501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baseline="0"/>
                  <a:t> /10</a:t>
                </a:r>
                <a:r>
                  <a:rPr lang="en-US" baseline="30000"/>
                  <a:t>10</a:t>
                </a:r>
                <a:r>
                  <a:rPr lang="en-US" baseline="0"/>
                  <a:t>+ kc  (cm</a:t>
                </a:r>
                <a:r>
                  <a:rPr lang="en-US" baseline="30000"/>
                  <a:t>-2</a:t>
                </a:r>
                <a:r>
                  <a:rPr lang="en-US" baseline="0"/>
                  <a: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07919"/>
        <c:crosses val="autoZero"/>
        <c:crossBetween val="midCat"/>
      </c:valAx>
      <c:valAx>
        <c:axId val="62610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Kc/R</a:t>
                </a:r>
                <a:r>
                  <a:rPr lang="en-US" baseline="-25000"/>
                  <a:t>Uv  </a:t>
                </a:r>
                <a:r>
                  <a:rPr lang="en-US" baseline="0"/>
                  <a:t>(g.mol</a:t>
                </a:r>
                <a:r>
                  <a:rPr lang="en-US" baseline="30000"/>
                  <a:t>-1</a:t>
                </a:r>
                <a:r>
                  <a:rPr lang="en-US" baseline="0"/>
                  <a:t>)</a:t>
                </a:r>
                <a:endParaRPr lang="en-US" baseline="-25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3501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Rayleigh</a:t>
            </a:r>
            <a:r>
              <a:rPr lang="en-US" baseline="0"/>
              <a:t> factor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245603674540684"/>
          <c:y val="3.98705647920937E-2"/>
          <c:w val="0.7276922572178478"/>
          <c:h val="0.79918535046426231"/>
        </c:manualLayout>
      </c:layout>
      <c:scatterChart>
        <c:scatterStyle val="lineMarker"/>
        <c:varyColors val="0"/>
        <c:ser>
          <c:idx val="0"/>
          <c:order val="0"/>
          <c:tx>
            <c:v>c1</c:v>
          </c:tx>
          <c:spPr>
            <a:ln w="25400" cap="rnd">
              <a:noFill/>
              <a:round/>
            </a:ln>
            <a:effectLst/>
          </c:spPr>
          <c:marker>
            <c:symbol val="circle"/>
            <c:size val="5"/>
            <c:spPr>
              <a:solidFill>
                <a:schemeClr val="accent1"/>
              </a:solidFill>
              <a:ln w="9525">
                <a:solidFill>
                  <a:schemeClr val="accent1"/>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ZimmPrep!$F$28:$F$45</c:f>
              <c:numCache>
                <c:formatCode>General</c:formatCode>
                <c:ptCount val="18"/>
                <c:pt idx="0">
                  <c:v>1.9971398593570438E-4</c:v>
                </c:pt>
                <c:pt idx="1">
                  <c:v>1.9743806173325366E-4</c:v>
                </c:pt>
                <c:pt idx="2">
                  <c:v>2.9410091645014488E-4</c:v>
                </c:pt>
                <c:pt idx="4">
                  <c:v>2.0791033426106089E-4</c:v>
                </c:pt>
                <c:pt idx="5">
                  <c:v>2.77441324747767E-4</c:v>
                </c:pt>
                <c:pt idx="6">
                  <c:v>2.3105437930986996E-4</c:v>
                </c:pt>
                <c:pt idx="7">
                  <c:v>2.3896205875298225E-4</c:v>
                </c:pt>
                <c:pt idx="8">
                  <c:v>2.5962646769470143E-4</c:v>
                </c:pt>
                <c:pt idx="9">
                  <c:v>2.1604353598837715E-4</c:v>
                </c:pt>
                <c:pt idx="10">
                  <c:v>2.499316335354312E-4</c:v>
                </c:pt>
                <c:pt idx="11">
                  <c:v>3.1768391556232542E-4</c:v>
                </c:pt>
                <c:pt idx="13">
                  <c:v>3.2978722592540767E-4</c:v>
                </c:pt>
                <c:pt idx="14">
                  <c:v>2.1505452704429409E-4</c:v>
                </c:pt>
                <c:pt idx="15">
                  <c:v>2.4470475568803439E-4</c:v>
                </c:pt>
                <c:pt idx="16">
                  <c:v>2.2687716721458699E-4</c:v>
                </c:pt>
                <c:pt idx="17">
                  <c:v>3.0892335581074112E-4</c:v>
                </c:pt>
              </c:numCache>
            </c:numRef>
          </c:yVal>
          <c:smooth val="0"/>
          <c:extLst>
            <c:ext xmlns:c16="http://schemas.microsoft.com/office/drawing/2014/chart" uri="{C3380CC4-5D6E-409C-BE32-E72D297353CC}">
              <c16:uniqueId val="{00000004-26DC-46E9-B314-2815509E9959}"/>
            </c:ext>
          </c:extLst>
        </c:ser>
        <c:ser>
          <c:idx val="1"/>
          <c:order val="1"/>
          <c:tx>
            <c:v>c2</c:v>
          </c:tx>
          <c:spPr>
            <a:ln w="25400" cap="rnd">
              <a:noFill/>
              <a:round/>
            </a:ln>
            <a:effectLst/>
          </c:spPr>
          <c:marker>
            <c:symbol val="circle"/>
            <c:size val="5"/>
            <c:spPr>
              <a:solidFill>
                <a:schemeClr val="accent2"/>
              </a:solidFill>
              <a:ln w="9525">
                <a:solidFill>
                  <a:schemeClr val="accent2"/>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ZimmPrep!$G$28:$G$45</c:f>
              <c:numCache>
                <c:formatCode>General</c:formatCode>
                <c:ptCount val="18"/>
                <c:pt idx="0">
                  <c:v>5.72949959651611E-4</c:v>
                </c:pt>
                <c:pt idx="1">
                  <c:v>3.4291873879986167E-4</c:v>
                </c:pt>
                <c:pt idx="2">
                  <c:v>4.1730535442250293E-4</c:v>
                </c:pt>
                <c:pt idx="4">
                  <c:v>5.951038722924898E-4</c:v>
                </c:pt>
                <c:pt idx="5">
                  <c:v>3.0895818376393134E-4</c:v>
                </c:pt>
                <c:pt idx="6">
                  <c:v>3.2464602662526031E-4</c:v>
                </c:pt>
                <c:pt idx="7">
                  <c:v>2.6186954803241082E-4</c:v>
                </c:pt>
                <c:pt idx="8">
                  <c:v>3.4194705501253359E-4</c:v>
                </c:pt>
                <c:pt idx="9">
                  <c:v>1.8895860599993163E-4</c:v>
                </c:pt>
                <c:pt idx="10">
                  <c:v>3.34415565998112E-4</c:v>
                </c:pt>
                <c:pt idx="11">
                  <c:v>1.7581965795172838E-4</c:v>
                </c:pt>
                <c:pt idx="13">
                  <c:v>3.4228409527147728E-4</c:v>
                </c:pt>
                <c:pt idx="14">
                  <c:v>3.0328202531887627E-4</c:v>
                </c:pt>
                <c:pt idx="15">
                  <c:v>4.9885121740852459E-4</c:v>
                </c:pt>
                <c:pt idx="16">
                  <c:v>3.1258631927343089E-4</c:v>
                </c:pt>
                <c:pt idx="17">
                  <c:v>2.842002649524123E-4</c:v>
                </c:pt>
              </c:numCache>
            </c:numRef>
          </c:yVal>
          <c:smooth val="0"/>
          <c:extLst>
            <c:ext xmlns:c16="http://schemas.microsoft.com/office/drawing/2014/chart" uri="{C3380CC4-5D6E-409C-BE32-E72D297353CC}">
              <c16:uniqueId val="{00000005-26DC-46E9-B314-2815509E9959}"/>
            </c:ext>
          </c:extLst>
        </c:ser>
        <c:ser>
          <c:idx val="2"/>
          <c:order val="2"/>
          <c:tx>
            <c:v>c3</c:v>
          </c:tx>
          <c:spPr>
            <a:ln w="25400" cap="rnd">
              <a:noFill/>
              <a:round/>
            </a:ln>
            <a:effectLst/>
          </c:spPr>
          <c:marker>
            <c:symbol val="circle"/>
            <c:size val="5"/>
            <c:spPr>
              <a:solidFill>
                <a:schemeClr val="accent3"/>
              </a:solidFill>
              <a:ln w="9525">
                <a:solidFill>
                  <a:schemeClr val="accent3"/>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ZimmPrep!$H$28:$H$45</c:f>
              <c:numCache>
                <c:formatCode>General</c:formatCode>
                <c:ptCount val="18"/>
                <c:pt idx="0">
                  <c:v>1.2473939121557928E-3</c:v>
                </c:pt>
                <c:pt idx="1">
                  <c:v>6.8064173913305874E-4</c:v>
                </c:pt>
                <c:pt idx="2">
                  <c:v>6.9153458732871902E-4</c:v>
                </c:pt>
                <c:pt idx="4">
                  <c:v>8.1321125974250115E-4</c:v>
                </c:pt>
                <c:pt idx="5">
                  <c:v>4.0046434972728707E-4</c:v>
                </c:pt>
                <c:pt idx="6">
                  <c:v>4.2408715189786253E-4</c:v>
                </c:pt>
                <c:pt idx="7">
                  <c:v>3.1845753883103704E-4</c:v>
                </c:pt>
                <c:pt idx="8">
                  <c:v>4.1476911302446208E-4</c:v>
                </c:pt>
                <c:pt idx="9">
                  <c:v>2.1156629423096045E-4</c:v>
                </c:pt>
                <c:pt idx="10">
                  <c:v>4.118591707555695E-4</c:v>
                </c:pt>
                <c:pt idx="11">
                  <c:v>1.8288525684698E-4</c:v>
                </c:pt>
                <c:pt idx="13">
                  <c:v>3.7919506927727942E-4</c:v>
                </c:pt>
                <c:pt idx="14">
                  <c:v>3.7772397698805502E-4</c:v>
                </c:pt>
                <c:pt idx="15">
                  <c:v>5.5479513644733419E-4</c:v>
                </c:pt>
                <c:pt idx="16">
                  <c:v>3.9829547133227481E-4</c:v>
                </c:pt>
                <c:pt idx="17">
                  <c:v>3.3400257720926597E-4</c:v>
                </c:pt>
              </c:numCache>
            </c:numRef>
          </c:yVal>
          <c:smooth val="0"/>
          <c:extLst>
            <c:ext xmlns:c16="http://schemas.microsoft.com/office/drawing/2014/chart" uri="{C3380CC4-5D6E-409C-BE32-E72D297353CC}">
              <c16:uniqueId val="{00000006-26DC-46E9-B314-2815509E9959}"/>
            </c:ext>
          </c:extLst>
        </c:ser>
        <c:ser>
          <c:idx val="3"/>
          <c:order val="3"/>
          <c:tx>
            <c:v>c4</c:v>
          </c:tx>
          <c:spPr>
            <a:ln w="25400" cap="rnd">
              <a:noFill/>
              <a:round/>
            </a:ln>
            <a:effectLst/>
          </c:spPr>
          <c:marker>
            <c:symbol val="circle"/>
            <c:size val="5"/>
            <c:spPr>
              <a:solidFill>
                <a:schemeClr val="accent4"/>
              </a:solidFill>
              <a:ln w="9525">
                <a:solidFill>
                  <a:schemeClr val="accent4"/>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ZimmPrep!$I$28:$I$45</c:f>
              <c:numCache>
                <c:formatCode>General</c:formatCode>
                <c:ptCount val="18"/>
                <c:pt idx="0">
                  <c:v>1.6730138821827037E-3</c:v>
                </c:pt>
                <c:pt idx="1">
                  <c:v>1.1482582011328704E-3</c:v>
                </c:pt>
                <c:pt idx="2">
                  <c:v>8.3461070884500587E-4</c:v>
                </c:pt>
                <c:pt idx="4">
                  <c:v>8.2767857377215033E-4</c:v>
                </c:pt>
                <c:pt idx="5">
                  <c:v>3.8960971569094267E-4</c:v>
                </c:pt>
                <c:pt idx="6">
                  <c:v>5.1475406023464699E-4</c:v>
                </c:pt>
                <c:pt idx="7">
                  <c:v>3.5957725215255939E-4</c:v>
                </c:pt>
                <c:pt idx="8">
                  <c:v>4.5909558311867934E-4</c:v>
                </c:pt>
                <c:pt idx="9">
                  <c:v>2.4516169639891855E-4</c:v>
                </c:pt>
                <c:pt idx="10">
                  <c:v>4.5058097313429836E-4</c:v>
                </c:pt>
                <c:pt idx="11">
                  <c:v>2.0138313989310141E-4</c:v>
                </c:pt>
                <c:pt idx="13">
                  <c:v>4.0805347243879676E-4</c:v>
                </c:pt>
                <c:pt idx="14">
                  <c:v>4.3838038205183021E-4</c:v>
                </c:pt>
                <c:pt idx="15">
                  <c:v>6.1800184073114569E-4</c:v>
                </c:pt>
                <c:pt idx="16">
                  <c:v>4.6887947891014636E-4</c:v>
                </c:pt>
                <c:pt idx="17">
                  <c:v>3.8725981821321706E-4</c:v>
                </c:pt>
              </c:numCache>
            </c:numRef>
          </c:yVal>
          <c:smooth val="0"/>
          <c:extLst>
            <c:ext xmlns:c16="http://schemas.microsoft.com/office/drawing/2014/chart" uri="{C3380CC4-5D6E-409C-BE32-E72D297353CC}">
              <c16:uniqueId val="{00000007-26DC-46E9-B314-2815509E9959}"/>
            </c:ext>
          </c:extLst>
        </c:ser>
        <c:dLbls>
          <c:showLegendKey val="0"/>
          <c:showVal val="0"/>
          <c:showCatName val="0"/>
          <c:showSerName val="0"/>
          <c:showPercent val="0"/>
          <c:showBubbleSize val="0"/>
        </c:dLbls>
        <c:axId val="682350143"/>
        <c:axId val="626107919"/>
      </c:scatterChart>
      <c:valAx>
        <c:axId val="6823501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baseline="0"/>
                  <a:t> (cm</a:t>
                </a:r>
                <a:r>
                  <a:rPr lang="en-US" baseline="30000"/>
                  <a:t>-2</a:t>
                </a:r>
                <a:r>
                  <a:rPr lang="en-US" baseline="0"/>
                  <a: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07919"/>
        <c:crosses val="autoZero"/>
        <c:crossBetween val="midCat"/>
      </c:valAx>
      <c:valAx>
        <c:axId val="62610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Uv  </a:t>
                </a:r>
                <a:r>
                  <a:rPr lang="en-US" baseline="0"/>
                  <a:t>(cm</a:t>
                </a:r>
                <a:r>
                  <a:rPr lang="en-US" baseline="30000"/>
                  <a:t>-1</a:t>
                </a:r>
                <a:r>
                  <a:rPr lang="en-US" baseline="0"/>
                  <a:t>)</a:t>
                </a:r>
                <a:endParaRPr lang="en-US" baseline="-25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3501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40218</xdr:colOff>
      <xdr:row>75</xdr:row>
      <xdr:rowOff>70998</xdr:rowOff>
    </xdr:from>
    <xdr:to>
      <xdr:col>8</xdr:col>
      <xdr:colOff>400051</xdr:colOff>
      <xdr:row>77</xdr:row>
      <xdr:rowOff>86937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088093" y="11453373"/>
          <a:ext cx="3598333" cy="377889"/>
        </a:xfrm>
        <a:prstGeom prst="rect">
          <a:avLst/>
        </a:prstGeom>
        <a:ln w="19050">
          <a:solidFill>
            <a:schemeClr val="tx1"/>
          </a:solidFill>
        </a:ln>
      </xdr:spPr>
    </xdr:pic>
    <xdr:clientData/>
  </xdr:twoCellAnchor>
  <xdr:twoCellAnchor editAs="oneCell">
    <xdr:from>
      <xdr:col>3</xdr:col>
      <xdr:colOff>35454</xdr:colOff>
      <xdr:row>77</xdr:row>
      <xdr:rowOff>179493</xdr:rowOff>
    </xdr:from>
    <xdr:to>
      <xdr:col>8</xdr:col>
      <xdr:colOff>390525</xdr:colOff>
      <xdr:row>82</xdr:row>
      <xdr:rowOff>104776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r="249" b="28826"/>
        <a:stretch/>
      </xdr:blipFill>
      <xdr:spPr>
        <a:xfrm>
          <a:off x="2083329" y="11923818"/>
          <a:ext cx="3593571" cy="830158"/>
        </a:xfrm>
        <a:prstGeom prst="rect">
          <a:avLst/>
        </a:prstGeom>
        <a:ln w="19050">
          <a:solidFill>
            <a:schemeClr val="tx1"/>
          </a:solidFill>
        </a:ln>
      </xdr:spPr>
    </xdr:pic>
    <xdr:clientData/>
  </xdr:twoCellAnchor>
  <xdr:twoCellAnchor editAs="oneCell">
    <xdr:from>
      <xdr:col>10</xdr:col>
      <xdr:colOff>270009</xdr:colOff>
      <xdr:row>62</xdr:row>
      <xdr:rowOff>176213</xdr:rowOff>
    </xdr:from>
    <xdr:to>
      <xdr:col>12</xdr:col>
      <xdr:colOff>281604</xdr:colOff>
      <xdr:row>67</xdr:row>
      <xdr:rowOff>19402</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851784" y="11558588"/>
          <a:ext cx="1306995" cy="748064"/>
        </a:xfrm>
        <a:prstGeom prst="rect">
          <a:avLst/>
        </a:prstGeom>
      </xdr:spPr>
    </xdr:pic>
    <xdr:clientData/>
  </xdr:twoCellAnchor>
  <xdr:twoCellAnchor>
    <xdr:from>
      <xdr:col>3</xdr:col>
      <xdr:colOff>33344</xdr:colOff>
      <xdr:row>83</xdr:row>
      <xdr:rowOff>0</xdr:rowOff>
    </xdr:from>
    <xdr:to>
      <xdr:col>6</xdr:col>
      <xdr:colOff>542932</xdr:colOff>
      <xdr:row>85</xdr:row>
      <xdr:rowOff>71422</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1219" y="13192109"/>
          <a:ext cx="2452688" cy="433388"/>
        </a:xfrm>
        <a:prstGeom prst="rect">
          <a:avLst/>
        </a:prstGeom>
        <a:solidFill>
          <a:schemeClr val="bg1"/>
        </a:solidFill>
        <a:ln w="19050">
          <a:solidFill>
            <a:srgbClr val="000000"/>
          </a:solidFill>
          <a:miter lim="800000"/>
          <a:headEnd/>
          <a:tailEnd/>
        </a:ln>
        <a:extLst/>
      </xdr:spPr>
    </xdr:pic>
    <xdr:clientData/>
  </xdr:twoCellAnchor>
  <mc:AlternateContent xmlns:mc="http://schemas.openxmlformats.org/markup-compatibility/2006">
    <mc:Choice xmlns:a14="http://schemas.microsoft.com/office/drawing/2010/main" Requires="a14">
      <xdr:twoCellAnchor>
        <xdr:from>
          <xdr:col>3</xdr:col>
          <xdr:colOff>14288</xdr:colOff>
          <xdr:row>88</xdr:row>
          <xdr:rowOff>80963</xdr:rowOff>
        </xdr:from>
        <xdr:to>
          <xdr:col>6</xdr:col>
          <xdr:colOff>623888</xdr:colOff>
          <xdr:row>91</xdr:row>
          <xdr:rowOff>138113</xdr:rowOff>
        </xdr:to>
        <xdr:sp macro="" textlink="">
          <xdr:nvSpPr>
            <xdr:cNvPr id="1027" name="Object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solidFill>
              <a:srgbClr val="FFFFFF"/>
            </a:solidFill>
            <a:ln w="19050">
              <a:solidFill>
                <a:srgbClr val="000000"/>
              </a:solidFill>
              <a:miter lim="800000"/>
              <a:headEnd/>
              <a:tailEnd/>
            </a:ln>
          </xdr:spPr>
        </xdr:sp>
        <xdr:clientData/>
      </xdr:twoCellAnchor>
    </mc:Choice>
    <mc:Fallback/>
  </mc:AlternateContent>
  <xdr:twoCellAnchor editAs="oneCell">
    <xdr:from>
      <xdr:col>3</xdr:col>
      <xdr:colOff>1</xdr:colOff>
      <xdr:row>98</xdr:row>
      <xdr:rowOff>1</xdr:rowOff>
    </xdr:from>
    <xdr:to>
      <xdr:col>5</xdr:col>
      <xdr:colOff>309563</xdr:colOff>
      <xdr:row>99</xdr:row>
      <xdr:rowOff>126398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2047876" y="15544801"/>
          <a:ext cx="1604962" cy="307372"/>
        </a:xfrm>
        <a:prstGeom prst="rect">
          <a:avLst/>
        </a:prstGeom>
        <a:ln w="19050">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355511</xdr:colOff>
      <xdr:row>10</xdr:row>
      <xdr:rowOff>228062</xdr:rowOff>
    </xdr:from>
    <xdr:to>
      <xdr:col>17</xdr:col>
      <xdr:colOff>608453</xdr:colOff>
      <xdr:row>12</xdr:row>
      <xdr:rowOff>40117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206462" y="1770844"/>
          <a:ext cx="1562904" cy="288307"/>
        </a:xfrm>
        <a:prstGeom prst="rect">
          <a:avLst/>
        </a:prstGeom>
      </xdr:spPr>
    </xdr:pic>
    <xdr:clientData/>
  </xdr:twoCellAnchor>
  <xdr:twoCellAnchor>
    <xdr:from>
      <xdr:col>7</xdr:col>
      <xdr:colOff>345849</xdr:colOff>
      <xdr:row>5</xdr:row>
      <xdr:rowOff>79376</xdr:rowOff>
    </xdr:from>
    <xdr:to>
      <xdr:col>8</xdr:col>
      <xdr:colOff>555625</xdr:colOff>
      <xdr:row>7</xdr:row>
      <xdr:rowOff>164420</xdr:rowOff>
    </xdr:to>
    <xdr:sp macro="" textlink="">
      <xdr:nvSpPr>
        <xdr:cNvPr id="3" name="Speech Bubble: Rectangle 2">
          <a:extLst>
            <a:ext uri="{FF2B5EF4-FFF2-40B4-BE49-F238E27FC236}">
              <a16:creationId xmlns:a16="http://schemas.microsoft.com/office/drawing/2014/main" id="{00000000-0008-0000-0200-000003000000}"/>
            </a:ext>
          </a:extLst>
        </xdr:cNvPr>
        <xdr:cNvSpPr/>
      </xdr:nvSpPr>
      <xdr:spPr>
        <a:xfrm>
          <a:off x="7149420" y="1043215"/>
          <a:ext cx="1672544" cy="453572"/>
        </a:xfrm>
        <a:prstGeom prst="wedgeRectCallout">
          <a:avLst>
            <a:gd name="adj1" fmla="val -71198"/>
            <a:gd name="adj2" fmla="val -11076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From JustWyatt xls spreadsheet April 6, 2024</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195966</xdr:colOff>
      <xdr:row>1</xdr:row>
      <xdr:rowOff>105104</xdr:rowOff>
    </xdr:from>
    <xdr:to>
      <xdr:col>10</xdr:col>
      <xdr:colOff>262758</xdr:colOff>
      <xdr:row>4</xdr:row>
      <xdr:rowOff>88683</xdr:rowOff>
    </xdr:to>
    <xdr:pic>
      <xdr:nvPicPr>
        <xdr:cNvPr id="50" name="Picture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
        <a:stretch>
          <a:fillRect/>
        </a:stretch>
      </xdr:blipFill>
      <xdr:spPr>
        <a:xfrm>
          <a:off x="6893027" y="285751"/>
          <a:ext cx="1360878" cy="52551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253008</xdr:colOff>
      <xdr:row>6</xdr:row>
      <xdr:rowOff>89297</xdr:rowOff>
    </xdr:from>
    <xdr:to>
      <xdr:col>20</xdr:col>
      <xdr:colOff>766465</xdr:colOff>
      <xdr:row>9</xdr:row>
      <xdr:rowOff>74415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13372208" y="1212950"/>
          <a:ext cx="1458515" cy="595313"/>
        </a:xfrm>
        <a:prstGeom prst="wedgeRoundRectCallout">
          <a:avLst>
            <a:gd name="adj1" fmla="val -71378"/>
            <a:gd name="adj2" fmla="val 1581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Probably from an</a:t>
          </a:r>
        </a:p>
        <a:p>
          <a:pPr algn="l"/>
          <a:r>
            <a:rPr lang="en-US" sz="1100"/>
            <a:t> old run. </a:t>
          </a:r>
        </a:p>
      </xdr:txBody>
    </xdr:sp>
    <xdr:clientData/>
  </xdr:twoCellAnchor>
  <xdr:twoCellAnchor>
    <xdr:from>
      <xdr:col>12</xdr:col>
      <xdr:colOff>278903</xdr:colOff>
      <xdr:row>5</xdr:row>
      <xdr:rowOff>59532</xdr:rowOff>
    </xdr:from>
    <xdr:to>
      <xdr:col>16</xdr:col>
      <xdr:colOff>100309</xdr:colOff>
      <xdr:row>8</xdr:row>
      <xdr:rowOff>70543</xdr:rowOff>
    </xdr:to>
    <xdr:sp macro="" textlink="">
      <xdr:nvSpPr>
        <xdr:cNvPr id="3" name="Speech Bubble: Rectangle with Corners Rounded 2">
          <a:extLst>
            <a:ext uri="{FF2B5EF4-FFF2-40B4-BE49-F238E27FC236}">
              <a16:creationId xmlns:a16="http://schemas.microsoft.com/office/drawing/2014/main" id="{00000000-0008-0000-0400-000003000000}"/>
            </a:ext>
          </a:extLst>
        </xdr:cNvPr>
        <xdr:cNvSpPr/>
      </xdr:nvSpPr>
      <xdr:spPr>
        <a:xfrm>
          <a:off x="9588103" y="997149"/>
          <a:ext cx="2046386" cy="606324"/>
        </a:xfrm>
        <a:prstGeom prst="wedgeRoundRectCallout">
          <a:avLst>
            <a:gd name="adj1" fmla="val -162651"/>
            <a:gd name="adj2" fmla="val 25288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Wyatt entries possibly from</a:t>
          </a:r>
          <a:r>
            <a:rPr lang="en-US" sz="1100" baseline="0"/>
            <a:t> an  old run.</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238125</xdr:colOff>
      <xdr:row>2</xdr:row>
      <xdr:rowOff>19050</xdr:rowOff>
    </xdr:from>
    <xdr:to>
      <xdr:col>26</xdr:col>
      <xdr:colOff>0</xdr:colOff>
      <xdr:row>30</xdr:row>
      <xdr:rowOff>47625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199405</xdr:colOff>
      <xdr:row>31</xdr:row>
      <xdr:rowOff>98534</xdr:rowOff>
    </xdr:from>
    <xdr:to>
      <xdr:col>26</xdr:col>
      <xdr:colOff>0</xdr:colOff>
      <xdr:row>60</xdr:row>
      <xdr:rowOff>27517</xdr:rowOff>
    </xdr:to>
    <xdr:graphicFrame macro="">
      <xdr:nvGraphicFramePr>
        <xdr:cNvPr id="3" name="Chart 1">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23971</xdr:colOff>
      <xdr:row>2</xdr:row>
      <xdr:rowOff>18583</xdr:rowOff>
    </xdr:from>
    <xdr:to>
      <xdr:col>44</xdr:col>
      <xdr:colOff>399969</xdr:colOff>
      <xdr:row>30</xdr:row>
      <xdr:rowOff>47158</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53</xdr:col>
      <xdr:colOff>76967</xdr:colOff>
      <xdr:row>2</xdr:row>
      <xdr:rowOff>5776</xdr:rowOff>
    </xdr:from>
    <xdr:to>
      <xdr:col>61</xdr:col>
      <xdr:colOff>634998</xdr:colOff>
      <xdr:row>30</xdr:row>
      <xdr:rowOff>42333</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14942</xdr:colOff>
      <xdr:row>31</xdr:row>
      <xdr:rowOff>149411</xdr:rowOff>
    </xdr:from>
    <xdr:to>
      <xdr:col>44</xdr:col>
      <xdr:colOff>428312</xdr:colOff>
      <xdr:row>60</xdr:row>
      <xdr:rowOff>135467</xdr:rowOff>
    </xdr:to>
    <xdr:graphicFrame macro="">
      <xdr:nvGraphicFramePr>
        <xdr:cNvPr id="7" name="Chart 1">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53</xdr:col>
      <xdr:colOff>67734</xdr:colOff>
      <xdr:row>31</xdr:row>
      <xdr:rowOff>135464</xdr:rowOff>
    </xdr:from>
    <xdr:to>
      <xdr:col>61</xdr:col>
      <xdr:colOff>634999</xdr:colOff>
      <xdr:row>60</xdr:row>
      <xdr:rowOff>127000</xdr:rowOff>
    </xdr:to>
    <xdr:graphicFrame macro="">
      <xdr:nvGraphicFramePr>
        <xdr:cNvPr id="8" name="Chart 1">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3401</xdr:colOff>
      <xdr:row>47</xdr:row>
      <xdr:rowOff>203424</xdr:rowOff>
    </xdr:from>
    <xdr:to>
      <xdr:col>24</xdr:col>
      <xdr:colOff>51025</xdr:colOff>
      <xdr:row>66</xdr:row>
      <xdr:rowOff>170088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238126</xdr:colOff>
      <xdr:row>7</xdr:row>
      <xdr:rowOff>68036</xdr:rowOff>
    </xdr:from>
    <xdr:to>
      <xdr:col>15</xdr:col>
      <xdr:colOff>483054</xdr:colOff>
      <xdr:row>24</xdr:row>
      <xdr:rowOff>95250</xdr:rowOff>
    </xdr:to>
    <xdr:sp macro="" textlink="">
      <xdr:nvSpPr>
        <xdr:cNvPr id="3" name="Arrow: Down 2">
          <a:extLst>
            <a:ext uri="{FF2B5EF4-FFF2-40B4-BE49-F238E27FC236}">
              <a16:creationId xmlns:a16="http://schemas.microsoft.com/office/drawing/2014/main" id="{00000000-0008-0000-0E00-000003000000}"/>
            </a:ext>
          </a:extLst>
        </xdr:cNvPr>
        <xdr:cNvSpPr/>
      </xdr:nvSpPr>
      <xdr:spPr>
        <a:xfrm>
          <a:off x="10252983" y="1381126"/>
          <a:ext cx="244928" cy="3150053"/>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15</xdr:col>
      <xdr:colOff>398211</xdr:colOff>
      <xdr:row>6</xdr:row>
      <xdr:rowOff>139272</xdr:rowOff>
    </xdr:from>
    <xdr:ext cx="436786" cy="3097386"/>
    <xdr:sp macro="" textlink="">
      <xdr:nvSpPr>
        <xdr:cNvPr id="4" name="TextBox 3">
          <a:extLst>
            <a:ext uri="{FF2B5EF4-FFF2-40B4-BE49-F238E27FC236}">
              <a16:creationId xmlns:a16="http://schemas.microsoft.com/office/drawing/2014/main" id="{00000000-0008-0000-0E00-000004000000}"/>
            </a:ext>
          </a:extLst>
        </xdr:cNvPr>
        <xdr:cNvSpPr txBox="1"/>
      </xdr:nvSpPr>
      <xdr:spPr>
        <a:xfrm rot="16200000">
          <a:off x="9082768" y="2598965"/>
          <a:ext cx="30973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50"/>
              </a:solidFill>
              <a:effectLst/>
              <a:latin typeface="+mn-lt"/>
              <a:ea typeface="+mn-ea"/>
              <a:cs typeface="+mn-cs"/>
            </a:rPr>
            <a:t>Scroll Down! </a:t>
          </a:r>
          <a:endParaRPr lang="en-US" b="1">
            <a:solidFill>
              <a:srgbClr val="00B050"/>
            </a:solidFill>
            <a:effectLst/>
          </a:endParaRPr>
        </a:p>
        <a:p>
          <a:r>
            <a:rPr lang="en-US" sz="1100" b="1">
              <a:solidFill>
                <a:srgbClr val="00B050"/>
              </a:solidFill>
            </a:rPr>
            <a:t>All this on the left is filled from other worksheets.</a:t>
          </a:r>
        </a:p>
      </xdr:txBody>
    </xdr:sp>
    <xdr:clientData/>
  </xdr:oneCellAnchor>
  <xdr:twoCellAnchor>
    <xdr:from>
      <xdr:col>15</xdr:col>
      <xdr:colOff>238126</xdr:colOff>
      <xdr:row>24</xdr:row>
      <xdr:rowOff>149679</xdr:rowOff>
    </xdr:from>
    <xdr:to>
      <xdr:col>15</xdr:col>
      <xdr:colOff>483054</xdr:colOff>
      <xdr:row>46</xdr:row>
      <xdr:rowOff>136072</xdr:rowOff>
    </xdr:to>
    <xdr:sp macro="" textlink="">
      <xdr:nvSpPr>
        <xdr:cNvPr id="5" name="Arrow: Down 4">
          <a:extLst>
            <a:ext uri="{FF2B5EF4-FFF2-40B4-BE49-F238E27FC236}">
              <a16:creationId xmlns:a16="http://schemas.microsoft.com/office/drawing/2014/main" id="{00000000-0008-0000-0E00-000005000000}"/>
            </a:ext>
          </a:extLst>
        </xdr:cNvPr>
        <xdr:cNvSpPr/>
      </xdr:nvSpPr>
      <xdr:spPr>
        <a:xfrm>
          <a:off x="10252983" y="4585608"/>
          <a:ext cx="244928" cy="4068535"/>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15</xdr:col>
      <xdr:colOff>374197</xdr:colOff>
      <xdr:row>25</xdr:row>
      <xdr:rowOff>142875</xdr:rowOff>
    </xdr:from>
    <xdr:ext cx="436786" cy="3097386"/>
    <xdr:sp macro="" textlink="">
      <xdr:nvSpPr>
        <xdr:cNvPr id="6" name="TextBox 5">
          <a:extLst>
            <a:ext uri="{FF2B5EF4-FFF2-40B4-BE49-F238E27FC236}">
              <a16:creationId xmlns:a16="http://schemas.microsoft.com/office/drawing/2014/main" id="{00000000-0008-0000-0E00-000006000000}"/>
            </a:ext>
          </a:extLst>
        </xdr:cNvPr>
        <xdr:cNvSpPr txBox="1"/>
      </xdr:nvSpPr>
      <xdr:spPr>
        <a:xfrm rot="16200000">
          <a:off x="9058754" y="6106408"/>
          <a:ext cx="30973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50"/>
              </a:solidFill>
              <a:effectLst/>
              <a:latin typeface="+mn-lt"/>
              <a:ea typeface="+mn-ea"/>
              <a:cs typeface="+mn-cs"/>
            </a:rPr>
            <a:t>Scroll Down! </a:t>
          </a:r>
          <a:endParaRPr lang="en-US" b="1">
            <a:solidFill>
              <a:srgbClr val="00B050"/>
            </a:solidFill>
            <a:effectLst/>
          </a:endParaRPr>
        </a:p>
        <a:p>
          <a:r>
            <a:rPr lang="en-US" sz="1100" b="1">
              <a:solidFill>
                <a:srgbClr val="00B050"/>
              </a:solidFill>
            </a:rPr>
            <a:t>All this on the left is filled from other worksheets.</a:t>
          </a:r>
        </a:p>
      </xdr:txBody>
    </xdr:sp>
    <xdr:clientData/>
  </xdr:oneCellAnchor>
  <xdr:twoCellAnchor>
    <xdr:from>
      <xdr:col>17</xdr:col>
      <xdr:colOff>0</xdr:colOff>
      <xdr:row>26</xdr:row>
      <xdr:rowOff>1</xdr:rowOff>
    </xdr:from>
    <xdr:to>
      <xdr:col>24</xdr:col>
      <xdr:colOff>47624</xdr:colOff>
      <xdr:row>45</xdr:row>
      <xdr:rowOff>-1</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16</xdr:col>
      <xdr:colOff>551089</xdr:colOff>
      <xdr:row>45</xdr:row>
      <xdr:rowOff>74838</xdr:rowOff>
    </xdr:from>
    <xdr:ext cx="4702891" cy="436786"/>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1334750" y="8409214"/>
          <a:ext cx="4702891" cy="436786"/>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Hint: for starters, try k</a:t>
          </a:r>
          <a:r>
            <a:rPr lang="en-US" sz="1100" baseline="-25000"/>
            <a:t>scale</a:t>
          </a:r>
          <a:r>
            <a:rPr lang="en-US" sz="1100" baseline="0"/>
            <a:t> values</a:t>
          </a:r>
          <a:r>
            <a:rPr lang="en-US" sz="1100"/>
            <a:t> that</a:t>
          </a:r>
          <a:r>
            <a:rPr lang="en-US" sz="1100" baseline="0"/>
            <a:t> make k</a:t>
          </a:r>
          <a:r>
            <a:rPr lang="en-US" sz="1100"/>
            <a:t>·</a:t>
          </a:r>
          <a:r>
            <a:rPr lang="en-US" sz="1100" baseline="0"/>
            <a:t>c</a:t>
          </a:r>
          <a:r>
            <a:rPr lang="en-US" sz="1100" baseline="-25000"/>
            <a:t>max</a:t>
          </a:r>
          <a:r>
            <a:rPr lang="en-US" sz="1100" baseline="0"/>
            <a:t> about the same as q</a:t>
          </a:r>
          <a:r>
            <a:rPr lang="en-US" sz="1100" baseline="30000"/>
            <a:t>2</a:t>
          </a:r>
          <a:r>
            <a:rPr lang="en-US" sz="1100" baseline="-25000"/>
            <a:t>max</a:t>
          </a:r>
          <a:r>
            <a:rPr lang="en-US" sz="1100" baseline="0"/>
            <a:t>/10</a:t>
          </a:r>
          <a:r>
            <a:rPr lang="en-US" sz="1100" baseline="30000"/>
            <a:t>10</a:t>
          </a:r>
        </a:p>
        <a:p>
          <a:r>
            <a:rPr lang="en-US" sz="1100" baseline="0"/>
            <a:t>Normally, that will be k</a:t>
          </a:r>
          <a:r>
            <a:rPr lang="en-US" sz="1100" baseline="-25000"/>
            <a:t>scale</a:t>
          </a:r>
          <a:r>
            <a:rPr lang="en-US" sz="1100" baseline="0"/>
            <a:t> = 1000 to 10000.</a:t>
          </a:r>
          <a:endParaRPr lang="en-US" sz="1100" baseline="30000"/>
        </a:p>
      </xdr:txBody>
    </xdr:sp>
    <xdr:clientData/>
  </xdr:oneCellAnchor>
  <xdr:twoCellAnchor editAs="oneCell">
    <xdr:from>
      <xdr:col>19</xdr:col>
      <xdr:colOff>88446</xdr:colOff>
      <xdr:row>93</xdr:row>
      <xdr:rowOff>176892</xdr:rowOff>
    </xdr:from>
    <xdr:to>
      <xdr:col>21</xdr:col>
      <xdr:colOff>405211</xdr:colOff>
      <xdr:row>95</xdr:row>
      <xdr:rowOff>87976</xdr:rowOff>
    </xdr:to>
    <xdr:pic>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a:stretch>
          <a:fillRect/>
        </a:stretch>
      </xdr:blipFill>
      <xdr:spPr>
        <a:xfrm>
          <a:off x="12811125" y="17478375"/>
          <a:ext cx="1609444" cy="305691"/>
        </a:xfrm>
        <a:prstGeom prst="rect">
          <a:avLst/>
        </a:prstGeom>
        <a:ln w="19050">
          <a:solidFill>
            <a:schemeClr val="tx1"/>
          </a:solidFill>
        </a:ln>
      </xdr:spPr>
    </xdr:pic>
    <xdr:clientData/>
  </xdr:twoCellAnchor>
  <xdr:oneCellAnchor>
    <xdr:from>
      <xdr:col>19</xdr:col>
      <xdr:colOff>61232</xdr:colOff>
      <xdr:row>91</xdr:row>
      <xdr:rowOff>102052</xdr:rowOff>
    </xdr:from>
    <xdr:ext cx="2332562" cy="325089"/>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2783911" y="16995321"/>
          <a:ext cx="2332562" cy="325089"/>
        </a:xfrm>
        <a:prstGeom prst="rect">
          <a:avLst/>
        </a:prstGeom>
        <a:noFill/>
        <a:ln w="2222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a:latin typeface="Times New Roman" panose="02020603050405020304" pitchFamily="18" charset="0"/>
              <a:cs typeface="Times New Roman" panose="02020603050405020304" pitchFamily="18" charset="0"/>
            </a:rPr>
            <a:t>Kc</a:t>
          </a:r>
          <a:r>
            <a:rPr lang="en-US" sz="1400" b="0"/>
            <a:t>/</a:t>
          </a:r>
          <a:r>
            <a:rPr lang="en-US" sz="1400" b="0">
              <a:latin typeface="Colonna MT" panose="04020805060202030203" pitchFamily="82" charset="0"/>
            </a:rPr>
            <a:t>R</a:t>
          </a:r>
          <a:r>
            <a:rPr lang="en-US" sz="1400" b="0"/>
            <a:t> </a:t>
          </a:r>
          <a:r>
            <a:rPr lang="en-US" sz="1400" b="0">
              <a:latin typeface="Times New Roman" panose="02020603050405020304" pitchFamily="18" charset="0"/>
              <a:cs typeface="Times New Roman" panose="02020603050405020304" pitchFamily="18" charset="0"/>
            </a:rPr>
            <a:t>= M</a:t>
          </a:r>
          <a:r>
            <a:rPr lang="en-US" sz="1400" b="0" baseline="30000">
              <a:latin typeface="Times New Roman" panose="02020603050405020304" pitchFamily="18" charset="0"/>
              <a:cs typeface="Times New Roman" panose="02020603050405020304" pitchFamily="18" charset="0"/>
            </a:rPr>
            <a:t>-1</a:t>
          </a:r>
          <a:r>
            <a:rPr lang="en-US" sz="1400" b="0">
              <a:latin typeface="Times New Roman" panose="02020603050405020304" pitchFamily="18" charset="0"/>
              <a:cs typeface="Times New Roman" panose="02020603050405020304" pitchFamily="18" charset="0"/>
            </a:rPr>
            <a:t>(1+q</a:t>
          </a:r>
          <a:r>
            <a:rPr lang="en-US" sz="1400" b="0" baseline="30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R</a:t>
          </a:r>
          <a:r>
            <a:rPr lang="en-US" sz="1400" b="0" baseline="-25000">
              <a:latin typeface="Times New Roman" panose="02020603050405020304" pitchFamily="18" charset="0"/>
              <a:cs typeface="Times New Roman" panose="02020603050405020304" pitchFamily="18" charset="0"/>
            </a:rPr>
            <a:t>g</a:t>
          </a:r>
          <a:r>
            <a:rPr lang="en-US" sz="1400" b="0" baseline="30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/3)+2A</a:t>
          </a:r>
          <a:r>
            <a:rPr lang="en-US" sz="1400" b="0" baseline="-25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c</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85457</xdr:colOff>
      <xdr:row>23</xdr:row>
      <xdr:rowOff>60449</xdr:rowOff>
    </xdr:from>
    <xdr:ext cx="4957761" cy="146982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2108119" y="4576420"/>
          <a:ext cx="4957761" cy="1469826"/>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Written for a rotating arm instrument,</a:t>
          </a:r>
          <a:r>
            <a:rPr lang="en-US" sz="800" baseline="0"/>
            <a:t> NonZimm.exe subtracts solvent intensities and applies a sin(theta) correction for the scattering volume. We configure SMALS data for NonZimm by getting it from the signal after solvent subtraction and normalization. This is column M in each ConcX sheet. (Getting intensities directly from the columns G or H would necessitate separate manipulations for Wyatt and Fiber/APD detectors; maybe those always should have been combined into a single column.) NonZimm wants solution intensities without the solvent subtraction, so we add the normalized solvent back in (multiply column J in each ConcX sheet by the appropriate normalization). NonZimm is normally fed uncertainties. We take those as 2.5% of our normalized intensities. We index according to c</a:t>
          </a:r>
          <a:r>
            <a:rPr lang="en-US" sz="800" baseline="-25000"/>
            <a:t>1</a:t>
          </a:r>
          <a:r>
            <a:rPr lang="en-US" sz="800" baseline="0"/>
            <a:t> = 0 = solvent, as in NonZimm. Other concentrations are automatically entered as g/mL (see the ConcData worksheet) but you can override these values (so they're color-coded pink instead of red). The empty cells are gone in this presentation of the data. Finally, all the results are multiplied by 100,000 to give values similar to the photon counting numbers expected from the rotating arm instrument.</a:t>
          </a:r>
          <a:endParaRPr lang="en-US" sz="800"/>
        </a:p>
      </xdr:txBody>
    </xdr:sp>
    <xdr:clientData/>
  </xdr:oneCellAnchor>
  <xdr:oneCellAnchor>
    <xdr:from>
      <xdr:col>1</xdr:col>
      <xdr:colOff>242887</xdr:colOff>
      <xdr:row>16</xdr:row>
      <xdr:rowOff>190500</xdr:rowOff>
    </xdr:from>
    <xdr:ext cx="4776788" cy="217560"/>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2265549" y="3333751"/>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&lt;&lt;&lt; Usually,</a:t>
          </a:r>
          <a:r>
            <a:rPr lang="en-US" sz="800" baseline="0"/>
            <a:t> toluene's measured intensity at 90</a:t>
          </a:r>
          <a:r>
            <a:rPr lang="en-US" sz="800" baseline="30000"/>
            <a:t>o</a:t>
          </a:r>
          <a:r>
            <a:rPr lang="en-US" sz="800" baseline="0"/>
            <a:t>; see parameters worksheet, G4</a:t>
          </a:r>
          <a:endParaRPr lang="en-US" sz="800"/>
        </a:p>
      </xdr:txBody>
    </xdr:sp>
    <xdr:clientData/>
  </xdr:oneCellAnchor>
  <xdr:oneCellAnchor>
    <xdr:from>
      <xdr:col>1</xdr:col>
      <xdr:colOff>242887</xdr:colOff>
      <xdr:row>18</xdr:row>
      <xdr:rowOff>161924</xdr:rowOff>
    </xdr:from>
    <xdr:ext cx="4776788" cy="217560"/>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2265549" y="3697380"/>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&lt;&lt;&lt; Extremely</a:t>
          </a:r>
          <a:r>
            <a:rPr lang="en-US" sz="800" baseline="0"/>
            <a:t> unlikely, but </a:t>
          </a:r>
          <a:r>
            <a:rPr lang="en-US" sz="800"/>
            <a:t>you might</a:t>
          </a:r>
          <a:r>
            <a:rPr lang="en-US" sz="800" baseline="0"/>
            <a:t> change it. So, cell colored pink. </a:t>
          </a:r>
          <a:endParaRPr lang="en-US" sz="800"/>
        </a:p>
      </xdr:txBody>
    </xdr:sp>
    <xdr:clientData/>
  </xdr:oneCellAnchor>
  <xdr:oneCellAnchor>
    <xdr:from>
      <xdr:col>1</xdr:col>
      <xdr:colOff>173691</xdr:colOff>
      <xdr:row>8</xdr:row>
      <xdr:rowOff>184896</xdr:rowOff>
    </xdr:from>
    <xdr:ext cx="4776788" cy="655821"/>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2196353" y="1759323"/>
          <a:ext cx="4776788" cy="655821"/>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a:t>&lt;&lt;&lt; The only values NonZimm will accept are 6328, 5145, 5320 or</a:t>
          </a:r>
          <a:r>
            <a:rPr lang="en-US" sz="900" baseline="0"/>
            <a:t> 4880 for the lasers we had when the program was written.  If a laser of another wavelength is used, corrections would have to be made at the end of the NonZimm analysis. Most teaching objectives can be reached, even with the wrong wavelength. </a:t>
          </a:r>
          <a:endParaRPr lang="en-US" sz="900"/>
        </a:p>
      </xdr:txBody>
    </xdr:sp>
    <xdr:clientData/>
  </xdr:oneCellAnchor>
  <xdr:oneCellAnchor>
    <xdr:from>
      <xdr:col>1</xdr:col>
      <xdr:colOff>240927</xdr:colOff>
      <xdr:row>20</xdr:row>
      <xdr:rowOff>16809</xdr:rowOff>
    </xdr:from>
    <xdr:ext cx="4776788" cy="217560"/>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2263589" y="3944471"/>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&lt;&lt;&lt; NonZimm</a:t>
          </a:r>
          <a:r>
            <a:rPr lang="en-US" sz="800" baseline="0"/>
            <a:t> is limited to 14 angles max</a:t>
          </a:r>
          <a:endParaRPr lang="en-US" sz="8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4</xdr:col>
      <xdr:colOff>373351</xdr:colOff>
      <xdr:row>22</xdr:row>
      <xdr:rowOff>106699</xdr:rowOff>
    </xdr:from>
    <xdr:to>
      <xdr:col>9</xdr:col>
      <xdr:colOff>956641</xdr:colOff>
      <xdr:row>25</xdr:row>
      <xdr:rowOff>20706</xdr:rowOff>
    </xdr:to>
    <xdr:sp macro="" textlink="">
      <xdr:nvSpPr>
        <xdr:cNvPr id="2" name="Speech Bubble: Rectangle 1">
          <a:extLst>
            <a:ext uri="{FF2B5EF4-FFF2-40B4-BE49-F238E27FC236}">
              <a16:creationId xmlns:a16="http://schemas.microsoft.com/office/drawing/2014/main" id="{00000000-0008-0000-1000-000002000000}"/>
            </a:ext>
          </a:extLst>
        </xdr:cNvPr>
        <xdr:cNvSpPr/>
      </xdr:nvSpPr>
      <xdr:spPr>
        <a:xfrm>
          <a:off x="7691036" y="4115482"/>
          <a:ext cx="2430312" cy="460659"/>
        </a:xfrm>
        <a:prstGeom prst="wedgeRectCallout">
          <a:avLst>
            <a:gd name="adj1" fmla="val -273445"/>
            <a:gd name="adj2" fmla="val 861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Insert </a:t>
          </a:r>
          <a:r>
            <a:rPr lang="en-US" sz="1100" baseline="0"/>
            <a:t>rows if you have more than 4 concentrations.</a:t>
          </a:r>
        </a:p>
        <a:p>
          <a:pPr algn="l"/>
          <a:endParaRPr lang="en-US" sz="1100"/>
        </a:p>
      </xdr:txBody>
    </xdr:sp>
    <xdr:clientData/>
  </xdr:twoCellAnchor>
  <xdr:twoCellAnchor>
    <xdr:from>
      <xdr:col>4</xdr:col>
      <xdr:colOff>43847</xdr:colOff>
      <xdr:row>25</xdr:row>
      <xdr:rowOff>112788</xdr:rowOff>
    </xdr:from>
    <xdr:to>
      <xdr:col>9</xdr:col>
      <xdr:colOff>708161</xdr:colOff>
      <xdr:row>30</xdr:row>
      <xdr:rowOff>111814</xdr:rowOff>
    </xdr:to>
    <xdr:sp macro="" textlink="">
      <xdr:nvSpPr>
        <xdr:cNvPr id="3" name="Speech Bubble: Rectangle 2">
          <a:extLst>
            <a:ext uri="{FF2B5EF4-FFF2-40B4-BE49-F238E27FC236}">
              <a16:creationId xmlns:a16="http://schemas.microsoft.com/office/drawing/2014/main" id="{00000000-0008-0000-1000-000003000000}"/>
            </a:ext>
          </a:extLst>
        </xdr:cNvPr>
        <xdr:cNvSpPr/>
      </xdr:nvSpPr>
      <xdr:spPr>
        <a:xfrm>
          <a:off x="7361532" y="4668223"/>
          <a:ext cx="2511336" cy="910113"/>
        </a:xfrm>
        <a:prstGeom prst="wedgeRectCallout">
          <a:avLst>
            <a:gd name="adj1" fmla="val -212960"/>
            <a:gd name="adj2" fmla="val -1037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Alter this cell's formula carefully to include just as many concentrations as you measured, thus eliminating any zeros. Be sure to leave the last space at right. You can then drag this cell down to include all your angles. </a:t>
          </a:r>
        </a:p>
        <a:p>
          <a:pPr algn="l"/>
          <a:endParaRPr lang="en-US" sz="1100"/>
        </a:p>
      </xdr:txBody>
    </xdr:sp>
    <xdr:clientData/>
  </xdr:twoCellAnchor>
  <xdr:twoCellAnchor>
    <xdr:from>
      <xdr:col>2</xdr:col>
      <xdr:colOff>231321</xdr:colOff>
      <xdr:row>32</xdr:row>
      <xdr:rowOff>68037</xdr:rowOff>
    </xdr:from>
    <xdr:to>
      <xdr:col>9</xdr:col>
      <xdr:colOff>1333499</xdr:colOff>
      <xdr:row>39</xdr:row>
      <xdr:rowOff>13608</xdr:rowOff>
    </xdr:to>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6252482" y="5946323"/>
          <a:ext cx="4238624" cy="1231446"/>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NonZimm can only handle</a:t>
          </a:r>
          <a:r>
            <a:rPr lang="en-US" sz="1800" baseline="0"/>
            <a:t> up to 14 angles. </a:t>
          </a:r>
        </a:p>
        <a:p>
          <a:r>
            <a:rPr lang="en-US" sz="1800" baseline="0"/>
            <a:t>Select the ones you wish, then cut &amp; paste into a Notepad or Notepad++ text file. Change the extension to .GAL</a:t>
          </a:r>
          <a:endParaRPr lang="en-US" sz="1800"/>
        </a:p>
      </xdr:txBody>
    </xdr:sp>
    <xdr:clientData/>
  </xdr:twoCellAnchor>
  <xdr:twoCellAnchor>
    <xdr:from>
      <xdr:col>2</xdr:col>
      <xdr:colOff>190500</xdr:colOff>
      <xdr:row>10</xdr:row>
      <xdr:rowOff>115660</xdr:rowOff>
    </xdr:from>
    <xdr:to>
      <xdr:col>9</xdr:col>
      <xdr:colOff>1292678</xdr:colOff>
      <xdr:row>17</xdr:row>
      <xdr:rowOff>56467</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6211661" y="1952624"/>
          <a:ext cx="4238624" cy="1226683"/>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This</a:t>
          </a:r>
          <a:r>
            <a:rPr lang="en-US" sz="1800" baseline="0"/>
            <a:t> worksheet applies the correct formatting for NonZimm--i.e., that of a .GAL file. </a:t>
          </a:r>
          <a:endParaRPr lang="en-US" sz="18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nvlpubs.nist.gov/nistpubs/jres/52/jresv52n4p217_a1b.pdf" TargetMode="External"/><Relationship Id="rId1" Type="http://schemas.openxmlformats.org/officeDocument/2006/relationships/hyperlink" Target="https://nvlpubs.nist.gov/nistpubs/jres/52/jresv52n4p217_a1b.pdf"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6"/>
  <sheetViews>
    <sheetView workbookViewId="0">
      <selection activeCell="B6" sqref="B6"/>
    </sheetView>
  </sheetViews>
  <sheetFormatPr defaultRowHeight="14.25"/>
  <cols>
    <col min="1" max="1" width="15.06640625" customWidth="1"/>
  </cols>
  <sheetData>
    <row r="2" spans="1:2">
      <c r="B2" t="s">
        <v>66</v>
      </c>
    </row>
    <row r="3" spans="1:2">
      <c r="B3" t="s">
        <v>90</v>
      </c>
    </row>
    <row r="4" spans="1:2">
      <c r="B4" t="s">
        <v>91</v>
      </c>
    </row>
    <row r="5" spans="1:2">
      <c r="A5" t="s">
        <v>109</v>
      </c>
      <c r="B5" t="s">
        <v>110</v>
      </c>
    </row>
    <row r="6" spans="1:2">
      <c r="A6" t="s">
        <v>332</v>
      </c>
      <c r="B6" t="s">
        <v>333</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103"/>
  <sheetViews>
    <sheetView topLeftCell="A86" zoomScale="85" zoomScaleNormal="85" workbookViewId="0">
      <selection activeCell="M93" sqref="M93"/>
    </sheetView>
  </sheetViews>
  <sheetFormatPr defaultRowHeight="14.25"/>
  <cols>
    <col min="2" max="2" width="10" customWidth="1"/>
  </cols>
  <sheetData>
    <row r="1" spans="2:2">
      <c r="B1" s="11" t="s">
        <v>57</v>
      </c>
    </row>
    <row r="2" spans="2:2">
      <c r="B2" t="s">
        <v>337</v>
      </c>
    </row>
    <row r="3" spans="2:2" ht="15.75">
      <c r="B3" t="s">
        <v>226</v>
      </c>
    </row>
    <row r="4" spans="2:2" ht="15.75">
      <c r="B4" t="s">
        <v>335</v>
      </c>
    </row>
    <row r="5" spans="2:2">
      <c r="B5" t="s">
        <v>334</v>
      </c>
    </row>
    <row r="7" spans="2:2">
      <c r="B7" s="11" t="s">
        <v>58</v>
      </c>
    </row>
    <row r="8" spans="2:2">
      <c r="B8" t="s">
        <v>69</v>
      </c>
    </row>
    <row r="9" spans="2:2">
      <c r="B9" t="s">
        <v>39</v>
      </c>
    </row>
    <row r="10" spans="2:2">
      <c r="B10" t="s">
        <v>70</v>
      </c>
    </row>
    <row r="11" spans="2:2">
      <c r="B11" t="s">
        <v>44</v>
      </c>
    </row>
    <row r="12" spans="2:2">
      <c r="B12" t="s">
        <v>336</v>
      </c>
    </row>
    <row r="13" spans="2:2">
      <c r="B13" t="s">
        <v>227</v>
      </c>
    </row>
    <row r="14" spans="2:2">
      <c r="B14" t="s">
        <v>40</v>
      </c>
    </row>
    <row r="15" spans="2:2">
      <c r="B15" t="s">
        <v>118</v>
      </c>
    </row>
    <row r="16" spans="2:2">
      <c r="B16" t="s">
        <v>41</v>
      </c>
    </row>
    <row r="17" spans="1:17">
      <c r="B17" t="s">
        <v>83</v>
      </c>
    </row>
    <row r="18" spans="1:17">
      <c r="B18" t="s">
        <v>228</v>
      </c>
    </row>
    <row r="19" spans="1:17" ht="14.65">
      <c r="B19" t="s">
        <v>346</v>
      </c>
    </row>
    <row r="20" spans="1:17" ht="16.5">
      <c r="B20" t="s">
        <v>347</v>
      </c>
    </row>
    <row r="21" spans="1:17">
      <c r="B21" t="s">
        <v>42</v>
      </c>
    </row>
    <row r="22" spans="1:17">
      <c r="B22" t="s">
        <v>43</v>
      </c>
    </row>
    <row r="24" spans="1:17" ht="14.65" thickBot="1">
      <c r="B24" s="11" t="s">
        <v>235</v>
      </c>
    </row>
    <row r="25" spans="1:17" ht="14.65" thickBot="1">
      <c r="B25" s="167"/>
      <c r="C25" s="172" t="s">
        <v>237</v>
      </c>
      <c r="D25" s="169"/>
      <c r="E25" s="169"/>
      <c r="F25" s="169"/>
      <c r="G25" s="169"/>
      <c r="H25" s="169"/>
      <c r="I25" s="169"/>
      <c r="J25" s="169"/>
      <c r="K25" s="169"/>
      <c r="L25" s="169"/>
      <c r="M25" s="169"/>
      <c r="N25" s="169"/>
      <c r="O25" s="169"/>
      <c r="P25" s="169"/>
      <c r="Q25" s="170"/>
    </row>
    <row r="26" spans="1:17">
      <c r="A26" t="s">
        <v>234</v>
      </c>
      <c r="B26">
        <v>1</v>
      </c>
      <c r="C26" t="s">
        <v>238</v>
      </c>
    </row>
    <row r="27" spans="1:17" ht="15.75">
      <c r="B27">
        <v>2</v>
      </c>
      <c r="C27" t="s">
        <v>342</v>
      </c>
    </row>
    <row r="28" spans="1:17">
      <c r="C28" t="s">
        <v>343</v>
      </c>
    </row>
    <row r="29" spans="1:17">
      <c r="B29">
        <v>3</v>
      </c>
      <c r="C29" t="s">
        <v>344</v>
      </c>
    </row>
    <row r="30" spans="1:17">
      <c r="C30" t="s">
        <v>345</v>
      </c>
    </row>
    <row r="31" spans="1:17">
      <c r="B31">
        <v>4</v>
      </c>
      <c r="C31" t="s">
        <v>348</v>
      </c>
      <c r="F31" s="39"/>
    </row>
    <row r="32" spans="1:17">
      <c r="C32" t="s">
        <v>243</v>
      </c>
    </row>
    <row r="33" spans="2:17">
      <c r="B33">
        <v>5</v>
      </c>
      <c r="C33" t="s">
        <v>349</v>
      </c>
    </row>
    <row r="34" spans="2:17">
      <c r="C34" t="s">
        <v>350</v>
      </c>
    </row>
    <row r="35" spans="2:17" ht="15.75">
      <c r="B35">
        <v>6</v>
      </c>
      <c r="C35" t="s">
        <v>244</v>
      </c>
    </row>
    <row r="36" spans="2:17">
      <c r="B36">
        <v>7</v>
      </c>
      <c r="C36" t="s">
        <v>230</v>
      </c>
    </row>
    <row r="37" spans="2:17">
      <c r="B37">
        <v>8</v>
      </c>
      <c r="C37" t="s">
        <v>338</v>
      </c>
    </row>
    <row r="38" spans="2:17">
      <c r="B38">
        <v>9</v>
      </c>
      <c r="C38" t="s">
        <v>231</v>
      </c>
    </row>
    <row r="39" spans="2:17" ht="14.65" thickBot="1">
      <c r="B39">
        <v>10</v>
      </c>
      <c r="C39" t="s">
        <v>52</v>
      </c>
    </row>
    <row r="40" spans="2:17" ht="14.65" thickBot="1">
      <c r="B40" s="171"/>
      <c r="C40" s="172" t="s">
        <v>236</v>
      </c>
      <c r="D40" s="169"/>
      <c r="E40" s="169"/>
      <c r="F40" s="169"/>
      <c r="G40" s="169"/>
      <c r="H40" s="169"/>
      <c r="I40" s="169"/>
      <c r="J40" s="169"/>
      <c r="K40" s="169"/>
      <c r="L40" s="169"/>
      <c r="M40" s="169"/>
      <c r="N40" s="169"/>
      <c r="O40" s="169"/>
      <c r="P40" s="169"/>
      <c r="Q40" s="170"/>
    </row>
    <row r="41" spans="2:17">
      <c r="B41">
        <v>1</v>
      </c>
      <c r="C41" t="s">
        <v>245</v>
      </c>
    </row>
    <row r="42" spans="2:17">
      <c r="B42">
        <v>2</v>
      </c>
      <c r="C42" t="s">
        <v>246</v>
      </c>
    </row>
    <row r="43" spans="2:17" ht="15.75">
      <c r="B43">
        <v>3</v>
      </c>
      <c r="C43" t="s">
        <v>351</v>
      </c>
    </row>
    <row r="44" spans="2:17" ht="14.65">
      <c r="C44" t="s">
        <v>353</v>
      </c>
    </row>
    <row r="45" spans="2:17">
      <c r="C45" t="s">
        <v>352</v>
      </c>
    </row>
    <row r="46" spans="2:17">
      <c r="B46">
        <v>4</v>
      </c>
      <c r="C46" t="s">
        <v>354</v>
      </c>
    </row>
    <row r="47" spans="2:17" ht="15.75">
      <c r="B47">
        <v>5</v>
      </c>
      <c r="C47" t="s">
        <v>247</v>
      </c>
    </row>
    <row r="48" spans="2:17" ht="14.65" thickBot="1"/>
    <row r="49" spans="2:17" ht="14.65" thickBot="1">
      <c r="B49" s="171"/>
      <c r="C49" s="168" t="s">
        <v>248</v>
      </c>
      <c r="D49" s="169"/>
      <c r="E49" s="169"/>
      <c r="F49" s="169"/>
      <c r="G49" s="169"/>
      <c r="H49" s="169"/>
      <c r="I49" s="169"/>
      <c r="J49" s="169"/>
      <c r="K49" s="169"/>
      <c r="L49" s="169"/>
      <c r="M49" s="169"/>
      <c r="N49" s="169"/>
      <c r="O49" s="169"/>
      <c r="P49" s="169"/>
      <c r="Q49" s="170"/>
    </row>
    <row r="50" spans="2:17" ht="14.65" thickBot="1">
      <c r="B50" s="174"/>
      <c r="C50" s="168"/>
      <c r="D50" s="169"/>
      <c r="E50" s="169"/>
      <c r="F50" s="169"/>
      <c r="G50" s="169"/>
      <c r="H50" s="169"/>
      <c r="I50" s="169"/>
      <c r="J50" s="169"/>
      <c r="K50" s="169"/>
      <c r="L50" s="169"/>
      <c r="M50" s="169"/>
      <c r="N50" s="169"/>
      <c r="O50" s="169"/>
      <c r="P50" s="169"/>
      <c r="Q50" s="170"/>
    </row>
    <row r="51" spans="2:17" ht="14.65" thickBot="1">
      <c r="B51" s="171"/>
      <c r="C51" s="168" t="s">
        <v>249</v>
      </c>
      <c r="D51" s="169"/>
      <c r="E51" s="169"/>
      <c r="F51" s="169"/>
      <c r="G51" s="169"/>
      <c r="H51" s="169"/>
      <c r="I51" s="169"/>
      <c r="J51" s="169"/>
      <c r="K51" s="169"/>
      <c r="L51" s="169"/>
      <c r="M51" s="169"/>
      <c r="N51" s="169"/>
      <c r="O51" s="169"/>
      <c r="P51" s="169"/>
      <c r="Q51" s="170"/>
    </row>
    <row r="52" spans="2:17">
      <c r="B52" s="173"/>
      <c r="C52" s="134"/>
      <c r="D52" s="39"/>
      <c r="E52" s="39"/>
      <c r="F52" s="39"/>
      <c r="G52" s="39"/>
      <c r="H52" s="39"/>
      <c r="I52" s="39"/>
      <c r="J52" s="39"/>
      <c r="K52" s="39"/>
      <c r="L52" s="39"/>
      <c r="M52" s="39"/>
      <c r="N52" s="39"/>
      <c r="O52" s="39"/>
      <c r="P52" s="39"/>
      <c r="Q52" s="39"/>
    </row>
    <row r="53" spans="2:17">
      <c r="B53" s="11" t="s">
        <v>119</v>
      </c>
      <c r="C53" t="s">
        <v>120</v>
      </c>
    </row>
    <row r="54" spans="2:17">
      <c r="C54" t="s">
        <v>358</v>
      </c>
    </row>
    <row r="55" spans="2:17">
      <c r="C55" t="s">
        <v>121</v>
      </c>
    </row>
    <row r="57" spans="2:17">
      <c r="B57" s="67" t="s">
        <v>124</v>
      </c>
      <c r="C57" t="s">
        <v>339</v>
      </c>
    </row>
    <row r="59" spans="2:17">
      <c r="B59" s="67" t="s">
        <v>135</v>
      </c>
      <c r="C59" t="s">
        <v>250</v>
      </c>
    </row>
    <row r="60" spans="2:17">
      <c r="C60" t="s">
        <v>128</v>
      </c>
    </row>
    <row r="61" spans="2:17">
      <c r="C61" t="s">
        <v>355</v>
      </c>
    </row>
    <row r="62" spans="2:17">
      <c r="C62" t="s">
        <v>126</v>
      </c>
    </row>
    <row r="63" spans="2:17">
      <c r="C63" t="s">
        <v>127</v>
      </c>
    </row>
    <row r="64" spans="2:17">
      <c r="C64" t="s">
        <v>251</v>
      </c>
    </row>
    <row r="65" spans="2:4">
      <c r="C65" t="s">
        <v>129</v>
      </c>
    </row>
    <row r="66" spans="2:4">
      <c r="C66" t="s">
        <v>132</v>
      </c>
    </row>
    <row r="67" spans="2:4">
      <c r="C67" t="s">
        <v>130</v>
      </c>
    </row>
    <row r="68" spans="2:4">
      <c r="C68" t="s">
        <v>131</v>
      </c>
    </row>
    <row r="69" spans="2:4">
      <c r="C69" t="s">
        <v>252</v>
      </c>
    </row>
    <row r="70" spans="2:4">
      <c r="C70" t="s">
        <v>133</v>
      </c>
    </row>
    <row r="71" spans="2:4">
      <c r="C71" s="131" t="s">
        <v>134</v>
      </c>
    </row>
    <row r="73" spans="2:4">
      <c r="C73" s="131"/>
    </row>
    <row r="74" spans="2:4">
      <c r="B74" s="67" t="s">
        <v>125</v>
      </c>
      <c r="D74" t="s">
        <v>356</v>
      </c>
    </row>
    <row r="75" spans="2:4">
      <c r="D75" t="s">
        <v>357</v>
      </c>
    </row>
    <row r="87" spans="4:4">
      <c r="D87" t="s">
        <v>141</v>
      </c>
    </row>
    <row r="88" spans="4:4">
      <c r="D88" t="s">
        <v>340</v>
      </c>
    </row>
    <row r="93" spans="4:4">
      <c r="D93" t="s">
        <v>142</v>
      </c>
    </row>
    <row r="94" spans="4:4">
      <c r="D94" t="s">
        <v>143</v>
      </c>
    </row>
    <row r="95" spans="4:4">
      <c r="D95" t="s">
        <v>203</v>
      </c>
    </row>
    <row r="96" spans="4:4">
      <c r="D96" t="s">
        <v>144</v>
      </c>
    </row>
    <row r="97" spans="4:4">
      <c r="D97" t="s">
        <v>145</v>
      </c>
    </row>
    <row r="102" spans="4:4">
      <c r="D102" t="s">
        <v>359</v>
      </c>
    </row>
    <row r="103" spans="4:4">
      <c r="D103" t="s">
        <v>360</v>
      </c>
    </row>
  </sheetData>
  <phoneticPr fontId="11" type="noConversion"/>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Word.Document.12" shapeId="1027" r:id="rId4">
          <objectPr defaultSize="0" r:id="rId5">
            <anchor moveWithCells="1" sizeWithCells="1">
              <from>
                <xdr:col>3</xdr:col>
                <xdr:colOff>14288</xdr:colOff>
                <xdr:row>88</xdr:row>
                <xdr:rowOff>80963</xdr:rowOff>
              </from>
              <to>
                <xdr:col>6</xdr:col>
                <xdr:colOff>623888</xdr:colOff>
                <xdr:row>91</xdr:row>
                <xdr:rowOff>138113</xdr:rowOff>
              </to>
            </anchor>
          </objectPr>
        </oleObject>
      </mc:Choice>
      <mc:Fallback>
        <oleObject progId="Word.Document.12" shapeId="102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T28"/>
  <sheetViews>
    <sheetView zoomScale="66" zoomScaleNormal="60" workbookViewId="0">
      <selection activeCell="J18" sqref="J18"/>
    </sheetView>
  </sheetViews>
  <sheetFormatPr defaultRowHeight="14.25"/>
  <cols>
    <col min="1" max="1" width="33.33203125" customWidth="1"/>
    <col min="2" max="2" width="12.06640625" bestFit="1" customWidth="1"/>
    <col min="3" max="3" width="2.6640625" customWidth="1"/>
    <col min="6" max="6" width="17.796875" customWidth="1"/>
    <col min="7" max="7" width="11.265625" customWidth="1"/>
    <col min="8" max="8" width="20.46484375" customWidth="1"/>
    <col min="9" max="9" width="8.73046875" customWidth="1"/>
    <col min="10" max="10" width="22.265625" customWidth="1"/>
    <col min="11" max="11" width="9.1328125" bestFit="1" customWidth="1"/>
    <col min="12" max="12" width="12" bestFit="1" customWidth="1"/>
    <col min="13" max="13" width="13.796875" customWidth="1"/>
    <col min="14" max="14" width="14.86328125" customWidth="1"/>
    <col min="15" max="15" width="9.6640625" customWidth="1"/>
    <col min="16" max="17" width="9.1328125" bestFit="1" customWidth="1"/>
    <col min="18" max="19" width="11.73046875" bestFit="1" customWidth="1"/>
  </cols>
  <sheetData>
    <row r="2" spans="1:20" ht="16.5">
      <c r="A2" s="65" t="s">
        <v>115</v>
      </c>
      <c r="B2" s="179" t="s">
        <v>114</v>
      </c>
      <c r="D2" s="187" t="s">
        <v>198</v>
      </c>
      <c r="E2" s="1"/>
      <c r="F2" s="1"/>
      <c r="G2" s="47" t="s">
        <v>114</v>
      </c>
      <c r="H2" t="s">
        <v>233</v>
      </c>
      <c r="J2" s="67" t="s">
        <v>341</v>
      </c>
    </row>
    <row r="3" spans="1:20" ht="15.75">
      <c r="A3" s="65" t="s">
        <v>8</v>
      </c>
      <c r="B3" s="179">
        <v>685</v>
      </c>
      <c r="D3" s="187" t="s">
        <v>199</v>
      </c>
      <c r="E3" s="1"/>
      <c r="F3" s="1"/>
      <c r="G3" s="188">
        <f>N13</f>
        <v>9.9583604155680655E-5</v>
      </c>
      <c r="H3" t="s">
        <v>270</v>
      </c>
      <c r="J3" s="143" t="s">
        <v>209</v>
      </c>
      <c r="K3" s="136" t="s">
        <v>210</v>
      </c>
      <c r="L3" s="136"/>
      <c r="M3" s="136"/>
      <c r="O3" s="136"/>
      <c r="P3" s="136"/>
    </row>
    <row r="4" spans="1:20" ht="14.65">
      <c r="A4" s="65" t="s">
        <v>9</v>
      </c>
      <c r="B4" s="54">
        <f>Lamnm/10000000</f>
        <v>6.8499999999999998E-5</v>
      </c>
      <c r="D4" s="187" t="s">
        <v>202</v>
      </c>
      <c r="E4" s="1"/>
      <c r="F4" s="1"/>
      <c r="G4" s="247">
        <v>0.03</v>
      </c>
      <c r="H4" t="s">
        <v>200</v>
      </c>
      <c r="I4" s="136"/>
      <c r="J4" s="136"/>
      <c r="K4" s="142" t="s">
        <v>206</v>
      </c>
      <c r="L4" s="136"/>
      <c r="M4" s="136"/>
      <c r="N4" s="136"/>
      <c r="O4" s="136"/>
      <c r="P4" s="136"/>
    </row>
    <row r="5" spans="1:20" ht="14.65">
      <c r="A5" s="65" t="s">
        <v>111</v>
      </c>
      <c r="B5" s="179">
        <v>1.4950000000000001</v>
      </c>
      <c r="D5" s="187" t="s">
        <v>201</v>
      </c>
      <c r="E5" s="1"/>
      <c r="F5" s="1"/>
      <c r="G5" s="47">
        <v>1</v>
      </c>
      <c r="I5" s="136"/>
      <c r="J5" s="136"/>
      <c r="K5" s="142" t="s">
        <v>207</v>
      </c>
      <c r="L5" s="136"/>
      <c r="M5" s="142"/>
      <c r="N5" s="136"/>
      <c r="O5" s="136"/>
      <c r="P5" s="136"/>
    </row>
    <row r="6" spans="1:20" ht="14.65">
      <c r="A6" s="65" t="s">
        <v>112</v>
      </c>
      <c r="B6" s="47">
        <v>1.4950000000000001</v>
      </c>
      <c r="D6" s="137"/>
      <c r="I6" s="136"/>
      <c r="J6" s="136"/>
      <c r="K6" s="142" t="s">
        <v>208</v>
      </c>
      <c r="L6" s="136"/>
      <c r="M6" s="136"/>
      <c r="N6" s="136"/>
      <c r="O6" s="136"/>
      <c r="P6" s="136"/>
    </row>
    <row r="7" spans="1:20" ht="14.65" thickBot="1">
      <c r="A7" s="65" t="s">
        <v>113</v>
      </c>
      <c r="B7" s="179">
        <v>1</v>
      </c>
    </row>
    <row r="8" spans="1:20" ht="16.149999999999999">
      <c r="A8" s="65" t="s">
        <v>116</v>
      </c>
      <c r="B8" s="248">
        <v>1</v>
      </c>
      <c r="C8" s="249" t="s">
        <v>263</v>
      </c>
      <c r="D8" s="209" t="s">
        <v>361</v>
      </c>
      <c r="E8" s="250"/>
      <c r="F8" s="250"/>
      <c r="G8" s="251"/>
      <c r="J8" s="67" t="s">
        <v>282</v>
      </c>
      <c r="K8" s="67"/>
      <c r="L8" s="67"/>
      <c r="M8" s="67"/>
      <c r="N8" s="67"/>
      <c r="O8" s="67"/>
    </row>
    <row r="9" spans="1:20" ht="14.65" thickBot="1">
      <c r="A9" s="65" t="s">
        <v>117</v>
      </c>
      <c r="B9" s="47">
        <v>0.11</v>
      </c>
      <c r="D9" s="252" t="s">
        <v>362</v>
      </c>
      <c r="E9" s="253"/>
      <c r="F9" s="253"/>
      <c r="G9" s="254"/>
      <c r="J9" s="67" t="s">
        <v>271</v>
      </c>
      <c r="K9" s="67"/>
      <c r="L9" s="67"/>
      <c r="M9" s="67"/>
      <c r="N9" s="67"/>
      <c r="O9" s="67"/>
    </row>
    <row r="10" spans="1:20" ht="15.75">
      <c r="A10" s="186" t="s">
        <v>283</v>
      </c>
      <c r="B10" s="132">
        <f>4*PI()^2*Refin^2*dndc^2/(6.022E+23*(Lamnm/10000000)^4)</f>
        <v>8.0523835916103452E-8</v>
      </c>
      <c r="J10" s="67" t="s">
        <v>272</v>
      </c>
      <c r="N10" s="67" t="s">
        <v>273</v>
      </c>
    </row>
    <row r="11" spans="1:20" ht="21.4">
      <c r="J11" s="185" t="s">
        <v>278</v>
      </c>
      <c r="K11" s="67" t="s">
        <v>279</v>
      </c>
      <c r="L11" s="67"/>
      <c r="M11" s="67"/>
      <c r="N11" s="185" t="s">
        <v>280</v>
      </c>
      <c r="O11" s="67"/>
      <c r="P11" s="67" t="s">
        <v>281</v>
      </c>
      <c r="Q11" s="67"/>
    </row>
    <row r="12" spans="1:20" ht="16.5">
      <c r="J12" s="147" t="s">
        <v>232</v>
      </c>
      <c r="K12" s="141" t="s">
        <v>205</v>
      </c>
      <c r="N12" t="s">
        <v>211</v>
      </c>
      <c r="S12" t="s">
        <v>223</v>
      </c>
    </row>
    <row r="13" spans="1:20" ht="16.5">
      <c r="J13">
        <v>685</v>
      </c>
      <c r="K13" s="139">
        <f>4900000/(J13)^4.17</f>
        <v>7.334430487942811E-6</v>
      </c>
      <c r="L13" t="s">
        <v>204</v>
      </c>
      <c r="N13" s="139">
        <f>66530000/J13^4.17</f>
        <v>9.9583604155680655E-5</v>
      </c>
      <c r="O13" t="s">
        <v>215</v>
      </c>
      <c r="P13" t="s">
        <v>216</v>
      </c>
      <c r="Q13" t="s">
        <v>217</v>
      </c>
      <c r="R13" t="s">
        <v>218</v>
      </c>
      <c r="S13" t="s">
        <v>219</v>
      </c>
    </row>
    <row r="14" spans="1:20">
      <c r="J14">
        <v>632.79999999999995</v>
      </c>
      <c r="K14" s="139">
        <f>4900000/(J14)^4.17</f>
        <v>1.0207394457268623E-5</v>
      </c>
      <c r="N14" s="139">
        <f>66530000/J14^4.17</f>
        <v>1.3859141902899621E-4</v>
      </c>
      <c r="O14">
        <v>2.1616591239999998</v>
      </c>
      <c r="P14">
        <v>4.9518800000000003E-4</v>
      </c>
      <c r="Q14">
        <v>2.1381790000000001E-2</v>
      </c>
      <c r="R14">
        <v>5.8838000000000001E-5</v>
      </c>
      <c r="S14">
        <v>8.7632000000000004E-5</v>
      </c>
      <c r="T14" s="145"/>
    </row>
    <row r="15" spans="1:20" ht="15.75">
      <c r="J15">
        <v>532</v>
      </c>
      <c r="K15" s="139">
        <f>4900000/(J15)^4.17</f>
        <v>2.104478888325769E-5</v>
      </c>
      <c r="N15" s="139">
        <f>66530000/J15^4.17</f>
        <v>2.8573669477614984E-4</v>
      </c>
      <c r="O15" s="144" t="s">
        <v>212</v>
      </c>
    </row>
    <row r="16" spans="1:20">
      <c r="J16">
        <v>514.5</v>
      </c>
      <c r="K16" s="139">
        <f>4900000/(J16)^4.17</f>
        <v>2.4194633576923557E-5</v>
      </c>
      <c r="N16" s="139">
        <f>66530000/J16^4.17</f>
        <v>3.2850387181076004E-4</v>
      </c>
      <c r="O16" t="s">
        <v>213</v>
      </c>
      <c r="R16" s="145" t="s">
        <v>214</v>
      </c>
    </row>
    <row r="17" spans="10:15">
      <c r="J17">
        <v>488</v>
      </c>
      <c r="K17" s="139">
        <f>4900000/(J17)^4.17</f>
        <v>3.0163756224498893E-5</v>
      </c>
      <c r="N17" s="139">
        <f>66530000/J17^4.17</f>
        <v>4.0954993910528805E-4</v>
      </c>
      <c r="O17" t="s">
        <v>277</v>
      </c>
    </row>
    <row r="18" spans="10:15">
      <c r="J18" s="138" t="s">
        <v>222</v>
      </c>
    </row>
    <row r="19" spans="10:15" ht="15.75">
      <c r="J19" t="s">
        <v>274</v>
      </c>
    </row>
    <row r="21" spans="10:15">
      <c r="J21" t="s">
        <v>225</v>
      </c>
    </row>
    <row r="22" spans="10:15">
      <c r="J22" t="s">
        <v>275</v>
      </c>
    </row>
    <row r="23" spans="10:15">
      <c r="M23" s="144" t="s">
        <v>220</v>
      </c>
      <c r="N23" s="184">
        <f>(633/488)^4</f>
        <v>2.8309718572661389</v>
      </c>
    </row>
    <row r="24" spans="10:15">
      <c r="K24" s="45"/>
      <c r="L24" s="45"/>
      <c r="M24" s="144" t="s">
        <v>221</v>
      </c>
      <c r="N24" s="184">
        <f>(633/488)^4.17</f>
        <v>2.9589853367577508</v>
      </c>
    </row>
    <row r="25" spans="10:15">
      <c r="M25" t="s">
        <v>276</v>
      </c>
      <c r="N25" s="146">
        <f>100*(N24-N23)/N24</f>
        <v>4.3262627192292928</v>
      </c>
      <c r="O25" t="s">
        <v>224</v>
      </c>
    </row>
    <row r="27" spans="10:15">
      <c r="N27" s="140"/>
    </row>
    <row r="28" spans="10:15">
      <c r="N28" s="140"/>
    </row>
  </sheetData>
  <phoneticPr fontId="11" type="noConversion"/>
  <pageMargins left="0.7" right="0.7" top="0.75" bottom="0.75" header="0.3" footer="0.3"/>
  <pageSetup orientation="portrait" horizontalDpi="4294967293" verticalDpi="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B7315-58B4-4EF6-A556-D81894BFE3BF}">
  <dimension ref="A1:K29"/>
  <sheetViews>
    <sheetView zoomScale="70" zoomScaleNormal="70" workbookViewId="0">
      <selection activeCell="A41" sqref="A41"/>
    </sheetView>
  </sheetViews>
  <sheetFormatPr defaultRowHeight="14.25"/>
  <cols>
    <col min="1" max="1" width="22.73046875" customWidth="1"/>
    <col min="2" max="2" width="9.06640625" customWidth="1"/>
    <col min="3" max="3" width="16.6640625" customWidth="1"/>
  </cols>
  <sheetData>
    <row r="1" spans="1:11">
      <c r="A1" s="216" t="s">
        <v>313</v>
      </c>
      <c r="B1" s="132"/>
      <c r="C1" s="132"/>
      <c r="D1" s="132"/>
      <c r="E1" s="132"/>
      <c r="F1" s="132"/>
      <c r="G1" s="132"/>
      <c r="H1" s="132"/>
      <c r="I1" s="132"/>
      <c r="J1" s="132"/>
      <c r="K1" s="132"/>
    </row>
    <row r="2" spans="1:11">
      <c r="A2" s="214" t="s">
        <v>295</v>
      </c>
      <c r="B2" s="212" t="s">
        <v>293</v>
      </c>
      <c r="C2" s="212"/>
      <c r="D2" s="212"/>
      <c r="E2" s="212"/>
      <c r="F2" s="212"/>
      <c r="G2" s="212"/>
      <c r="H2" s="212"/>
      <c r="I2" s="212"/>
      <c r="J2" s="212"/>
      <c r="K2" s="212"/>
    </row>
    <row r="3" spans="1:11">
      <c r="A3" s="214" t="s">
        <v>296</v>
      </c>
      <c r="B3" s="212" t="s">
        <v>114</v>
      </c>
      <c r="C3" s="212"/>
      <c r="D3" s="212"/>
      <c r="E3" s="212"/>
      <c r="F3" s="212"/>
      <c r="G3" s="212"/>
      <c r="H3" s="212"/>
      <c r="I3" s="212"/>
      <c r="J3" s="212"/>
      <c r="K3" s="212"/>
    </row>
    <row r="4" spans="1:11">
      <c r="A4" s="214" t="s">
        <v>297</v>
      </c>
      <c r="B4" s="212" t="s">
        <v>294</v>
      </c>
      <c r="C4" s="212"/>
      <c r="D4" s="212"/>
      <c r="E4" s="212"/>
      <c r="F4" s="212"/>
      <c r="G4" s="212"/>
      <c r="H4" s="212"/>
      <c r="I4" s="212"/>
      <c r="J4" s="212"/>
      <c r="K4" s="212"/>
    </row>
    <row r="5" spans="1:11">
      <c r="A5" s="214" t="s">
        <v>298</v>
      </c>
      <c r="B5" s="212">
        <v>0.91800000000000004</v>
      </c>
      <c r="C5" s="212" t="s">
        <v>266</v>
      </c>
      <c r="D5" s="212"/>
      <c r="E5" s="212"/>
      <c r="F5" s="212"/>
      <c r="G5" s="212"/>
      <c r="H5" s="212"/>
      <c r="I5" s="212"/>
      <c r="J5" s="212"/>
      <c r="K5" s="212"/>
    </row>
    <row r="6" spans="1:11">
      <c r="A6" s="214" t="s">
        <v>306</v>
      </c>
      <c r="B6" s="212" t="s">
        <v>301</v>
      </c>
      <c r="C6" s="212"/>
      <c r="D6" s="212"/>
      <c r="E6" s="212"/>
      <c r="F6" s="212"/>
      <c r="G6" s="212"/>
      <c r="H6" s="212"/>
      <c r="I6" s="212"/>
      <c r="J6" s="212"/>
      <c r="K6" s="212"/>
    </row>
    <row r="7" spans="1:11">
      <c r="A7" s="214" t="s">
        <v>305</v>
      </c>
      <c r="B7" s="212">
        <v>0.86</v>
      </c>
      <c r="C7" s="212" t="s">
        <v>266</v>
      </c>
      <c r="D7" s="212"/>
      <c r="E7" s="212"/>
      <c r="F7" s="212"/>
      <c r="G7" s="212"/>
      <c r="H7" s="212"/>
      <c r="I7" s="212"/>
      <c r="J7" s="212"/>
      <c r="K7" s="212"/>
    </row>
    <row r="8" spans="1:11">
      <c r="A8" s="214" t="s">
        <v>307</v>
      </c>
      <c r="B8" s="212" t="s">
        <v>301</v>
      </c>
      <c r="C8" s="212"/>
      <c r="D8" s="212"/>
      <c r="E8" s="212"/>
      <c r="F8" s="212"/>
      <c r="G8" s="212"/>
      <c r="H8" s="212"/>
      <c r="I8" s="212"/>
      <c r="J8" s="212"/>
      <c r="K8" s="212"/>
    </row>
    <row r="9" spans="1:11" ht="15.75">
      <c r="A9" s="214" t="s">
        <v>308</v>
      </c>
      <c r="B9" s="212">
        <v>25</v>
      </c>
      <c r="C9" s="212" t="s">
        <v>309</v>
      </c>
      <c r="D9" s="212"/>
      <c r="E9" s="212"/>
      <c r="F9" s="212"/>
      <c r="G9" s="212"/>
      <c r="H9" s="212"/>
      <c r="I9" s="212"/>
      <c r="J9" s="212"/>
      <c r="K9" s="212"/>
    </row>
    <row r="10" spans="1:11">
      <c r="A10" s="67"/>
      <c r="C10" s="67" t="s">
        <v>302</v>
      </c>
      <c r="D10" s="67" t="s">
        <v>288</v>
      </c>
      <c r="E10" s="67" t="s">
        <v>171</v>
      </c>
      <c r="F10" s="67" t="s">
        <v>172</v>
      </c>
      <c r="G10" s="67" t="s">
        <v>173</v>
      </c>
      <c r="H10" s="67" t="s">
        <v>174</v>
      </c>
      <c r="I10" s="67" t="s">
        <v>175</v>
      </c>
      <c r="J10" s="67" t="s">
        <v>176</v>
      </c>
      <c r="K10" s="67" t="s">
        <v>177</v>
      </c>
    </row>
    <row r="11" spans="1:11">
      <c r="A11" s="67"/>
      <c r="C11" s="67" t="s">
        <v>299</v>
      </c>
      <c r="D11">
        <v>1</v>
      </c>
      <c r="E11">
        <v>2</v>
      </c>
      <c r="F11">
        <v>3</v>
      </c>
      <c r="G11">
        <v>4</v>
      </c>
      <c r="H11">
        <v>0</v>
      </c>
      <c r="I11">
        <v>0</v>
      </c>
      <c r="J11">
        <v>0</v>
      </c>
      <c r="K11">
        <v>0</v>
      </c>
    </row>
    <row r="12" spans="1:11">
      <c r="A12" s="67"/>
      <c r="C12" s="67" t="s">
        <v>300</v>
      </c>
      <c r="D12">
        <v>10</v>
      </c>
      <c r="E12">
        <v>10</v>
      </c>
      <c r="F12">
        <v>10</v>
      </c>
      <c r="G12">
        <v>10</v>
      </c>
      <c r="H12">
        <v>10</v>
      </c>
      <c r="I12">
        <v>10</v>
      </c>
      <c r="J12">
        <v>10</v>
      </c>
      <c r="K12">
        <v>10</v>
      </c>
    </row>
    <row r="13" spans="1:11">
      <c r="A13" s="67"/>
      <c r="C13" s="67"/>
    </row>
    <row r="14" spans="1:11">
      <c r="A14" s="67"/>
      <c r="C14" s="67" t="s">
        <v>289</v>
      </c>
      <c r="D14">
        <v>12.9162</v>
      </c>
      <c r="E14">
        <v>12.8436</v>
      </c>
      <c r="F14">
        <v>13.0953</v>
      </c>
      <c r="G14">
        <v>13.0998</v>
      </c>
      <c r="H14">
        <v>0</v>
      </c>
      <c r="I14">
        <v>0</v>
      </c>
      <c r="J14">
        <v>0</v>
      </c>
      <c r="K14">
        <v>0</v>
      </c>
    </row>
    <row r="15" spans="1:11">
      <c r="A15" s="67"/>
      <c r="C15" s="215" t="s">
        <v>290</v>
      </c>
      <c r="D15">
        <v>12.949199999999999</v>
      </c>
      <c r="E15">
        <v>12.902900000000001</v>
      </c>
      <c r="F15">
        <v>13.184799999999999</v>
      </c>
      <c r="G15">
        <v>13.2256</v>
      </c>
      <c r="H15">
        <v>0</v>
      </c>
      <c r="I15">
        <v>0</v>
      </c>
      <c r="J15">
        <v>0</v>
      </c>
      <c r="K15">
        <v>0</v>
      </c>
    </row>
    <row r="16" spans="1:11">
      <c r="A16" s="67"/>
      <c r="C16" s="67" t="s">
        <v>291</v>
      </c>
      <c r="D16">
        <v>23.834199999999999</v>
      </c>
      <c r="E16">
        <v>23.419599999999999</v>
      </c>
      <c r="F16">
        <v>22.528600000000001</v>
      </c>
      <c r="G16">
        <v>23.6966</v>
      </c>
      <c r="H16">
        <v>0</v>
      </c>
      <c r="I16">
        <v>0</v>
      </c>
      <c r="J16">
        <v>0</v>
      </c>
      <c r="K16">
        <v>0</v>
      </c>
    </row>
    <row r="17" spans="1:11">
      <c r="A17" s="67"/>
      <c r="C17" s="67" t="s">
        <v>303</v>
      </c>
      <c r="D17">
        <f>D15-D14</f>
        <v>3.2999999999999474E-2</v>
      </c>
      <c r="E17">
        <f t="shared" ref="E17:K17" si="0">E15-E14</f>
        <v>5.9300000000000352E-2</v>
      </c>
      <c r="F17">
        <f t="shared" si="0"/>
        <v>8.9499999999999247E-2</v>
      </c>
      <c r="G17">
        <f t="shared" si="0"/>
        <v>0.12579999999999991</v>
      </c>
      <c r="H17">
        <f t="shared" si="0"/>
        <v>0</v>
      </c>
      <c r="I17">
        <f t="shared" si="0"/>
        <v>0</v>
      </c>
      <c r="J17">
        <f t="shared" si="0"/>
        <v>0</v>
      </c>
      <c r="K17">
        <f t="shared" si="0"/>
        <v>0</v>
      </c>
    </row>
    <row r="18" spans="1:11">
      <c r="A18" s="67"/>
      <c r="C18" s="67" t="s">
        <v>304</v>
      </c>
      <c r="D18">
        <f>D16-D15</f>
        <v>10.885</v>
      </c>
      <c r="E18">
        <f t="shared" ref="E18:K18" si="1">E16-E15</f>
        <v>10.516699999999998</v>
      </c>
      <c r="F18">
        <f t="shared" si="1"/>
        <v>9.3438000000000017</v>
      </c>
      <c r="G18">
        <f t="shared" si="1"/>
        <v>10.471</v>
      </c>
      <c r="H18">
        <f t="shared" si="1"/>
        <v>0</v>
      </c>
      <c r="I18">
        <f t="shared" si="1"/>
        <v>0</v>
      </c>
      <c r="J18">
        <f t="shared" si="1"/>
        <v>0</v>
      </c>
      <c r="K18">
        <f t="shared" si="1"/>
        <v>0</v>
      </c>
    </row>
    <row r="19" spans="1:11" ht="15.75">
      <c r="A19" s="67"/>
      <c r="C19" s="67" t="s">
        <v>310</v>
      </c>
      <c r="D19" s="39">
        <f t="shared" ref="D19:K19" si="2">D17/(D17*v2bar+D18/Dens1)</f>
        <v>2.6010322208282468E-3</v>
      </c>
      <c r="E19" s="39">
        <f t="shared" si="2"/>
        <v>4.8277485648007294E-3</v>
      </c>
      <c r="F19" s="39">
        <f t="shared" si="2"/>
        <v>8.1757225152172316E-3</v>
      </c>
      <c r="G19" s="39">
        <f t="shared" si="2"/>
        <v>1.0235076607238155E-2</v>
      </c>
      <c r="H19" s="39" t="e">
        <f t="shared" si="2"/>
        <v>#DIV/0!</v>
      </c>
      <c r="I19" s="39" t="e">
        <f t="shared" si="2"/>
        <v>#DIV/0!</v>
      </c>
      <c r="J19" s="39" t="e">
        <f t="shared" si="2"/>
        <v>#DIV/0!</v>
      </c>
      <c r="K19" s="39" t="e">
        <f t="shared" si="2"/>
        <v>#DIV/0!</v>
      </c>
    </row>
    <row r="20" spans="1:11">
      <c r="A20" s="213" t="s">
        <v>311</v>
      </c>
      <c r="C20" s="212" t="s">
        <v>312</v>
      </c>
      <c r="D20" s="212"/>
      <c r="E20" s="212"/>
      <c r="F20" s="212"/>
      <c r="G20" s="212"/>
      <c r="H20" s="212"/>
      <c r="I20" s="212"/>
      <c r="J20" s="212"/>
      <c r="K20" s="212"/>
    </row>
    <row r="21" spans="1:11">
      <c r="A21" s="213"/>
      <c r="C21" s="212" t="s">
        <v>292</v>
      </c>
      <c r="D21" s="212"/>
      <c r="E21" s="212"/>
      <c r="F21" s="212"/>
      <c r="G21" s="212"/>
      <c r="H21" s="212"/>
      <c r="I21" s="212"/>
      <c r="J21" s="212"/>
      <c r="K21" s="212"/>
    </row>
    <row r="22" spans="1:11">
      <c r="A22" s="213"/>
      <c r="C22" s="212"/>
      <c r="D22" s="212"/>
      <c r="E22" s="212"/>
      <c r="F22" s="212"/>
      <c r="G22" s="212"/>
      <c r="H22" s="212"/>
      <c r="I22" s="212"/>
      <c r="J22" s="212"/>
      <c r="K22" s="212"/>
    </row>
    <row r="23" spans="1:11">
      <c r="A23" s="213"/>
      <c r="C23" s="212"/>
      <c r="D23" s="212"/>
      <c r="E23" s="212"/>
      <c r="F23" s="212"/>
      <c r="G23" s="212"/>
      <c r="H23" s="212"/>
      <c r="I23" s="212"/>
      <c r="J23" s="212"/>
      <c r="K23" s="212"/>
    </row>
    <row r="24" spans="1:11">
      <c r="A24" s="67"/>
    </row>
    <row r="25" spans="1:11">
      <c r="A25" s="213" t="s">
        <v>314</v>
      </c>
      <c r="B25" s="132"/>
      <c r="C25" s="132"/>
      <c r="D25" s="132"/>
      <c r="E25" s="132"/>
      <c r="F25" s="132"/>
    </row>
    <row r="26" spans="1:11">
      <c r="C26" s="212" t="s">
        <v>316</v>
      </c>
      <c r="D26" s="212"/>
      <c r="E26" s="212"/>
      <c r="F26" s="212"/>
      <c r="G26" s="212"/>
      <c r="H26" s="212"/>
      <c r="I26" s="212"/>
      <c r="J26" s="212"/>
      <c r="K26" s="212"/>
    </row>
    <row r="27" spans="1:11">
      <c r="A27" s="67"/>
      <c r="C27" s="212"/>
      <c r="D27" s="212"/>
      <c r="E27" s="212"/>
      <c r="F27" s="212"/>
      <c r="G27" s="212"/>
      <c r="H27" s="212"/>
      <c r="I27" s="212"/>
      <c r="J27" s="212"/>
      <c r="K27" s="212"/>
    </row>
    <row r="28" spans="1:11" ht="16.5">
      <c r="A28" s="67"/>
      <c r="C28" s="67" t="s">
        <v>315</v>
      </c>
      <c r="D28">
        <f>D19</f>
        <v>2.6010322208282468E-3</v>
      </c>
      <c r="E28">
        <f t="shared" ref="E28:K28" si="3">E19</f>
        <v>4.8277485648007294E-3</v>
      </c>
      <c r="F28">
        <f t="shared" si="3"/>
        <v>8.1757225152172316E-3</v>
      </c>
      <c r="G28">
        <f t="shared" si="3"/>
        <v>1.0235076607238155E-2</v>
      </c>
      <c r="H28" t="e">
        <f t="shared" si="3"/>
        <v>#DIV/0!</v>
      </c>
      <c r="I28" t="e">
        <f t="shared" si="3"/>
        <v>#DIV/0!</v>
      </c>
      <c r="J28" t="e">
        <f t="shared" si="3"/>
        <v>#DIV/0!</v>
      </c>
      <c r="K28" t="e">
        <f t="shared" si="3"/>
        <v>#DIV/0!</v>
      </c>
    </row>
    <row r="29" spans="1:11">
      <c r="A29" s="67"/>
    </row>
  </sheetData>
  <hyperlinks>
    <hyperlink ref="B6" r:id="rId1" xr:uid="{7FE424C4-1025-4234-B30F-C3FB858C98DA}"/>
    <hyperlink ref="B8" r:id="rId2" xr:uid="{393D1177-92C8-4BA5-8E1A-0AB72D50BF0F}"/>
  </hyperlinks>
  <pageMargins left="0.7" right="0.7" top="0.75" bottom="0.75" header="0.3" footer="0.3"/>
  <pageSetup orientation="portrait" horizontalDpi="4294967293" verticalDpi="0"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Z32"/>
  <sheetViews>
    <sheetView topLeftCell="B1" zoomScale="64" zoomScaleNormal="100" workbookViewId="0">
      <selection activeCell="Q10" sqref="Q10"/>
    </sheetView>
  </sheetViews>
  <sheetFormatPr defaultRowHeight="14.25"/>
  <cols>
    <col min="2" max="2" width="13.73046875" customWidth="1"/>
    <col min="3" max="3" width="8.86328125" customWidth="1"/>
    <col min="4" max="4" width="8.59765625" customWidth="1"/>
    <col min="5" max="5" width="13.796875" customWidth="1"/>
    <col min="6" max="6" width="2.46484375" customWidth="1"/>
    <col min="7" max="7" width="12.3984375" customWidth="1"/>
    <col min="8" max="8" width="13.265625" customWidth="1"/>
    <col min="9" max="9" width="14.59765625" customWidth="1"/>
    <col min="10" max="10" width="4" customWidth="1"/>
    <col min="11" max="11" width="12.73046875" customWidth="1"/>
    <col min="12" max="12" width="16.86328125" customWidth="1"/>
    <col min="13" max="13" width="7.86328125" customWidth="1"/>
    <col min="14" max="14" width="10.265625" customWidth="1"/>
    <col min="15" max="15" width="12.1328125" customWidth="1"/>
    <col min="16" max="16" width="0.86328125" customWidth="1"/>
    <col min="17" max="17" width="12.3984375" customWidth="1"/>
    <col min="19" max="19" width="0.73046875" customWidth="1"/>
    <col min="20" max="20" width="13.265625" customWidth="1"/>
    <col min="21" max="21" width="11.3984375" customWidth="1"/>
    <col min="22" max="22" width="25.59765625" customWidth="1"/>
    <col min="23" max="23" width="9.06640625" customWidth="1"/>
    <col min="25" max="25" width="15" customWidth="1"/>
  </cols>
  <sheetData>
    <row r="1" spans="2:26" ht="14.65" thickBot="1"/>
    <row r="2" spans="2:26" ht="14.65" thickBot="1">
      <c r="B2" s="6" t="s">
        <v>24</v>
      </c>
      <c r="C2" s="6"/>
      <c r="D2" s="55"/>
      <c r="E2" s="125" t="s">
        <v>84</v>
      </c>
    </row>
    <row r="3" spans="2:26" ht="14.65" thickBot="1">
      <c r="B3" s="6" t="s">
        <v>18</v>
      </c>
      <c r="C3" s="6"/>
      <c r="D3" s="55"/>
      <c r="E3" s="125" t="s">
        <v>123</v>
      </c>
      <c r="H3" s="11"/>
      <c r="I3" s="11"/>
    </row>
    <row r="4" spans="2:26" ht="14.65" thickBot="1">
      <c r="B4" s="6" t="s">
        <v>55</v>
      </c>
      <c r="C4" s="1"/>
      <c r="D4" s="39"/>
      <c r="E4" s="44" t="s">
        <v>25</v>
      </c>
      <c r="F4" s="12"/>
      <c r="I4" s="11"/>
      <c r="J4" s="11"/>
    </row>
    <row r="5" spans="2:26" ht="15" thickBot="1">
      <c r="B5" s="6" t="s">
        <v>17</v>
      </c>
      <c r="C5" s="7" t="s">
        <v>16</v>
      </c>
      <c r="D5" s="7"/>
      <c r="E5" s="1"/>
      <c r="F5" s="11"/>
    </row>
    <row r="6" spans="2:26" ht="14.65" thickBot="1">
      <c r="B6" s="1"/>
      <c r="C6" s="5" t="s">
        <v>5</v>
      </c>
      <c r="D6" s="56"/>
      <c r="E6" s="17" t="s">
        <v>6</v>
      </c>
      <c r="F6" s="127" t="s">
        <v>7</v>
      </c>
      <c r="G6" s="42">
        <v>1.4999999999999999E-2</v>
      </c>
      <c r="H6" s="14"/>
      <c r="I6" s="1" t="s">
        <v>56</v>
      </c>
      <c r="J6" s="1"/>
    </row>
    <row r="7" spans="2:26" ht="16.149999999999999" thickBot="1">
      <c r="B7" s="1"/>
      <c r="C7" s="5" t="s">
        <v>10</v>
      </c>
      <c r="D7" s="5"/>
      <c r="E7" s="1"/>
      <c r="F7" s="18"/>
      <c r="G7" s="43">
        <v>4.9800000000000004</v>
      </c>
      <c r="H7" s="14"/>
      <c r="I7" s="1" t="s">
        <v>21</v>
      </c>
      <c r="J7" s="13"/>
      <c r="K7" s="127">
        <v>4.76</v>
      </c>
      <c r="L7" s="14" t="s">
        <v>19</v>
      </c>
    </row>
    <row r="8" spans="2:26" ht="15.75">
      <c r="B8" s="1"/>
      <c r="C8" s="5" t="s">
        <v>11</v>
      </c>
      <c r="D8" s="5"/>
      <c r="E8" s="1"/>
      <c r="F8" s="13"/>
      <c r="G8" s="43">
        <v>14.99</v>
      </c>
      <c r="H8" s="14"/>
      <c r="I8" s="1" t="s">
        <v>22</v>
      </c>
      <c r="J8" s="1"/>
      <c r="K8" s="126">
        <f>K7*SQRT(3/5)</f>
        <v>3.6870801455894608</v>
      </c>
      <c r="L8" s="1" t="s">
        <v>19</v>
      </c>
    </row>
    <row r="9" spans="2:26" ht="15.75">
      <c r="B9" s="1"/>
      <c r="C9" s="5" t="s">
        <v>12</v>
      </c>
      <c r="D9" s="5"/>
      <c r="E9" s="1"/>
      <c r="F9" s="13"/>
      <c r="G9" s="43">
        <v>-14.8</v>
      </c>
      <c r="H9" s="14"/>
      <c r="I9" s="1" t="s">
        <v>20</v>
      </c>
      <c r="J9" s="1"/>
      <c r="K9" s="10">
        <f>Lamnm/(Refin*NormStandard!K7)</f>
        <v>96.25923948174588</v>
      </c>
      <c r="L9" s="1"/>
    </row>
    <row r="10" spans="2:26" ht="15.75">
      <c r="B10" s="1"/>
      <c r="C10" s="5" t="s">
        <v>13</v>
      </c>
      <c r="D10" s="5"/>
      <c r="E10" s="1"/>
      <c r="F10" s="13"/>
      <c r="G10" s="43">
        <v>79.400000000000006</v>
      </c>
      <c r="H10" s="14"/>
      <c r="I10" s="1" t="s">
        <v>45</v>
      </c>
      <c r="J10" s="1"/>
      <c r="K10" s="9">
        <f>K8*(4*PI()*Refin/Lamnm)*SIN(RADIANS(E32/2))</f>
        <v>9.695719157686139E-2</v>
      </c>
      <c r="L10" s="1"/>
    </row>
    <row r="11" spans="2:26" ht="16.5">
      <c r="B11" s="1"/>
      <c r="C11" s="5" t="s">
        <v>14</v>
      </c>
      <c r="D11" s="5"/>
      <c r="E11" s="33"/>
      <c r="F11" s="13"/>
      <c r="G11" s="43">
        <v>4.92</v>
      </c>
      <c r="I11" s="1" t="s">
        <v>46</v>
      </c>
      <c r="J11" s="1"/>
      <c r="K11" s="8">
        <f>1-K10^2/3</f>
        <v>0.99686643433384259</v>
      </c>
      <c r="L11" s="1"/>
    </row>
    <row r="12" spans="2:26">
      <c r="O12" s="37" t="s">
        <v>47</v>
      </c>
    </row>
    <row r="13" spans="2:26" ht="15" thickBot="1">
      <c r="B13" s="6" t="s">
        <v>17</v>
      </c>
      <c r="C13" s="7" t="s">
        <v>15</v>
      </c>
      <c r="D13" s="7" t="s">
        <v>82</v>
      </c>
      <c r="E13" s="7" t="s">
        <v>36</v>
      </c>
      <c r="F13" s="13"/>
      <c r="G13" s="24" t="s">
        <v>38</v>
      </c>
      <c r="H13" s="15" t="s">
        <v>49</v>
      </c>
      <c r="I13" s="6"/>
      <c r="J13" s="34"/>
      <c r="K13" s="7" t="s">
        <v>103</v>
      </c>
      <c r="L13" s="1"/>
      <c r="M13" s="7" t="s">
        <v>23</v>
      </c>
      <c r="N13" s="36" t="s">
        <v>50</v>
      </c>
      <c r="O13" s="38" t="s">
        <v>48</v>
      </c>
    </row>
    <row r="14" spans="2:26">
      <c r="B14" s="1"/>
      <c r="C14" s="23" t="s">
        <v>37</v>
      </c>
      <c r="D14" s="57"/>
      <c r="E14">
        <v>0</v>
      </c>
      <c r="F14" s="1"/>
      <c r="G14" s="16" t="s">
        <v>0</v>
      </c>
      <c r="H14" s="6" t="s">
        <v>3</v>
      </c>
      <c r="I14" s="6" t="s">
        <v>26</v>
      </c>
      <c r="J14" s="34"/>
      <c r="K14" s="6" t="s">
        <v>3</v>
      </c>
      <c r="L14" s="6" t="s">
        <v>4</v>
      </c>
      <c r="M14" s="1"/>
      <c r="N14" s="6">
        <f>1-((4*PI()*Refin*SIN(RADIANS(E14/2)/Lamnm)*Rgyration)^2/3)</f>
        <v>1</v>
      </c>
      <c r="O14" s="16">
        <v>1</v>
      </c>
      <c r="Q14" s="27" t="s">
        <v>229</v>
      </c>
      <c r="R14" s="28"/>
      <c r="S14" s="11"/>
      <c r="T14" s="27" t="s">
        <v>51</v>
      </c>
      <c r="U14" s="28"/>
    </row>
    <row r="15" spans="2:26">
      <c r="B15" s="1"/>
      <c r="C15" s="5">
        <v>1</v>
      </c>
      <c r="D15" s="5">
        <v>1</v>
      </c>
      <c r="E15" s="1">
        <v>22.5</v>
      </c>
      <c r="F15" s="1"/>
      <c r="G15" s="2" t="s">
        <v>2</v>
      </c>
      <c r="H15" s="2">
        <f>(1.03+1.031+1.035+1.039)/4</f>
        <v>1.0337499999999999</v>
      </c>
      <c r="I15" s="4"/>
      <c r="J15" s="35"/>
      <c r="K15" s="2">
        <v>0.02</v>
      </c>
      <c r="L15" s="4"/>
      <c r="M15" s="2">
        <f>H15+I15-K15-L15</f>
        <v>1.0137499999999999</v>
      </c>
      <c r="N15" s="2">
        <f>1-((4*PI()*Refin*SIN(RADIANS(E15/2)/Lamnm)*Rgyration)^2/3)</f>
        <v>0.9998685911424352</v>
      </c>
      <c r="O15" s="25">
        <f>N15/M15</f>
        <v>0.98630687165714948</v>
      </c>
      <c r="Q15" s="29" t="s">
        <v>35</v>
      </c>
      <c r="R15" s="30"/>
      <c r="S15" s="11"/>
      <c r="T15" s="29" t="s">
        <v>35</v>
      </c>
      <c r="U15" s="30"/>
      <c r="W15" t="s">
        <v>268</v>
      </c>
      <c r="Y15" t="s">
        <v>269</v>
      </c>
    </row>
    <row r="16" spans="2:26">
      <c r="B16" s="1"/>
      <c r="C16" s="5">
        <v>2</v>
      </c>
      <c r="D16" s="5">
        <v>2</v>
      </c>
      <c r="E16" s="1">
        <v>28</v>
      </c>
      <c r="F16" s="1"/>
      <c r="G16" s="2" t="s">
        <v>2</v>
      </c>
      <c r="H16" s="2">
        <f>(0.715+0.694+0.692+0.694)/4</f>
        <v>0.69874999999999998</v>
      </c>
      <c r="I16" s="4"/>
      <c r="J16" s="35"/>
      <c r="K16" s="2">
        <v>0.06</v>
      </c>
      <c r="L16" s="4"/>
      <c r="M16" s="2">
        <f>H16+I16-K16-L16</f>
        <v>0.63874999999999993</v>
      </c>
      <c r="N16" s="2">
        <f>1-((4*PI()*Refin*SIN(RADIANS(E16/2)/Lamnm)*Rgyration)^2/3)</f>
        <v>0.99979649473030563</v>
      </c>
      <c r="O16" s="25">
        <f>N16/M16</f>
        <v>1.5652391306932381</v>
      </c>
      <c r="Q16" s="19" t="s">
        <v>27</v>
      </c>
      <c r="R16" s="20">
        <v>261.94101000000001</v>
      </c>
      <c r="T16" s="19" t="s">
        <v>27</v>
      </c>
      <c r="U16" s="20">
        <v>1.9109</v>
      </c>
      <c r="W16" t="s">
        <v>27</v>
      </c>
      <c r="X16">
        <v>489.13528000000002</v>
      </c>
      <c r="Y16" t="s">
        <v>27</v>
      </c>
      <c r="Z16">
        <v>2.2986800000000001</v>
      </c>
    </row>
    <row r="17" spans="2:26">
      <c r="B17" s="1"/>
      <c r="C17" s="5">
        <v>3</v>
      </c>
      <c r="D17" s="5">
        <v>3</v>
      </c>
      <c r="E17" s="1">
        <v>32</v>
      </c>
      <c r="F17" s="1"/>
      <c r="G17" s="2" t="s">
        <v>2</v>
      </c>
      <c r="H17" s="2">
        <f>(0.85+0.856+0.845+0.849)/4</f>
        <v>0.85000000000000009</v>
      </c>
      <c r="I17" s="4"/>
      <c r="J17" s="35"/>
      <c r="K17" s="2">
        <v>1.4999999999999999E-2</v>
      </c>
      <c r="L17" s="4"/>
      <c r="M17" s="2">
        <f>H17+I17-K17-L17</f>
        <v>0.83500000000000008</v>
      </c>
      <c r="N17" s="2">
        <f>1-((4*PI()*Refin*SIN(RADIANS(E17/2)/Lamnm)*Rgyration)^2/3)</f>
        <v>0.99973419720221768</v>
      </c>
      <c r="O17" s="25">
        <f t="shared" ref="O17:O32" si="0">N17/M17</f>
        <v>1.1972864637152307</v>
      </c>
      <c r="Q17" s="19" t="s">
        <v>28</v>
      </c>
      <c r="R17" s="20">
        <v>872.99010999999996</v>
      </c>
      <c r="T17" s="19" t="s">
        <v>28</v>
      </c>
      <c r="U17" s="20">
        <v>3.1774200000000001</v>
      </c>
      <c r="W17" t="s">
        <v>28</v>
      </c>
      <c r="X17">
        <v>793.15197999999998</v>
      </c>
      <c r="Y17" t="s">
        <v>28</v>
      </c>
      <c r="Z17">
        <v>3.5894300000000001</v>
      </c>
    </row>
    <row r="18" spans="2:26">
      <c r="B18" s="1"/>
      <c r="C18" s="53">
        <v>4</v>
      </c>
      <c r="D18" s="53"/>
      <c r="E18" s="54">
        <v>38</v>
      </c>
      <c r="F18" s="54"/>
      <c r="G18" s="31" t="s">
        <v>53</v>
      </c>
      <c r="H18" s="32" t="s">
        <v>54</v>
      </c>
      <c r="I18" s="54"/>
      <c r="J18" s="54"/>
      <c r="K18" s="58" t="s">
        <v>54</v>
      </c>
      <c r="L18" s="54"/>
      <c r="M18" s="58" t="s">
        <v>54</v>
      </c>
      <c r="N18" s="32" t="s">
        <v>54</v>
      </c>
      <c r="O18" s="32" t="s">
        <v>54</v>
      </c>
      <c r="Q18" s="19" t="s">
        <v>29</v>
      </c>
      <c r="R18" s="20">
        <v>796.78638000000001</v>
      </c>
      <c r="T18" s="19" t="s">
        <v>29</v>
      </c>
      <c r="U18" s="20">
        <v>3.1847099999999999</v>
      </c>
      <c r="W18" t="s">
        <v>29</v>
      </c>
      <c r="X18">
        <v>746.47442999999998</v>
      </c>
      <c r="Y18" t="s">
        <v>29</v>
      </c>
      <c r="Z18">
        <v>1.64838</v>
      </c>
    </row>
    <row r="19" spans="2:26">
      <c r="B19" s="1"/>
      <c r="C19" s="5">
        <v>5</v>
      </c>
      <c r="D19" s="5">
        <v>4</v>
      </c>
      <c r="E19" s="1">
        <v>44</v>
      </c>
      <c r="F19" s="1"/>
      <c r="G19" s="3" t="s">
        <v>1</v>
      </c>
      <c r="H19" s="4"/>
      <c r="I19" s="3">
        <f>R16</f>
        <v>261.94101000000001</v>
      </c>
      <c r="J19" s="35"/>
      <c r="K19" s="4"/>
      <c r="L19" s="3">
        <f>U16</f>
        <v>1.9109</v>
      </c>
      <c r="M19" s="3">
        <f t="shared" ref="M19:M26" si="1">H19+I19-K19-L19</f>
        <v>260.03010999999998</v>
      </c>
      <c r="N19" s="3">
        <f t="shared" ref="N19:N26" si="2">1-((4*PI()*Refin*SIN(RADIANS(E19/2)/Lamnm)*Rgyration)^2/3)</f>
        <v>0.9994974666102372</v>
      </c>
      <c r="O19" s="26">
        <f t="shared" si="0"/>
        <v>3.8437758866088135E-3</v>
      </c>
      <c r="Q19" s="19" t="s">
        <v>30</v>
      </c>
      <c r="R19" s="20">
        <v>819.81164999999999</v>
      </c>
      <c r="T19" s="19" t="s">
        <v>30</v>
      </c>
      <c r="U19" s="20">
        <v>10.36139</v>
      </c>
      <c r="W19" t="s">
        <v>30</v>
      </c>
      <c r="X19">
        <v>666.21753000000001</v>
      </c>
      <c r="Y19" t="s">
        <v>30</v>
      </c>
      <c r="Z19">
        <v>13.620279999999999</v>
      </c>
    </row>
    <row r="20" spans="2:26">
      <c r="B20" s="1"/>
      <c r="C20" s="5">
        <v>6</v>
      </c>
      <c r="D20" s="5">
        <v>5</v>
      </c>
      <c r="E20" s="1">
        <v>50</v>
      </c>
      <c r="F20" s="1"/>
      <c r="G20" s="3" t="s">
        <v>1</v>
      </c>
      <c r="H20" s="4"/>
      <c r="I20" s="3">
        <f>R17</f>
        <v>872.99010999999996</v>
      </c>
      <c r="J20" s="35"/>
      <c r="K20" s="4"/>
      <c r="L20" s="3">
        <f>U17</f>
        <v>3.1774200000000001</v>
      </c>
      <c r="M20" s="3">
        <f t="shared" si="1"/>
        <v>869.81268999999998</v>
      </c>
      <c r="N20" s="3">
        <f t="shared" si="2"/>
        <v>0.99935106744004454</v>
      </c>
      <c r="O20" s="26">
        <f t="shared" si="0"/>
        <v>1.1489267504708911E-3</v>
      </c>
      <c r="Q20" s="19" t="s">
        <v>31</v>
      </c>
      <c r="R20" s="20">
        <v>352.52938999999998</v>
      </c>
      <c r="T20" s="19" t="s">
        <v>31</v>
      </c>
      <c r="U20" s="20">
        <v>1.2126600000000001</v>
      </c>
      <c r="W20" t="s">
        <v>31</v>
      </c>
      <c r="X20">
        <v>188.63036</v>
      </c>
      <c r="Y20" t="s">
        <v>31</v>
      </c>
      <c r="Z20">
        <v>1.24438</v>
      </c>
    </row>
    <row r="21" spans="2:26">
      <c r="B21" s="1"/>
      <c r="C21" s="5">
        <v>7</v>
      </c>
      <c r="D21" s="5">
        <v>6</v>
      </c>
      <c r="E21" s="1">
        <v>57</v>
      </c>
      <c r="F21" s="1"/>
      <c r="G21" s="2" t="s">
        <v>2</v>
      </c>
      <c r="H21" s="2">
        <v>1.161</v>
      </c>
      <c r="I21" s="4"/>
      <c r="J21" s="35"/>
      <c r="K21" s="2">
        <v>2.7E-2</v>
      </c>
      <c r="L21" s="4"/>
      <c r="M21" s="2">
        <f t="shared" si="1"/>
        <v>1.1340000000000001</v>
      </c>
      <c r="N21" s="2">
        <f t="shared" si="2"/>
        <v>0.99915664727925502</v>
      </c>
      <c r="O21" s="25">
        <f t="shared" si="0"/>
        <v>0.88109051788294079</v>
      </c>
      <c r="Q21" s="19" t="s">
        <v>32</v>
      </c>
      <c r="R21" s="20">
        <v>328.77881000000002</v>
      </c>
      <c r="T21" s="19" t="s">
        <v>32</v>
      </c>
      <c r="U21" s="20">
        <v>1.228</v>
      </c>
      <c r="W21" t="s">
        <v>32</v>
      </c>
      <c r="X21">
        <v>322.43961000000002</v>
      </c>
      <c r="Y21" t="s">
        <v>32</v>
      </c>
      <c r="Z21">
        <v>1.5229200000000001</v>
      </c>
    </row>
    <row r="22" spans="2:26">
      <c r="B22" s="1"/>
      <c r="C22" s="5">
        <v>8</v>
      </c>
      <c r="D22" s="5">
        <v>7</v>
      </c>
      <c r="E22" s="1">
        <v>64</v>
      </c>
      <c r="F22" s="1"/>
      <c r="G22" s="3" t="s">
        <v>1</v>
      </c>
      <c r="H22" s="4"/>
      <c r="I22" s="3">
        <f>R18</f>
        <v>796.78638000000001</v>
      </c>
      <c r="J22" s="35"/>
      <c r="K22" s="4"/>
      <c r="L22" s="3">
        <f>U18</f>
        <v>3.1847099999999999</v>
      </c>
      <c r="M22" s="3">
        <f t="shared" si="1"/>
        <v>793.60167000000001</v>
      </c>
      <c r="N22" s="3">
        <f t="shared" si="2"/>
        <v>0.99893678898556948</v>
      </c>
      <c r="O22" s="26">
        <f t="shared" si="0"/>
        <v>1.2587382647337038E-3</v>
      </c>
      <c r="Q22" s="19" t="s">
        <v>33</v>
      </c>
      <c r="R22" s="20">
        <v>311.91138000000001</v>
      </c>
      <c r="T22" s="19" t="s">
        <v>33</v>
      </c>
      <c r="U22" s="20">
        <v>1.7291399999999999</v>
      </c>
      <c r="W22" t="s">
        <v>33</v>
      </c>
      <c r="X22">
        <v>497.82062000000002</v>
      </c>
      <c r="Y22" t="s">
        <v>33</v>
      </c>
      <c r="Z22">
        <v>2.6058300000000001</v>
      </c>
    </row>
    <row r="23" spans="2:26" ht="14.65" thickBot="1">
      <c r="B23" s="1"/>
      <c r="C23" s="5">
        <v>9</v>
      </c>
      <c r="D23" s="5">
        <v>9</v>
      </c>
      <c r="E23" s="1">
        <v>72</v>
      </c>
      <c r="F23" s="1"/>
      <c r="G23" s="2" t="s">
        <v>2</v>
      </c>
      <c r="H23" s="2">
        <v>1.056</v>
      </c>
      <c r="I23" s="4"/>
      <c r="J23" s="35"/>
      <c r="K23" s="2">
        <v>8.9999999999999993E-3</v>
      </c>
      <c r="L23" s="4"/>
      <c r="M23" s="2">
        <f t="shared" si="1"/>
        <v>1.0470000000000002</v>
      </c>
      <c r="N23" s="2">
        <f t="shared" si="2"/>
        <v>0.99865437363906517</v>
      </c>
      <c r="O23" s="25">
        <f t="shared" si="0"/>
        <v>0.95382461665622253</v>
      </c>
      <c r="Q23" s="21" t="s">
        <v>34</v>
      </c>
      <c r="R23" s="22">
        <v>572.80609000000004</v>
      </c>
      <c r="T23" s="21" t="s">
        <v>34</v>
      </c>
      <c r="U23" s="22">
        <v>1.85985</v>
      </c>
      <c r="W23" t="s">
        <v>34</v>
      </c>
      <c r="X23">
        <v>557.64251999999999</v>
      </c>
      <c r="Y23" t="s">
        <v>34</v>
      </c>
      <c r="Z23">
        <v>2.7940999999999998</v>
      </c>
    </row>
    <row r="24" spans="2:26">
      <c r="B24" s="1"/>
      <c r="C24" s="5">
        <v>10</v>
      </c>
      <c r="D24" s="5">
        <v>9</v>
      </c>
      <c r="E24" s="1">
        <v>81</v>
      </c>
      <c r="F24" s="1"/>
      <c r="G24" s="3" t="s">
        <v>1</v>
      </c>
      <c r="H24" s="4"/>
      <c r="I24" s="3">
        <f>R19</f>
        <v>819.81164999999999</v>
      </c>
      <c r="J24" s="35"/>
      <c r="K24" s="4"/>
      <c r="L24" s="3">
        <f>U19</f>
        <v>10.36139</v>
      </c>
      <c r="M24" s="3">
        <f t="shared" si="1"/>
        <v>809.45025999999996</v>
      </c>
      <c r="N24" s="3">
        <f t="shared" si="2"/>
        <v>0.9982969417638109</v>
      </c>
      <c r="O24" s="26">
        <f t="shared" si="0"/>
        <v>1.2333023918774341E-3</v>
      </c>
    </row>
    <row r="25" spans="2:26">
      <c r="B25" s="1"/>
      <c r="C25" s="5">
        <v>11</v>
      </c>
      <c r="D25" s="5">
        <v>10</v>
      </c>
      <c r="E25" s="1">
        <v>90</v>
      </c>
      <c r="F25" s="1"/>
      <c r="G25" s="2" t="s">
        <v>2</v>
      </c>
      <c r="H25" s="2">
        <v>0.94799999999999995</v>
      </c>
      <c r="I25" s="4"/>
      <c r="J25" s="35"/>
      <c r="K25" s="2">
        <v>7.0000000000000001E-3</v>
      </c>
      <c r="L25" s="4"/>
      <c r="M25" s="2">
        <f t="shared" si="1"/>
        <v>0.94099999999999995</v>
      </c>
      <c r="N25" s="2">
        <f t="shared" si="2"/>
        <v>0.99789745914272321</v>
      </c>
      <c r="O25" s="25">
        <f t="shared" si="0"/>
        <v>1.0604648875055507</v>
      </c>
    </row>
    <row r="26" spans="2:26">
      <c r="B26" s="1"/>
      <c r="C26" s="5">
        <v>12</v>
      </c>
      <c r="D26" s="5">
        <v>11</v>
      </c>
      <c r="E26" s="1">
        <v>99</v>
      </c>
      <c r="F26" s="1"/>
      <c r="G26" s="3" t="s">
        <v>1</v>
      </c>
      <c r="H26" s="4"/>
      <c r="I26" s="3">
        <f>R20</f>
        <v>352.52938999999998</v>
      </c>
      <c r="J26" s="35"/>
      <c r="K26" s="4"/>
      <c r="L26" s="3">
        <f>U20</f>
        <v>1.2126600000000001</v>
      </c>
      <c r="M26" s="3">
        <f t="shared" si="1"/>
        <v>351.31672999999995</v>
      </c>
      <c r="N26" s="3">
        <f t="shared" si="2"/>
        <v>0.99745592579680853</v>
      </c>
      <c r="O26" s="26">
        <f t="shared" si="0"/>
        <v>2.8391927870807881E-3</v>
      </c>
    </row>
    <row r="27" spans="2:26">
      <c r="B27" s="1"/>
      <c r="C27" s="53">
        <v>13</v>
      </c>
      <c r="D27" s="53"/>
      <c r="E27" s="54">
        <v>108</v>
      </c>
      <c r="F27" s="54"/>
      <c r="G27" s="31" t="s">
        <v>53</v>
      </c>
      <c r="H27" s="58" t="s">
        <v>54</v>
      </c>
      <c r="I27" s="54"/>
      <c r="J27" s="54"/>
      <c r="K27" s="58" t="s">
        <v>54</v>
      </c>
      <c r="L27" s="54"/>
      <c r="M27" s="58" t="s">
        <v>54</v>
      </c>
      <c r="N27" s="32" t="s">
        <v>54</v>
      </c>
      <c r="O27" s="32" t="s">
        <v>54</v>
      </c>
    </row>
    <row r="28" spans="2:26">
      <c r="B28" s="1"/>
      <c r="C28" s="5">
        <v>14</v>
      </c>
      <c r="D28" s="5">
        <v>12</v>
      </c>
      <c r="E28" s="1">
        <v>117</v>
      </c>
      <c r="F28" s="1"/>
      <c r="G28" s="3" t="s">
        <v>1</v>
      </c>
      <c r="H28" s="4"/>
      <c r="I28" s="3">
        <f>R21</f>
        <v>328.77881000000002</v>
      </c>
      <c r="J28" s="35"/>
      <c r="K28" s="4"/>
      <c r="L28" s="3">
        <f>U21</f>
        <v>1.228</v>
      </c>
      <c r="M28" s="3">
        <f>H28+I28-K28-L28</f>
        <v>327.55081000000001</v>
      </c>
      <c r="N28" s="3">
        <f>1-((4*PI()*Refin*SIN(RADIANS(E28/2)/Lamnm)*Rgyration)^2/3)</f>
        <v>0.99644670702558136</v>
      </c>
      <c r="O28" s="26">
        <f t="shared" si="0"/>
        <v>3.0421133961646479E-3</v>
      </c>
    </row>
    <row r="29" spans="2:26">
      <c r="B29" s="1"/>
      <c r="C29" s="5">
        <v>15</v>
      </c>
      <c r="D29" s="5">
        <v>13</v>
      </c>
      <c r="E29" s="1">
        <v>126</v>
      </c>
      <c r="F29" s="1"/>
      <c r="G29" s="2" t="s">
        <v>2</v>
      </c>
      <c r="H29" s="2">
        <v>1.216</v>
      </c>
      <c r="I29" s="4"/>
      <c r="J29" s="35"/>
      <c r="K29" s="2">
        <v>1.7000000000000001E-2</v>
      </c>
      <c r="L29" s="4"/>
      <c r="M29" s="2">
        <f>H29+I29-K29-L29</f>
        <v>1.1990000000000001</v>
      </c>
      <c r="N29" s="2">
        <f>1-((4*PI()*Refin*SIN(RADIANS(E29/2)/Lamnm)*Rgyration)^2/3)</f>
        <v>0.99587902165333808</v>
      </c>
      <c r="O29" s="25">
        <f t="shared" si="0"/>
        <v>0.83059134416458547</v>
      </c>
    </row>
    <row r="30" spans="2:26">
      <c r="B30" s="1"/>
      <c r="C30" s="5">
        <v>16</v>
      </c>
      <c r="D30" s="5">
        <v>14</v>
      </c>
      <c r="E30" s="1">
        <v>134</v>
      </c>
      <c r="F30" s="1"/>
      <c r="G30" s="3" t="s">
        <v>1</v>
      </c>
      <c r="H30" s="4"/>
      <c r="I30" s="3">
        <f>R22</f>
        <v>311.91138000000001</v>
      </c>
      <c r="J30" s="35"/>
      <c r="K30" s="4"/>
      <c r="L30" s="3">
        <f>U22</f>
        <v>1.7291399999999999</v>
      </c>
      <c r="M30" s="3">
        <f>H30+I30-K30-L30</f>
        <v>310.18224000000004</v>
      </c>
      <c r="N30" s="3">
        <f>1-((4*PI()*Refin*SIN(RADIANS(E30/2)/Lamnm)*Rgyration)^2/3)</f>
        <v>0.99533911067862813</v>
      </c>
      <c r="O30" s="26">
        <f t="shared" si="0"/>
        <v>3.2088849144897144E-3</v>
      </c>
    </row>
    <row r="31" spans="2:26">
      <c r="B31" s="1"/>
      <c r="C31" s="5">
        <v>17</v>
      </c>
      <c r="D31" s="5">
        <v>15</v>
      </c>
      <c r="E31" s="1">
        <v>141</v>
      </c>
      <c r="F31" s="1"/>
      <c r="G31" s="2" t="s">
        <v>2</v>
      </c>
      <c r="H31" s="2">
        <v>0.66700000000000004</v>
      </c>
      <c r="I31" s="4"/>
      <c r="J31" s="35"/>
      <c r="K31" s="2">
        <v>1.2E-2</v>
      </c>
      <c r="L31" s="4"/>
      <c r="M31" s="2">
        <f>H31+I31-K31-L31</f>
        <v>0.65500000000000003</v>
      </c>
      <c r="N31" s="2">
        <f>1-((4*PI()*Refin*SIN(RADIANS(E31/2)/Lamnm)*Rgyration)^2/3)</f>
        <v>0.99483943356270155</v>
      </c>
      <c r="O31" s="25">
        <f>N31/M31</f>
        <v>1.5188388298667199</v>
      </c>
    </row>
    <row r="32" spans="2:26">
      <c r="B32" s="1"/>
      <c r="C32" s="5">
        <v>18</v>
      </c>
      <c r="D32" s="5">
        <v>16</v>
      </c>
      <c r="E32" s="1">
        <v>147</v>
      </c>
      <c r="F32" s="1"/>
      <c r="G32" s="3" t="s">
        <v>1</v>
      </c>
      <c r="H32" s="4"/>
      <c r="I32" s="3">
        <f>R23</f>
        <v>572.80609000000004</v>
      </c>
      <c r="J32" s="35"/>
      <c r="K32" s="4"/>
      <c r="L32" s="3">
        <f>U23</f>
        <v>1.85985</v>
      </c>
      <c r="M32" s="3">
        <f>H32+I32-K32-L32</f>
        <v>570.94623999999999</v>
      </c>
      <c r="N32" s="3">
        <f>1-((4*PI()*Refin*SIN(RADIANS(E32/2)/Lamnm)*Rgyration)^2/3)</f>
        <v>0.99439089232338562</v>
      </c>
      <c r="O32" s="26">
        <f t="shared" si="0"/>
        <v>1.7416541570067711E-3</v>
      </c>
    </row>
  </sheetData>
  <phoneticPr fontId="11" type="noConversion"/>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X32"/>
  <sheetViews>
    <sheetView topLeftCell="B1" zoomScale="67" zoomScaleNormal="10" workbookViewId="0">
      <selection activeCell="W4" sqref="W4"/>
    </sheetView>
  </sheetViews>
  <sheetFormatPr defaultRowHeight="14.25"/>
  <cols>
    <col min="2" max="2" width="11" customWidth="1"/>
    <col min="4" max="4" width="13.59765625" customWidth="1"/>
    <col min="5" max="5" width="2" customWidth="1"/>
    <col min="6" max="6" width="11.86328125" customWidth="1"/>
    <col min="7" max="7" width="12.59765625" customWidth="1"/>
    <col min="8" max="8" width="20.33203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 min="20" max="20" width="2.796875" customWidth="1"/>
    <col min="21" max="21" width="10.1328125" customWidth="1"/>
  </cols>
  <sheetData>
    <row r="1" spans="2:24" ht="14.65" thickBot="1"/>
    <row r="2" spans="2:24" ht="14.65" thickBot="1">
      <c r="B2" s="6" t="s">
        <v>67</v>
      </c>
      <c r="C2" s="6"/>
      <c r="D2" s="192">
        <v>45387</v>
      </c>
    </row>
    <row r="3" spans="2:24" ht="14.65" thickBot="1">
      <c r="B3" s="6" t="s">
        <v>68</v>
      </c>
      <c r="C3" s="6"/>
      <c r="D3" s="40" t="s">
        <v>85</v>
      </c>
      <c r="G3" s="11"/>
      <c r="H3" s="11"/>
    </row>
    <row r="4" spans="2:24" ht="14.65" thickBot="1">
      <c r="B4" s="6" t="s">
        <v>55</v>
      </c>
      <c r="C4" s="1"/>
      <c r="D4" s="41" t="s">
        <v>25</v>
      </c>
      <c r="E4" s="12"/>
      <c r="H4" s="11"/>
      <c r="I4" s="11"/>
    </row>
    <row r="5" spans="2:24" ht="15" thickBot="1">
      <c r="B5" s="6" t="s">
        <v>17</v>
      </c>
      <c r="C5" s="7" t="s">
        <v>16</v>
      </c>
      <c r="D5" s="1"/>
    </row>
    <row r="6" spans="2:24" ht="14.65" thickBot="1">
      <c r="B6" s="1"/>
      <c r="C6" s="5" t="s">
        <v>5</v>
      </c>
      <c r="D6" s="17" t="s">
        <v>6</v>
      </c>
      <c r="E6" s="44" t="s">
        <v>286</v>
      </c>
      <c r="F6" s="42">
        <v>6.0000000000000001E-3</v>
      </c>
      <c r="G6" s="148"/>
      <c r="H6" s="149" t="s">
        <v>242</v>
      </c>
      <c r="I6" s="150"/>
      <c r="J6" s="151"/>
      <c r="K6" s="152"/>
    </row>
    <row r="7" spans="2:24" ht="15.75">
      <c r="B7" s="1"/>
      <c r="C7" s="5" t="s">
        <v>10</v>
      </c>
      <c r="D7" s="1"/>
      <c r="E7" s="18"/>
      <c r="F7" s="43">
        <v>4.9800000000000004</v>
      </c>
      <c r="G7" s="148"/>
      <c r="H7" s="153" t="s">
        <v>285</v>
      </c>
      <c r="I7" s="154"/>
      <c r="J7" s="166">
        <v>1</v>
      </c>
      <c r="K7" s="155" t="s">
        <v>19</v>
      </c>
    </row>
    <row r="8" spans="2:24" ht="15.75">
      <c r="B8" s="1"/>
      <c r="C8" s="5" t="s">
        <v>11</v>
      </c>
      <c r="D8" s="1"/>
      <c r="E8" s="13"/>
      <c r="F8" s="43">
        <v>15.04</v>
      </c>
      <c r="G8" s="148"/>
      <c r="H8" s="153" t="s">
        <v>239</v>
      </c>
      <c r="I8" s="156"/>
      <c r="J8" s="157">
        <f>J7*SQRT(3/5)</f>
        <v>0.7745966692414834</v>
      </c>
      <c r="K8" s="158" t="s">
        <v>19</v>
      </c>
    </row>
    <row r="9" spans="2:24" ht="15.75">
      <c r="B9" s="1"/>
      <c r="C9" s="5" t="s">
        <v>12</v>
      </c>
      <c r="D9" s="1"/>
      <c r="E9" s="13"/>
      <c r="F9" s="43">
        <v>14.89</v>
      </c>
      <c r="G9" s="148"/>
      <c r="H9" s="153" t="s">
        <v>20</v>
      </c>
      <c r="I9" s="156"/>
      <c r="J9" s="159">
        <f>Lamnm/(Refin*J7)</f>
        <v>458.19397993311031</v>
      </c>
      <c r="K9" s="158"/>
      <c r="O9" s="165"/>
      <c r="P9" s="165"/>
    </row>
    <row r="10" spans="2:24" ht="15.75">
      <c r="B10" s="1"/>
      <c r="C10" s="5" t="s">
        <v>13</v>
      </c>
      <c r="D10" s="1"/>
      <c r="E10" s="13"/>
      <c r="F10" s="43">
        <v>79.2</v>
      </c>
      <c r="G10" s="148"/>
      <c r="H10" s="153" t="s">
        <v>240</v>
      </c>
      <c r="I10" s="156"/>
      <c r="J10" s="160">
        <f>J8*(4*PI()*Refin/Lamnm)*SIN(RADIANS(D32/2))</f>
        <v>2.036915789429861E-2</v>
      </c>
      <c r="K10" s="158"/>
      <c r="O10" s="165"/>
      <c r="P10" s="165"/>
      <c r="U10" s="39"/>
    </row>
    <row r="11" spans="2:24" ht="16.899999999999999" thickBot="1">
      <c r="B11" s="1"/>
      <c r="C11" s="5" t="s">
        <v>14</v>
      </c>
      <c r="D11" s="33"/>
      <c r="E11" s="13"/>
      <c r="F11" s="43">
        <v>4.92</v>
      </c>
      <c r="G11" s="148"/>
      <c r="H11" s="161" t="s">
        <v>241</v>
      </c>
      <c r="I11" s="162"/>
      <c r="J11" s="163">
        <f>1-J10^2/3</f>
        <v>0.999861699135559</v>
      </c>
      <c r="K11" s="164"/>
      <c r="M11" s="39"/>
      <c r="O11" s="39"/>
      <c r="U11" s="39"/>
    </row>
    <row r="12" spans="2:24">
      <c r="M12" s="278" t="s">
        <v>321</v>
      </c>
      <c r="U12" s="39"/>
    </row>
    <row r="13" spans="2:24" ht="15" thickBot="1">
      <c r="B13" s="6" t="s">
        <v>17</v>
      </c>
      <c r="C13" s="7" t="s">
        <v>15</v>
      </c>
      <c r="D13" s="7" t="s">
        <v>36</v>
      </c>
      <c r="E13" s="13"/>
      <c r="F13" s="24" t="s">
        <v>38</v>
      </c>
      <c r="G13" s="15" t="s">
        <v>104</v>
      </c>
      <c r="H13" s="6"/>
      <c r="I13" s="34"/>
      <c r="J13" s="6" t="s">
        <v>105</v>
      </c>
      <c r="K13" s="1"/>
      <c r="L13" s="7" t="s">
        <v>23</v>
      </c>
      <c r="M13" s="279"/>
      <c r="U13" s="39"/>
    </row>
    <row r="14" spans="2:24" ht="14.65" thickBot="1">
      <c r="B14" s="1"/>
      <c r="C14" s="23" t="s">
        <v>37</v>
      </c>
      <c r="D14">
        <v>0</v>
      </c>
      <c r="E14" s="1"/>
      <c r="F14" s="16" t="s">
        <v>0</v>
      </c>
      <c r="G14" s="6" t="s">
        <v>106</v>
      </c>
      <c r="H14" s="6" t="s">
        <v>107</v>
      </c>
      <c r="I14" s="34"/>
      <c r="J14" s="6" t="s">
        <v>106</v>
      </c>
      <c r="K14" s="6" t="s">
        <v>108</v>
      </c>
      <c r="L14" s="1"/>
      <c r="M14" s="16"/>
      <c r="O14" s="27" t="s">
        <v>122</v>
      </c>
      <c r="P14" s="129"/>
      <c r="Q14" s="130"/>
      <c r="R14" s="129" t="s">
        <v>51</v>
      </c>
      <c r="S14" s="28"/>
      <c r="U14" s="172" t="s">
        <v>322</v>
      </c>
      <c r="V14" s="169"/>
      <c r="W14" s="169"/>
      <c r="X14" s="170"/>
    </row>
    <row r="15" spans="2:24">
      <c r="B15" s="1"/>
      <c r="C15" s="5">
        <v>1</v>
      </c>
      <c r="D15" s="1">
        <v>22.5</v>
      </c>
      <c r="E15" s="1"/>
      <c r="F15" s="2" t="s">
        <v>2</v>
      </c>
      <c r="G15" s="2">
        <v>0.14699999999999999</v>
      </c>
      <c r="H15" s="4"/>
      <c r="I15" s="35"/>
      <c r="J15" s="2">
        <v>8.5999999999999993E-2</v>
      </c>
      <c r="K15" s="4"/>
      <c r="L15" s="2">
        <f>G15+H15-J15-K15</f>
        <v>6.0999999999999999E-2</v>
      </c>
      <c r="M15" s="25">
        <f>NormStandard!O15*L15</f>
        <v>6.0164719171086116E-2</v>
      </c>
      <c r="O15" s="29" t="s">
        <v>35</v>
      </c>
      <c r="P15" s="30"/>
      <c r="Q15" s="11"/>
      <c r="R15" s="29" t="s">
        <v>35</v>
      </c>
      <c r="S15" s="30"/>
      <c r="U15" s="238">
        <f>NormStandard!O15*J15</f>
        <v>8.4822390962514843E-2</v>
      </c>
      <c r="W15" s="67"/>
    </row>
    <row r="16" spans="2:24">
      <c r="B16" s="1"/>
      <c r="C16" s="5">
        <v>2</v>
      </c>
      <c r="D16" s="1">
        <v>28</v>
      </c>
      <c r="E16" s="1"/>
      <c r="F16" s="2" t="s">
        <v>2</v>
      </c>
      <c r="G16" s="2">
        <v>8.6999999999999994E-2</v>
      </c>
      <c r="H16" s="4"/>
      <c r="I16" s="35"/>
      <c r="J16" s="2">
        <v>4.9000000000000002E-2</v>
      </c>
      <c r="K16" s="4"/>
      <c r="L16" s="2">
        <f>G16+H16-J16-K16</f>
        <v>3.7999999999999992E-2</v>
      </c>
      <c r="M16" s="25">
        <f>NormStandard!O16*L16</f>
        <v>5.9479086966343034E-2</v>
      </c>
      <c r="O16" s="19" t="s">
        <v>27</v>
      </c>
      <c r="P16" s="206">
        <v>30.435230000000001</v>
      </c>
      <c r="R16" s="19" t="s">
        <v>27</v>
      </c>
      <c r="S16" s="206">
        <v>14.14034</v>
      </c>
      <c r="U16" s="2">
        <f>NormStandard!O16*J16</f>
        <v>7.6696717403968662E-2</v>
      </c>
    </row>
    <row r="17" spans="2:21">
      <c r="B17" s="1"/>
      <c r="C17" s="5">
        <v>3</v>
      </c>
      <c r="D17" s="1">
        <v>32</v>
      </c>
      <c r="E17" s="1"/>
      <c r="F17" s="2" t="s">
        <v>2</v>
      </c>
      <c r="G17" s="2">
        <v>0.104</v>
      </c>
      <c r="H17" s="4"/>
      <c r="I17" s="35"/>
      <c r="J17" s="2">
        <v>0.03</v>
      </c>
      <c r="K17" s="4"/>
      <c r="L17" s="2">
        <f>G17+H17-J17-K17</f>
        <v>7.3999999999999996E-2</v>
      </c>
      <c r="M17" s="25">
        <f>NormStandard!O17*L17</f>
        <v>8.8599198314927075E-2</v>
      </c>
      <c r="O17" s="19" t="s">
        <v>28</v>
      </c>
      <c r="P17" s="206">
        <v>93.743780000000001</v>
      </c>
      <c r="R17" s="19" t="s">
        <v>28</v>
      </c>
      <c r="S17" s="206">
        <v>20.997260000000001</v>
      </c>
      <c r="U17" s="2">
        <f>NormStandard!O17*J17</f>
        <v>3.5918593911456922E-2</v>
      </c>
    </row>
    <row r="18" spans="2:21">
      <c r="B18" s="1"/>
      <c r="C18" s="5">
        <v>4</v>
      </c>
      <c r="D18" s="1">
        <v>38</v>
      </c>
      <c r="E18" s="1"/>
      <c r="F18" s="31" t="s">
        <v>53</v>
      </c>
      <c r="G18" s="32" t="s">
        <v>54</v>
      </c>
      <c r="H18" s="4"/>
      <c r="I18" s="35"/>
      <c r="J18" s="32" t="s">
        <v>54</v>
      </c>
      <c r="K18" s="4"/>
      <c r="L18" s="32" t="s">
        <v>54</v>
      </c>
      <c r="M18" s="32" t="str">
        <f>NormStandard!O18</f>
        <v>---</v>
      </c>
      <c r="N18" s="132"/>
      <c r="O18" s="19" t="s">
        <v>29</v>
      </c>
      <c r="P18" s="206">
        <v>82.246570000000006</v>
      </c>
      <c r="Q18" s="132"/>
      <c r="R18" s="19" t="s">
        <v>29</v>
      </c>
      <c r="S18" s="206">
        <v>25.055669999999999</v>
      </c>
      <c r="T18" s="132"/>
      <c r="U18" s="32" t="s">
        <v>54</v>
      </c>
    </row>
    <row r="19" spans="2:21">
      <c r="B19" s="1"/>
      <c r="C19" s="5">
        <v>5</v>
      </c>
      <c r="D19" s="1">
        <v>44</v>
      </c>
      <c r="E19" s="1"/>
      <c r="F19" s="3" t="s">
        <v>1</v>
      </c>
      <c r="G19" s="4"/>
      <c r="H19" s="3">
        <f>P16</f>
        <v>30.435230000000001</v>
      </c>
      <c r="I19" s="35"/>
      <c r="J19" s="4"/>
      <c r="K19" s="3">
        <f>S16</f>
        <v>14.14034</v>
      </c>
      <c r="L19" s="3">
        <f t="shared" ref="L19:L26" si="0">G19+H19-J19-K19</f>
        <v>16.294890000000002</v>
      </c>
      <c r="M19" s="64">
        <f>NormStandard!O19*L19</f>
        <v>6.2633905256943095E-2</v>
      </c>
      <c r="O19" s="19" t="s">
        <v>30</v>
      </c>
      <c r="P19" s="206">
        <v>96.08278</v>
      </c>
      <c r="R19" s="19" t="s">
        <v>30</v>
      </c>
      <c r="S19" s="206">
        <v>43.310589999999998</v>
      </c>
      <c r="U19" s="3">
        <f>NormStandard!O19*K19</f>
        <v>5.4352297920450071E-2</v>
      </c>
    </row>
    <row r="20" spans="2:21">
      <c r="B20" s="1"/>
      <c r="C20" s="5">
        <v>6</v>
      </c>
      <c r="D20" s="1">
        <v>50</v>
      </c>
      <c r="E20" s="1"/>
      <c r="F20" s="3" t="s">
        <v>1</v>
      </c>
      <c r="G20" s="4"/>
      <c r="H20" s="3">
        <f>P17</f>
        <v>93.743780000000001</v>
      </c>
      <c r="I20" s="35"/>
      <c r="J20" s="4"/>
      <c r="K20" s="3">
        <f>S17</f>
        <v>20.997260000000001</v>
      </c>
      <c r="L20" s="3">
        <f t="shared" si="0"/>
        <v>72.746520000000004</v>
      </c>
      <c r="M20" s="64">
        <f>NormStandard!O20*L20</f>
        <v>8.3580422831665696E-2</v>
      </c>
      <c r="O20" s="19" t="s">
        <v>31</v>
      </c>
      <c r="P20" s="206">
        <v>36.891210000000001</v>
      </c>
      <c r="R20" s="19" t="s">
        <v>31</v>
      </c>
      <c r="S20" s="206">
        <v>3.1831499999999999</v>
      </c>
      <c r="U20" s="3">
        <f>NormStandard!O20*K20</f>
        <v>2.4124313700592426E-2</v>
      </c>
    </row>
    <row r="21" spans="2:21">
      <c r="B21" s="1"/>
      <c r="C21" s="5">
        <v>7</v>
      </c>
      <c r="D21" s="1">
        <v>57</v>
      </c>
      <c r="E21" s="1"/>
      <c r="F21" s="2" t="s">
        <v>2</v>
      </c>
      <c r="G21" s="2">
        <v>0.13</v>
      </c>
      <c r="H21" s="4"/>
      <c r="I21" s="35"/>
      <c r="J21" s="2">
        <v>5.0999999999999997E-2</v>
      </c>
      <c r="K21" s="4"/>
      <c r="L21" s="2">
        <f t="shared" si="0"/>
        <v>7.9000000000000015E-2</v>
      </c>
      <c r="M21" s="25">
        <f>NormStandard!O21*L21</f>
        <v>6.9606150912752338E-2</v>
      </c>
      <c r="O21" s="19" t="s">
        <v>32</v>
      </c>
      <c r="P21" s="206">
        <v>37.875830000000001</v>
      </c>
      <c r="R21" s="19" t="s">
        <v>32</v>
      </c>
      <c r="S21" s="206">
        <v>5.2176600000000004</v>
      </c>
      <c r="U21" s="2">
        <f>NormStandard!O21*J21</f>
        <v>4.4935616412029977E-2</v>
      </c>
    </row>
    <row r="22" spans="2:21">
      <c r="B22" s="1"/>
      <c r="C22" s="5">
        <v>8</v>
      </c>
      <c r="D22" s="1">
        <v>64</v>
      </c>
      <c r="E22" s="1"/>
      <c r="F22" s="3" t="s">
        <v>1</v>
      </c>
      <c r="G22" s="4"/>
      <c r="H22" s="3">
        <f>P18</f>
        <v>82.246570000000006</v>
      </c>
      <c r="I22" s="35"/>
      <c r="J22" s="4"/>
      <c r="K22" s="3">
        <f>S18</f>
        <v>25.055669999999999</v>
      </c>
      <c r="L22" s="3">
        <f t="shared" si="0"/>
        <v>57.190900000000006</v>
      </c>
      <c r="M22" s="64">
        <f>NormStandard!O22*L22</f>
        <v>7.1988374224558796E-2</v>
      </c>
      <c r="O22" s="19" t="s">
        <v>33</v>
      </c>
      <c r="P22" s="206">
        <v>32.152859999999997</v>
      </c>
      <c r="R22" s="19" t="s">
        <v>33</v>
      </c>
      <c r="S22" s="206">
        <v>9.1796500000000005</v>
      </c>
      <c r="U22" s="3">
        <f>NormStandard!O22*K22</f>
        <v>3.1538530577540323E-2</v>
      </c>
    </row>
    <row r="23" spans="2:21" ht="14.65" thickBot="1">
      <c r="B23" s="1"/>
      <c r="C23" s="5">
        <v>9</v>
      </c>
      <c r="D23" s="1">
        <v>72</v>
      </c>
      <c r="E23" s="1"/>
      <c r="F23" s="2" t="s">
        <v>2</v>
      </c>
      <c r="G23" s="2">
        <v>0.11600000000000001</v>
      </c>
      <c r="H23" s="4"/>
      <c r="I23" s="35"/>
      <c r="J23" s="2">
        <v>3.4000000000000002E-2</v>
      </c>
      <c r="K23" s="4"/>
      <c r="L23" s="2">
        <f t="shared" si="0"/>
        <v>8.2000000000000003E-2</v>
      </c>
      <c r="M23" s="25">
        <f>NormStandard!O23*L23</f>
        <v>7.8213618565810245E-2</v>
      </c>
      <c r="O23" s="21" t="s">
        <v>34</v>
      </c>
      <c r="P23" s="207">
        <v>67.028660000000002</v>
      </c>
      <c r="R23" s="21" t="s">
        <v>34</v>
      </c>
      <c r="S23" s="207">
        <v>13.594099999999999</v>
      </c>
      <c r="U23" s="2">
        <f>NormStandard!O23*J23</f>
        <v>3.2430036966311568E-2</v>
      </c>
    </row>
    <row r="24" spans="2:21">
      <c r="B24" s="1"/>
      <c r="C24" s="5">
        <v>10</v>
      </c>
      <c r="D24" s="1">
        <v>81</v>
      </c>
      <c r="E24" s="1"/>
      <c r="F24" s="3" t="s">
        <v>1</v>
      </c>
      <c r="G24" s="4"/>
      <c r="H24" s="3">
        <f>P19</f>
        <v>96.08278</v>
      </c>
      <c r="I24" s="35"/>
      <c r="J24" s="4"/>
      <c r="K24" s="3">
        <f>S19</f>
        <v>43.310589999999998</v>
      </c>
      <c r="L24" s="3">
        <f t="shared" si="0"/>
        <v>52.772190000000002</v>
      </c>
      <c r="M24" s="64">
        <f>NormStandard!O24*L24</f>
        <v>6.5084068151610414E-2</v>
      </c>
      <c r="U24" s="3">
        <f>NormStandard!O24*K24</f>
        <v>5.3415054240622872E-2</v>
      </c>
    </row>
    <row r="25" spans="2:21">
      <c r="B25" s="1"/>
      <c r="C25" s="5">
        <v>11</v>
      </c>
      <c r="D25" s="1">
        <v>90</v>
      </c>
      <c r="E25" s="1"/>
      <c r="F25" s="2" t="s">
        <v>2</v>
      </c>
      <c r="G25" s="2">
        <v>0.10100000000000001</v>
      </c>
      <c r="H25" s="4"/>
      <c r="I25" s="35"/>
      <c r="J25" s="2">
        <v>0.03</v>
      </c>
      <c r="K25" s="4"/>
      <c r="L25" s="2">
        <f t="shared" si="0"/>
        <v>7.1000000000000008E-2</v>
      </c>
      <c r="M25" s="25">
        <f>NormStandard!O25*L25</f>
        <v>7.5293007012894111E-2</v>
      </c>
      <c r="U25" s="2">
        <f>NormStandard!O25*J25</f>
        <v>3.1813946625166518E-2</v>
      </c>
    </row>
    <row r="26" spans="2:21">
      <c r="B26" s="1"/>
      <c r="C26" s="5">
        <v>12</v>
      </c>
      <c r="D26" s="1">
        <v>99</v>
      </c>
      <c r="E26" s="1"/>
      <c r="F26" s="3" t="s">
        <v>1</v>
      </c>
      <c r="G26" s="4"/>
      <c r="H26" s="3">
        <f>P20</f>
        <v>36.891210000000001</v>
      </c>
      <c r="I26" s="35"/>
      <c r="J26" s="4"/>
      <c r="K26" s="3">
        <f>S20</f>
        <v>3.1831499999999999</v>
      </c>
      <c r="L26" s="3">
        <f t="shared" si="0"/>
        <v>33.708060000000003</v>
      </c>
      <c r="M26" s="64">
        <f>NormStandard!O26*L26</f>
        <v>9.5703680818486445E-2</v>
      </c>
      <c r="U26" s="3">
        <f>NormStandard!O26*K26</f>
        <v>9.037576520196211E-3</v>
      </c>
    </row>
    <row r="27" spans="2:21">
      <c r="B27" s="1"/>
      <c r="C27" s="5">
        <v>13</v>
      </c>
      <c r="D27" s="1">
        <v>108</v>
      </c>
      <c r="E27" s="1"/>
      <c r="F27" s="31" t="s">
        <v>53</v>
      </c>
      <c r="G27" s="32"/>
      <c r="H27" s="4"/>
      <c r="I27" s="35"/>
      <c r="J27" s="32" t="s">
        <v>54</v>
      </c>
      <c r="K27" s="32" t="s">
        <v>54</v>
      </c>
      <c r="L27" s="32" t="s">
        <v>54</v>
      </c>
      <c r="M27" s="32" t="str">
        <f>NormStandard!O27</f>
        <v>---</v>
      </c>
      <c r="N27" s="132"/>
      <c r="O27" s="132"/>
      <c r="P27" s="132"/>
      <c r="Q27" s="132"/>
      <c r="R27" s="132"/>
      <c r="S27" s="132"/>
      <c r="T27" s="132"/>
      <c r="U27" s="32" t="s">
        <v>54</v>
      </c>
    </row>
    <row r="28" spans="2:21">
      <c r="B28" s="1"/>
      <c r="C28" s="5">
        <v>14</v>
      </c>
      <c r="D28" s="1">
        <v>117</v>
      </c>
      <c r="E28" s="1"/>
      <c r="F28" s="3" t="s">
        <v>1</v>
      </c>
      <c r="G28" s="4"/>
      <c r="H28" s="3">
        <f>P21</f>
        <v>37.875830000000001</v>
      </c>
      <c r="I28" s="35"/>
      <c r="J28" s="4"/>
      <c r="K28" s="3">
        <f>S21</f>
        <v>5.2176600000000004</v>
      </c>
      <c r="L28" s="3">
        <f>G28+H28-J28-K28</f>
        <v>32.658169999999998</v>
      </c>
      <c r="M28" s="64">
        <f>NormStandard!O28*L28</f>
        <v>9.9349856451222421E-2</v>
      </c>
      <c r="U28" s="3">
        <f>NormStandard!O28*K28</f>
        <v>1.587271338263244E-2</v>
      </c>
    </row>
    <row r="29" spans="2:21">
      <c r="B29" s="1"/>
      <c r="C29" s="5">
        <v>15</v>
      </c>
      <c r="D29" s="1">
        <v>126</v>
      </c>
      <c r="E29" s="1"/>
      <c r="F29" s="2" t="s">
        <v>2</v>
      </c>
      <c r="G29" s="2">
        <v>0.127</v>
      </c>
      <c r="H29" s="4"/>
      <c r="I29" s="35"/>
      <c r="J29" s="2">
        <v>4.9000000000000002E-2</v>
      </c>
      <c r="K29" s="4"/>
      <c r="L29" s="2">
        <f>G29+H29-J29-K29</f>
        <v>7.8E-2</v>
      </c>
      <c r="M29" s="25">
        <f>NormStandard!O29*L29</f>
        <v>6.4786124844837673E-2</v>
      </c>
      <c r="U29" s="2">
        <f>NormStandard!O29*J29</f>
        <v>4.0698975864064686E-2</v>
      </c>
    </row>
    <row r="30" spans="2:21">
      <c r="B30" s="1"/>
      <c r="C30" s="5">
        <v>16</v>
      </c>
      <c r="D30" s="1">
        <v>134</v>
      </c>
      <c r="E30" s="1"/>
      <c r="F30" s="3" t="s">
        <v>1</v>
      </c>
      <c r="G30" s="4"/>
      <c r="H30" s="3">
        <f>P22</f>
        <v>32.152859999999997</v>
      </c>
      <c r="I30" s="35"/>
      <c r="J30" s="4"/>
      <c r="K30" s="3">
        <f>S22</f>
        <v>9.1796500000000005</v>
      </c>
      <c r="L30" s="3">
        <f>G30+H30-J30-K30</f>
        <v>22.973209999999995</v>
      </c>
      <c r="M30" s="64">
        <f>NormStandard!O30*L30</f>
        <v>7.3718387006404235E-2</v>
      </c>
      <c r="U30" s="3">
        <f>NormStandard!O30*K30</f>
        <v>2.9456440405295509E-2</v>
      </c>
    </row>
    <row r="31" spans="2:21">
      <c r="B31" s="1"/>
      <c r="C31" s="5">
        <v>17</v>
      </c>
      <c r="D31" s="1">
        <v>141</v>
      </c>
      <c r="E31" s="1"/>
      <c r="F31" s="2" t="s">
        <v>2</v>
      </c>
      <c r="G31" s="2">
        <v>7.0000000000000007E-2</v>
      </c>
      <c r="H31" s="4"/>
      <c r="I31" s="35"/>
      <c r="J31" s="2">
        <v>2.5000000000000001E-2</v>
      </c>
      <c r="K31" s="4"/>
      <c r="L31" s="2">
        <f>G31+H31-J31-K31</f>
        <v>4.5000000000000005E-2</v>
      </c>
      <c r="M31" s="25">
        <f>NormStandard!O31*L31</f>
        <v>6.834774734400241E-2</v>
      </c>
      <c r="U31" s="2">
        <f>NormStandard!O31*J31</f>
        <v>3.7970970746667998E-2</v>
      </c>
    </row>
    <row r="32" spans="2:21">
      <c r="B32" s="1"/>
      <c r="C32" s="5">
        <v>18</v>
      </c>
      <c r="D32" s="1">
        <v>147</v>
      </c>
      <c r="E32" s="1"/>
      <c r="F32" s="3" t="s">
        <v>1</v>
      </c>
      <c r="G32" s="4"/>
      <c r="H32" s="3">
        <f>P23</f>
        <v>67.028660000000002</v>
      </c>
      <c r="I32" s="35"/>
      <c r="J32" s="4"/>
      <c r="K32" s="3">
        <f>S23</f>
        <v>13.594099999999999</v>
      </c>
      <c r="L32" s="3">
        <f>G32+H32-J32-K32</f>
        <v>53.434560000000005</v>
      </c>
      <c r="M32" s="64">
        <f>NormStandard!O32*L32</f>
        <v>9.3064523551827746E-2</v>
      </c>
      <c r="U32" s="3">
        <f>NormStandard!O32*K32</f>
        <v>2.3676220775765745E-2</v>
      </c>
    </row>
  </sheetData>
  <mergeCells count="1">
    <mergeCell ref="M12:M13"/>
  </mergeCells>
  <phoneticPr fontId="11" type="noConversion"/>
  <pageMargins left="0.7" right="0.7" top="0.75" bottom="0.75" header="0.3" footer="0.3"/>
  <pageSetup orientation="portrait" horizontalDpi="4294967293" verticalDpi="4294967293"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A769B-E8D0-4B12-BC4F-B4796A537870}">
  <dimension ref="B1:S32"/>
  <sheetViews>
    <sheetView zoomScale="70" zoomScaleNormal="70" workbookViewId="0">
      <selection activeCell="M12" sqref="M12:M1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v>0.26100000000000001</v>
      </c>
      <c r="H15" s="4"/>
      <c r="I15" s="35"/>
      <c r="J15" s="203">
        <f>Conc1!J15</f>
        <v>8.5999999999999993E-2</v>
      </c>
      <c r="K15" s="4"/>
      <c r="L15" s="2">
        <f>G15+H15-J15-K15</f>
        <v>0.17500000000000002</v>
      </c>
      <c r="M15" s="25">
        <f>NormStandard!O15*L15</f>
        <v>0.17260370254000118</v>
      </c>
      <c r="O15" s="29" t="s">
        <v>35</v>
      </c>
      <c r="P15" s="30"/>
      <c r="Q15" s="11"/>
      <c r="R15" s="190"/>
      <c r="S15" s="191"/>
    </row>
    <row r="16" spans="2:19">
      <c r="B16" s="1"/>
      <c r="C16" s="5">
        <v>2</v>
      </c>
      <c r="D16" s="1">
        <v>28</v>
      </c>
      <c r="E16" s="1"/>
      <c r="F16" s="2" t="s">
        <v>2</v>
      </c>
      <c r="G16" s="2">
        <v>0.115</v>
      </c>
      <c r="H16" s="4"/>
      <c r="I16" s="35"/>
      <c r="J16" s="203">
        <f>Conc1!J16</f>
        <v>4.9000000000000002E-2</v>
      </c>
      <c r="K16" s="4"/>
      <c r="L16" s="2">
        <f>G16+H16-J16-K16</f>
        <v>6.6000000000000003E-2</v>
      </c>
      <c r="M16" s="25">
        <f>NormStandard!O16*L16</f>
        <v>0.10330578262575371</v>
      </c>
      <c r="O16" s="19" t="s">
        <v>27</v>
      </c>
      <c r="P16" s="206">
        <v>60.781370000000003</v>
      </c>
      <c r="R16" s="19" t="s">
        <v>27</v>
      </c>
      <c r="S16" s="204">
        <f>Conc1!S16</f>
        <v>14.14034</v>
      </c>
    </row>
    <row r="17" spans="2:19">
      <c r="B17" s="1"/>
      <c r="C17" s="5">
        <v>3</v>
      </c>
      <c r="D17" s="1">
        <v>32</v>
      </c>
      <c r="E17" s="1"/>
      <c r="F17" s="2" t="s">
        <v>2</v>
      </c>
      <c r="G17" s="2">
        <v>0.13500000000000001</v>
      </c>
      <c r="H17" s="4"/>
      <c r="I17" s="35"/>
      <c r="J17" s="203">
        <f>Conc1!J17</f>
        <v>0.03</v>
      </c>
      <c r="K17" s="4"/>
      <c r="L17" s="2">
        <f>G17+H17-J17-K17</f>
        <v>0.10500000000000001</v>
      </c>
      <c r="M17" s="25">
        <f>NormStandard!O17*L17</f>
        <v>0.12571507869009924</v>
      </c>
      <c r="O17" s="19" t="s">
        <v>28</v>
      </c>
      <c r="P17" s="206">
        <v>102.00766</v>
      </c>
      <c r="R17" s="19" t="s">
        <v>28</v>
      </c>
      <c r="S17" s="204">
        <f>Conc1!S17</f>
        <v>20.997260000000001</v>
      </c>
    </row>
    <row r="18" spans="2:19">
      <c r="B18" s="1"/>
      <c r="C18" s="5">
        <v>4</v>
      </c>
      <c r="D18" s="1">
        <v>38</v>
      </c>
      <c r="E18" s="1"/>
      <c r="F18" s="31" t="s">
        <v>53</v>
      </c>
      <c r="G18" s="32"/>
      <c r="H18" s="4"/>
      <c r="I18" s="35"/>
      <c r="J18" s="32" t="s">
        <v>54</v>
      </c>
      <c r="K18" s="4"/>
      <c r="L18" s="32" t="s">
        <v>54</v>
      </c>
      <c r="M18" s="32" t="str">
        <f>NormStandard!O18</f>
        <v>---</v>
      </c>
      <c r="O18" s="19" t="s">
        <v>29</v>
      </c>
      <c r="P18" s="206">
        <v>87.729029999999995</v>
      </c>
      <c r="R18" s="19" t="s">
        <v>29</v>
      </c>
      <c r="S18" s="204">
        <f>Conc1!S18</f>
        <v>25.055669999999999</v>
      </c>
    </row>
    <row r="19" spans="2:19">
      <c r="B19" s="1"/>
      <c r="C19" s="5">
        <v>5</v>
      </c>
      <c r="D19" s="1">
        <v>44</v>
      </c>
      <c r="E19" s="1"/>
      <c r="F19" s="3" t="s">
        <v>1</v>
      </c>
      <c r="G19" s="4"/>
      <c r="H19" s="3">
        <f>P16</f>
        <v>60.781370000000003</v>
      </c>
      <c r="I19" s="35"/>
      <c r="J19" s="4"/>
      <c r="K19" s="3">
        <f>S16</f>
        <v>14.14034</v>
      </c>
      <c r="L19" s="3">
        <f t="shared" ref="L19:L26" si="0">G19+H19-J19-K19</f>
        <v>46.641030000000001</v>
      </c>
      <c r="M19" s="64">
        <f>NormStandard!O19*L19</f>
        <v>0.17927766644059828</v>
      </c>
      <c r="O19" s="19" t="s">
        <v>30</v>
      </c>
      <c r="P19" s="206">
        <v>89.466840000000005</v>
      </c>
      <c r="R19" s="19" t="s">
        <v>30</v>
      </c>
      <c r="S19" s="204">
        <f>Conc1!S19</f>
        <v>43.310589999999998</v>
      </c>
    </row>
    <row r="20" spans="2:19">
      <c r="B20" s="1"/>
      <c r="C20" s="5">
        <v>6</v>
      </c>
      <c r="D20" s="1">
        <v>50</v>
      </c>
      <c r="E20" s="1"/>
      <c r="F20" s="3" t="s">
        <v>1</v>
      </c>
      <c r="G20" s="4"/>
      <c r="H20" s="3">
        <f>P17</f>
        <v>102.00766</v>
      </c>
      <c r="I20" s="35"/>
      <c r="J20" s="4"/>
      <c r="K20" s="3">
        <f>S17</f>
        <v>20.997260000000001</v>
      </c>
      <c r="L20" s="3">
        <f t="shared" si="0"/>
        <v>81.010400000000004</v>
      </c>
      <c r="M20" s="64">
        <f>NormStandard!O20*L20</f>
        <v>9.3075015626347082E-2</v>
      </c>
      <c r="O20" s="19" t="s">
        <v>31</v>
      </c>
      <c r="P20" s="206">
        <v>21.838609999999999</v>
      </c>
      <c r="R20" s="19" t="s">
        <v>31</v>
      </c>
      <c r="S20" s="204">
        <f>Conc1!S20</f>
        <v>3.1831499999999999</v>
      </c>
    </row>
    <row r="21" spans="2:19">
      <c r="B21" s="1"/>
      <c r="C21" s="5">
        <v>7</v>
      </c>
      <c r="D21" s="1">
        <v>57</v>
      </c>
      <c r="E21" s="1"/>
      <c r="F21" s="2" t="s">
        <v>2</v>
      </c>
      <c r="G21" s="2">
        <v>0.16200000000000001</v>
      </c>
      <c r="H21" s="4"/>
      <c r="I21" s="35"/>
      <c r="J21" s="203">
        <f>Conc1!J21</f>
        <v>5.0999999999999997E-2</v>
      </c>
      <c r="K21" s="4"/>
      <c r="L21" s="2">
        <f t="shared" si="0"/>
        <v>0.11100000000000002</v>
      </c>
      <c r="M21" s="25">
        <f>NormStandard!O21*L21</f>
        <v>9.780104748500644E-2</v>
      </c>
      <c r="O21" s="19" t="s">
        <v>32</v>
      </c>
      <c r="P21" s="206">
        <v>39.113370000000003</v>
      </c>
      <c r="R21" s="19" t="s">
        <v>32</v>
      </c>
      <c r="S21" s="204">
        <f>Conc1!S21</f>
        <v>5.2176600000000004</v>
      </c>
    </row>
    <row r="22" spans="2:19">
      <c r="B22" s="1"/>
      <c r="C22" s="5">
        <v>8</v>
      </c>
      <c r="D22" s="1">
        <v>64</v>
      </c>
      <c r="E22" s="1"/>
      <c r="F22" s="3" t="s">
        <v>1</v>
      </c>
      <c r="G22" s="4"/>
      <c r="H22" s="3">
        <f>P18</f>
        <v>87.729029999999995</v>
      </c>
      <c r="I22" s="35"/>
      <c r="J22" s="4"/>
      <c r="K22" s="3">
        <f>S18</f>
        <v>25.055669999999999</v>
      </c>
      <c r="L22" s="3">
        <f t="shared" si="0"/>
        <v>62.673359999999995</v>
      </c>
      <c r="M22" s="64">
        <f>NormStandard!O22*L22</f>
        <v>7.8889356411430717E-2</v>
      </c>
      <c r="O22" s="19" t="s">
        <v>33</v>
      </c>
      <c r="P22" s="206">
        <v>56.01247</v>
      </c>
      <c r="R22" s="19" t="s">
        <v>33</v>
      </c>
      <c r="S22" s="204">
        <f>Conc1!S22</f>
        <v>9.1796500000000005</v>
      </c>
    </row>
    <row r="23" spans="2:19" ht="14.65" thickBot="1">
      <c r="B23" s="1"/>
      <c r="C23" s="5">
        <v>9</v>
      </c>
      <c r="D23" s="1">
        <v>72</v>
      </c>
      <c r="E23" s="1"/>
      <c r="F23" s="2" t="s">
        <v>2</v>
      </c>
      <c r="G23" s="2">
        <v>0.14199999999999999</v>
      </c>
      <c r="H23" s="4"/>
      <c r="I23" s="35"/>
      <c r="J23" s="203">
        <f>Conc1!J23</f>
        <v>3.4000000000000002E-2</v>
      </c>
      <c r="K23" s="4"/>
      <c r="L23" s="2">
        <f t="shared" si="0"/>
        <v>0.10799999999999998</v>
      </c>
      <c r="M23" s="25">
        <f>NormStandard!O23*L23</f>
        <v>0.10301305859887203</v>
      </c>
      <c r="O23" s="21" t="s">
        <v>34</v>
      </c>
      <c r="P23" s="207">
        <v>62.752299999999998</v>
      </c>
      <c r="R23" s="21" t="s">
        <v>34</v>
      </c>
      <c r="S23" s="205">
        <f>Conc1!S23</f>
        <v>13.594099999999999</v>
      </c>
    </row>
    <row r="24" spans="2:19">
      <c r="B24" s="1"/>
      <c r="C24" s="5">
        <v>10</v>
      </c>
      <c r="D24" s="1">
        <v>81</v>
      </c>
      <c r="E24" s="1"/>
      <c r="F24" s="3" t="s">
        <v>1</v>
      </c>
      <c r="G24" s="4"/>
      <c r="H24" s="3">
        <f>P19</f>
        <v>89.466840000000005</v>
      </c>
      <c r="I24" s="35"/>
      <c r="J24" s="4"/>
      <c r="K24" s="3">
        <f>S19</f>
        <v>43.310589999999998</v>
      </c>
      <c r="L24" s="3">
        <f t="shared" si="0"/>
        <v>46.156250000000007</v>
      </c>
      <c r="M24" s="64">
        <f>NormStandard!O24*L24</f>
        <v>5.6924613525092822E-2</v>
      </c>
    </row>
    <row r="25" spans="2:19">
      <c r="B25" s="1"/>
      <c r="C25" s="5">
        <v>11</v>
      </c>
      <c r="D25" s="1">
        <v>90</v>
      </c>
      <c r="E25" s="1"/>
      <c r="F25" s="2" t="s">
        <v>2</v>
      </c>
      <c r="G25" s="2">
        <v>0.125</v>
      </c>
      <c r="H25" s="4"/>
      <c r="I25" s="35"/>
      <c r="J25" s="203">
        <f>Conc1!J25</f>
        <v>0.03</v>
      </c>
      <c r="K25" s="4"/>
      <c r="L25" s="2">
        <f t="shared" si="0"/>
        <v>9.5000000000000001E-2</v>
      </c>
      <c r="M25" s="25">
        <f>NormStandard!O25*L25</f>
        <v>0.10074416431302731</v>
      </c>
    </row>
    <row r="26" spans="2:19">
      <c r="B26" s="1"/>
      <c r="C26" s="5">
        <v>12</v>
      </c>
      <c r="D26" s="1">
        <v>99</v>
      </c>
      <c r="E26" s="1"/>
      <c r="F26" s="3" t="s">
        <v>1</v>
      </c>
      <c r="G26" s="4"/>
      <c r="H26" s="3">
        <f>P20</f>
        <v>21.838609999999999</v>
      </c>
      <c r="I26" s="35"/>
      <c r="J26" s="4"/>
      <c r="K26" s="3">
        <f>S20</f>
        <v>3.1831499999999999</v>
      </c>
      <c r="L26" s="3">
        <f t="shared" si="0"/>
        <v>18.655459999999998</v>
      </c>
      <c r="M26" s="64">
        <f>NormStandard!O26*L26</f>
        <v>5.2966447471674151E-2</v>
      </c>
    </row>
    <row r="27" spans="2:19">
      <c r="B27" s="1"/>
      <c r="C27" s="5">
        <v>13</v>
      </c>
      <c r="D27" s="1">
        <v>108</v>
      </c>
      <c r="E27" s="1"/>
      <c r="F27" s="31" t="s">
        <v>53</v>
      </c>
      <c r="G27" s="32"/>
      <c r="H27" s="4"/>
      <c r="I27" s="35"/>
      <c r="J27" s="32" t="s">
        <v>54</v>
      </c>
      <c r="K27" s="32" t="s">
        <v>54</v>
      </c>
      <c r="L27" s="32" t="s">
        <v>54</v>
      </c>
      <c r="M27" s="32" t="str">
        <f>NormStandard!O27</f>
        <v>---</v>
      </c>
    </row>
    <row r="28" spans="2:19">
      <c r="B28" s="1"/>
      <c r="C28" s="5">
        <v>14</v>
      </c>
      <c r="D28" s="1">
        <v>117</v>
      </c>
      <c r="E28" s="1"/>
      <c r="F28" s="3" t="s">
        <v>1</v>
      </c>
      <c r="G28" s="4"/>
      <c r="H28" s="3">
        <f>P21</f>
        <v>39.113370000000003</v>
      </c>
      <c r="I28" s="35"/>
      <c r="J28" s="4"/>
      <c r="K28" s="3">
        <f>S21</f>
        <v>5.2176600000000004</v>
      </c>
      <c r="L28" s="3">
        <f>G28+H28-J28-K28</f>
        <v>33.895710000000001</v>
      </c>
      <c r="M28" s="64">
        <f>NormStandard!O28*L28</f>
        <v>0.10311459346351202</v>
      </c>
    </row>
    <row r="29" spans="2:19">
      <c r="B29" s="1"/>
      <c r="C29" s="5">
        <v>15</v>
      </c>
      <c r="D29" s="1">
        <v>126</v>
      </c>
      <c r="E29" s="1"/>
      <c r="F29" s="2" t="s">
        <v>2</v>
      </c>
      <c r="G29" s="2">
        <v>0.159</v>
      </c>
      <c r="H29" s="4"/>
      <c r="I29" s="35"/>
      <c r="J29" s="203">
        <f>Conc1!J29</f>
        <v>4.9000000000000002E-2</v>
      </c>
      <c r="K29" s="4"/>
      <c r="L29" s="2">
        <f>G29+H29-J29-K29</f>
        <v>0.11</v>
      </c>
      <c r="M29" s="25">
        <f>NormStandard!O29*L29</f>
        <v>9.1365047858104398E-2</v>
      </c>
    </row>
    <row r="30" spans="2:19">
      <c r="B30" s="1"/>
      <c r="C30" s="5">
        <v>16</v>
      </c>
      <c r="D30" s="1">
        <v>134</v>
      </c>
      <c r="E30" s="1"/>
      <c r="F30" s="3" t="s">
        <v>1</v>
      </c>
      <c r="G30" s="4"/>
      <c r="H30" s="3">
        <f>P22</f>
        <v>56.01247</v>
      </c>
      <c r="I30" s="35"/>
      <c r="J30" s="4"/>
      <c r="K30" s="3">
        <f>S22</f>
        <v>9.1796500000000005</v>
      </c>
      <c r="L30" s="3">
        <f>G30+H30-J30-K30</f>
        <v>46.832819999999998</v>
      </c>
      <c r="M30" s="64">
        <f>NormStandard!O30*L30</f>
        <v>0.15028112960101217</v>
      </c>
    </row>
    <row r="31" spans="2:19">
      <c r="B31" s="1"/>
      <c r="C31" s="5">
        <v>17</v>
      </c>
      <c r="D31" s="1">
        <v>141</v>
      </c>
      <c r="E31" s="1"/>
      <c r="F31" s="2" t="s">
        <v>2</v>
      </c>
      <c r="G31" s="2">
        <v>8.6999999999999994E-2</v>
      </c>
      <c r="H31" s="4"/>
      <c r="I31" s="35"/>
      <c r="J31" s="203">
        <f>Conc1!J31</f>
        <v>2.5000000000000001E-2</v>
      </c>
      <c r="K31" s="4"/>
      <c r="L31" s="2">
        <f>G31+H31-J31-K31</f>
        <v>6.1999999999999993E-2</v>
      </c>
      <c r="M31" s="25">
        <f>NormStandard!O31*L31</f>
        <v>9.4168007451736618E-2</v>
      </c>
    </row>
    <row r="32" spans="2:19">
      <c r="B32" s="1"/>
      <c r="C32" s="5">
        <v>18</v>
      </c>
      <c r="D32" s="1">
        <v>147</v>
      </c>
      <c r="E32" s="1"/>
      <c r="F32" s="3" t="s">
        <v>1</v>
      </c>
      <c r="G32" s="4"/>
      <c r="H32" s="3">
        <f>P23</f>
        <v>62.752299999999998</v>
      </c>
      <c r="I32" s="35"/>
      <c r="J32" s="4"/>
      <c r="K32" s="3">
        <f>S23</f>
        <v>13.594099999999999</v>
      </c>
      <c r="L32" s="3">
        <f>G32+H32-J32-K32</f>
        <v>49.158200000000001</v>
      </c>
      <c r="M32" s="64">
        <f>NormStandard!O32*L32</f>
        <v>8.5616583380970251E-2</v>
      </c>
    </row>
  </sheetData>
  <mergeCells count="1">
    <mergeCell ref="M12:M13"/>
  </mergeCells>
  <pageMargins left="0.7" right="0.7" top="0.75" bottom="0.75" header="0.3" footer="0.3"/>
  <pageSetup orientation="portrait" horizontalDpi="4294967293" verticalDpi="4294967293"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2FE2-7AAD-4C91-BDAA-33C221330A16}">
  <dimension ref="B1:S32"/>
  <sheetViews>
    <sheetView zoomScale="70" zoomScaleNormal="70" workbookViewId="0">
      <selection activeCell="M12" sqref="M12:M1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v>0.46700000000000003</v>
      </c>
      <c r="H15" s="4"/>
      <c r="I15" s="35"/>
      <c r="J15" s="203">
        <f>Conc1!J15</f>
        <v>8.5999999999999993E-2</v>
      </c>
      <c r="K15" s="4"/>
      <c r="L15" s="2">
        <f>G15+H15-J15-K15</f>
        <v>0.38100000000000001</v>
      </c>
      <c r="M15" s="25">
        <f>NormStandard!O15*L15</f>
        <v>0.37578291810137393</v>
      </c>
      <c r="O15" s="29" t="s">
        <v>35</v>
      </c>
      <c r="P15" s="30"/>
      <c r="Q15" s="11"/>
      <c r="R15" s="190"/>
      <c r="S15" s="191"/>
    </row>
    <row r="16" spans="2:19">
      <c r="B16" s="1"/>
      <c r="C16" s="5">
        <v>2</v>
      </c>
      <c r="D16" s="1">
        <v>28</v>
      </c>
      <c r="E16" s="1"/>
      <c r="F16" s="2" t="s">
        <v>2</v>
      </c>
      <c r="G16" s="2">
        <v>0.18</v>
      </c>
      <c r="H16" s="4"/>
      <c r="I16" s="35"/>
      <c r="J16" s="203">
        <f>Conc1!J16</f>
        <v>4.9000000000000002E-2</v>
      </c>
      <c r="K16" s="4"/>
      <c r="L16" s="2">
        <f>G16+H16-J16-K16</f>
        <v>0.13100000000000001</v>
      </c>
      <c r="M16" s="25">
        <f>NormStandard!O16*L16</f>
        <v>0.20504632612081419</v>
      </c>
      <c r="O16" s="19" t="s">
        <v>27</v>
      </c>
      <c r="P16" s="206">
        <v>77.875450000000001</v>
      </c>
      <c r="R16" s="19" t="s">
        <v>27</v>
      </c>
      <c r="S16" s="204">
        <f>Conc1!S16</f>
        <v>14.14034</v>
      </c>
    </row>
    <row r="17" spans="2:19">
      <c r="B17" s="1"/>
      <c r="C17" s="5">
        <v>3</v>
      </c>
      <c r="D17" s="1">
        <v>32</v>
      </c>
      <c r="E17" s="1"/>
      <c r="F17" s="2" t="s">
        <v>2</v>
      </c>
      <c r="G17" s="2">
        <v>0.20399999999999999</v>
      </c>
      <c r="H17" s="4"/>
      <c r="I17" s="35"/>
      <c r="J17" s="203">
        <f>Conc1!J17</f>
        <v>0.03</v>
      </c>
      <c r="K17" s="4"/>
      <c r="L17" s="2">
        <f>G17+H17-J17-K17</f>
        <v>0.17399999999999999</v>
      </c>
      <c r="M17" s="25">
        <f>NormStandard!O17*L17</f>
        <v>0.20832784468645013</v>
      </c>
      <c r="O17" s="19" t="s">
        <v>28</v>
      </c>
      <c r="P17" s="206">
        <v>126.00104</v>
      </c>
      <c r="R17" s="19" t="s">
        <v>28</v>
      </c>
      <c r="S17" s="204">
        <f>Conc1!S17</f>
        <v>20.997260000000001</v>
      </c>
    </row>
    <row r="18" spans="2:19">
      <c r="B18" s="1"/>
      <c r="C18" s="5">
        <v>4</v>
      </c>
      <c r="D18" s="1">
        <v>38</v>
      </c>
      <c r="E18" s="1"/>
      <c r="F18" s="31" t="s">
        <v>53</v>
      </c>
      <c r="G18" s="32"/>
      <c r="H18" s="4"/>
      <c r="I18" s="35"/>
      <c r="J18" s="32" t="s">
        <v>54</v>
      </c>
      <c r="K18" s="4"/>
      <c r="L18" s="32" t="s">
        <v>54</v>
      </c>
      <c r="M18" s="32" t="str">
        <f>NormStandard!O18</f>
        <v>---</v>
      </c>
      <c r="O18" s="19" t="s">
        <v>29</v>
      </c>
      <c r="P18" s="206">
        <v>101.27226</v>
      </c>
      <c r="R18" s="19" t="s">
        <v>29</v>
      </c>
      <c r="S18" s="204">
        <f>Conc1!S18</f>
        <v>25.055669999999999</v>
      </c>
    </row>
    <row r="19" spans="2:19">
      <c r="B19" s="1"/>
      <c r="C19" s="5">
        <v>5</v>
      </c>
      <c r="D19" s="1">
        <v>44</v>
      </c>
      <c r="E19" s="1"/>
      <c r="F19" s="3" t="s">
        <v>1</v>
      </c>
      <c r="G19" s="4"/>
      <c r="H19" s="3">
        <f>P16</f>
        <v>77.875450000000001</v>
      </c>
      <c r="I19" s="35"/>
      <c r="J19" s="4"/>
      <c r="K19" s="3">
        <f>S16</f>
        <v>14.14034</v>
      </c>
      <c r="L19" s="3">
        <f t="shared" ref="L19:L26" si="0">G19+H19-J19-K19</f>
        <v>63.735109999999999</v>
      </c>
      <c r="M19" s="64">
        <f>NormStandard!O19*L19</f>
        <v>0.24498347894836026</v>
      </c>
      <c r="O19" s="19" t="s">
        <v>30</v>
      </c>
      <c r="P19" s="206">
        <v>94.989140000000006</v>
      </c>
      <c r="R19" s="19" t="s">
        <v>30</v>
      </c>
      <c r="S19" s="204">
        <f>Conc1!S19</f>
        <v>43.310589999999998</v>
      </c>
    </row>
    <row r="20" spans="2:19">
      <c r="B20" s="1"/>
      <c r="C20" s="5">
        <v>6</v>
      </c>
      <c r="D20" s="1">
        <v>50</v>
      </c>
      <c r="E20" s="1"/>
      <c r="F20" s="3" t="s">
        <v>1</v>
      </c>
      <c r="G20" s="4"/>
      <c r="H20" s="3">
        <f>P17</f>
        <v>126.00104</v>
      </c>
      <c r="I20" s="35"/>
      <c r="J20" s="4"/>
      <c r="K20" s="3">
        <f>S17</f>
        <v>20.997260000000001</v>
      </c>
      <c r="L20" s="3">
        <f t="shared" si="0"/>
        <v>105.00378000000001</v>
      </c>
      <c r="M20" s="64">
        <f>NormStandard!O20*L20</f>
        <v>0.12064165174256036</v>
      </c>
      <c r="O20" s="19" t="s">
        <v>31</v>
      </c>
      <c r="P20" s="206">
        <v>22.58831</v>
      </c>
      <c r="R20" s="19" t="s">
        <v>31</v>
      </c>
      <c r="S20" s="204">
        <f>Conc1!S20</f>
        <v>3.1831499999999999</v>
      </c>
    </row>
    <row r="21" spans="2:19">
      <c r="B21" s="1"/>
      <c r="C21" s="5">
        <v>7</v>
      </c>
      <c r="D21" s="1">
        <v>57</v>
      </c>
      <c r="E21" s="1"/>
      <c r="F21" s="2" t="s">
        <v>2</v>
      </c>
      <c r="G21" s="2">
        <v>0.19600000000000001</v>
      </c>
      <c r="H21" s="4"/>
      <c r="I21" s="35"/>
      <c r="J21" s="203">
        <f>Conc1!J21</f>
        <v>5.0999999999999997E-2</v>
      </c>
      <c r="K21" s="4"/>
      <c r="L21" s="2">
        <f t="shared" si="0"/>
        <v>0.14500000000000002</v>
      </c>
      <c r="M21" s="25">
        <f>NormStandard!O21*L21</f>
        <v>0.12775812509302642</v>
      </c>
      <c r="O21" s="19" t="s">
        <v>32</v>
      </c>
      <c r="P21" s="206">
        <v>42.768590000000003</v>
      </c>
      <c r="R21" s="19" t="s">
        <v>32</v>
      </c>
      <c r="S21" s="204">
        <f>Conc1!S21</f>
        <v>5.2176600000000004</v>
      </c>
    </row>
    <row r="22" spans="2:19">
      <c r="B22" s="1"/>
      <c r="C22" s="5">
        <v>8</v>
      </c>
      <c r="D22" s="1">
        <v>64</v>
      </c>
      <c r="E22" s="1"/>
      <c r="F22" s="3" t="s">
        <v>1</v>
      </c>
      <c r="G22" s="4"/>
      <c r="H22" s="3">
        <f>P18</f>
        <v>101.27226</v>
      </c>
      <c r="I22" s="35"/>
      <c r="J22" s="4"/>
      <c r="K22" s="3">
        <f>S18</f>
        <v>25.055669999999999</v>
      </c>
      <c r="L22" s="3">
        <f t="shared" si="0"/>
        <v>76.216589999999997</v>
      </c>
      <c r="M22" s="64">
        <f>NormStandard!O22*L22</f>
        <v>9.5936738240520167E-2</v>
      </c>
      <c r="O22" s="19" t="s">
        <v>33</v>
      </c>
      <c r="P22" s="206">
        <v>61.264560000000003</v>
      </c>
      <c r="R22" s="19" t="s">
        <v>33</v>
      </c>
      <c r="S22" s="204">
        <f>Conc1!S22</f>
        <v>9.1796500000000005</v>
      </c>
    </row>
    <row r="23" spans="2:19" ht="14.65" thickBot="1">
      <c r="B23" s="1"/>
      <c r="C23" s="5">
        <v>9</v>
      </c>
      <c r="D23" s="1">
        <v>72</v>
      </c>
      <c r="E23" s="1"/>
      <c r="F23" s="2" t="s">
        <v>2</v>
      </c>
      <c r="G23" s="2">
        <v>0.16500000000000001</v>
      </c>
      <c r="H23" s="4"/>
      <c r="I23" s="35"/>
      <c r="J23" s="203">
        <f>Conc1!J23</f>
        <v>3.4000000000000002E-2</v>
      </c>
      <c r="K23" s="4"/>
      <c r="L23" s="2">
        <f t="shared" si="0"/>
        <v>0.13100000000000001</v>
      </c>
      <c r="M23" s="25">
        <f>NormStandard!O23*L23</f>
        <v>0.12495102478196515</v>
      </c>
      <c r="O23" s="21" t="s">
        <v>34</v>
      </c>
      <c r="P23" s="207">
        <v>71.366619999999998</v>
      </c>
      <c r="R23" s="21" t="s">
        <v>34</v>
      </c>
      <c r="S23" s="205">
        <f>Conc1!S23</f>
        <v>13.594099999999999</v>
      </c>
    </row>
    <row r="24" spans="2:19">
      <c r="B24" s="1"/>
      <c r="C24" s="5">
        <v>10</v>
      </c>
      <c r="D24" s="1">
        <v>81</v>
      </c>
      <c r="E24" s="1"/>
      <c r="F24" s="3" t="s">
        <v>1</v>
      </c>
      <c r="G24" s="4"/>
      <c r="H24" s="3">
        <f>P19</f>
        <v>94.989140000000006</v>
      </c>
      <c r="I24" s="35"/>
      <c r="J24" s="4"/>
      <c r="K24" s="3">
        <f>S19</f>
        <v>43.310589999999998</v>
      </c>
      <c r="L24" s="3">
        <f t="shared" si="0"/>
        <v>51.678550000000008</v>
      </c>
      <c r="M24" s="64">
        <f>NormStandard!O24*L24</f>
        <v>6.3735279323757582E-2</v>
      </c>
    </row>
    <row r="25" spans="2:19">
      <c r="B25" s="1"/>
      <c r="C25" s="5">
        <v>11</v>
      </c>
      <c r="D25" s="1">
        <v>90</v>
      </c>
      <c r="E25" s="1"/>
      <c r="F25" s="2" t="s">
        <v>2</v>
      </c>
      <c r="G25" s="2">
        <v>0.14699999999999999</v>
      </c>
      <c r="H25" s="4"/>
      <c r="I25" s="35"/>
      <c r="J25" s="203">
        <f>Conc1!J25</f>
        <v>0.03</v>
      </c>
      <c r="K25" s="4"/>
      <c r="L25" s="2">
        <f t="shared" si="0"/>
        <v>0.11699999999999999</v>
      </c>
      <c r="M25" s="25">
        <f>NormStandard!O25*L25</f>
        <v>0.12407439183814942</v>
      </c>
    </row>
    <row r="26" spans="2:19">
      <c r="B26" s="1"/>
      <c r="C26" s="5">
        <v>12</v>
      </c>
      <c r="D26" s="1">
        <v>99</v>
      </c>
      <c r="E26" s="1"/>
      <c r="F26" s="3" t="s">
        <v>1</v>
      </c>
      <c r="G26" s="4"/>
      <c r="H26" s="3">
        <f>P20</f>
        <v>22.58831</v>
      </c>
      <c r="I26" s="35"/>
      <c r="J26" s="4"/>
      <c r="K26" s="3">
        <f>S20</f>
        <v>3.1831499999999999</v>
      </c>
      <c r="L26" s="3">
        <f t="shared" si="0"/>
        <v>19.405159999999999</v>
      </c>
      <c r="M26" s="64">
        <f>NormStandard!O26*L26</f>
        <v>5.5094990304148619E-2</v>
      </c>
    </row>
    <row r="27" spans="2:19">
      <c r="B27" s="1"/>
      <c r="C27" s="5">
        <v>13</v>
      </c>
      <c r="D27" s="1">
        <v>108</v>
      </c>
      <c r="E27" s="1"/>
      <c r="F27" s="31" t="s">
        <v>53</v>
      </c>
      <c r="G27" s="32"/>
      <c r="H27" s="4"/>
      <c r="I27" s="35"/>
      <c r="J27" s="32" t="s">
        <v>54</v>
      </c>
      <c r="K27" s="32" t="s">
        <v>54</v>
      </c>
      <c r="L27" s="32" t="s">
        <v>54</v>
      </c>
      <c r="M27" s="32" t="str">
        <f>NormStandard!O27</f>
        <v>---</v>
      </c>
    </row>
    <row r="28" spans="2:19">
      <c r="B28" s="1"/>
      <c r="C28" s="5">
        <v>14</v>
      </c>
      <c r="D28" s="1">
        <v>117</v>
      </c>
      <c r="E28" s="1"/>
      <c r="F28" s="3" t="s">
        <v>1</v>
      </c>
      <c r="G28" s="4"/>
      <c r="H28" s="3">
        <f>P21</f>
        <v>42.768590000000003</v>
      </c>
      <c r="I28" s="35"/>
      <c r="J28" s="4"/>
      <c r="K28" s="3">
        <f>S21</f>
        <v>5.2176600000000004</v>
      </c>
      <c r="L28" s="3">
        <f>G28+H28-J28-K28</f>
        <v>37.550930000000001</v>
      </c>
      <c r="M28" s="64">
        <f>NormStandard!O28*L28</f>
        <v>0.11423418719144096</v>
      </c>
    </row>
    <row r="29" spans="2:19">
      <c r="B29" s="1"/>
      <c r="C29" s="5">
        <v>15</v>
      </c>
      <c r="D29" s="1">
        <v>126</v>
      </c>
      <c r="E29" s="1"/>
      <c r="F29" s="2" t="s">
        <v>2</v>
      </c>
      <c r="G29" s="2">
        <v>0.186</v>
      </c>
      <c r="H29" s="4"/>
      <c r="I29" s="35"/>
      <c r="J29" s="203">
        <f>Conc1!J29</f>
        <v>4.9000000000000002E-2</v>
      </c>
      <c r="K29" s="4"/>
      <c r="L29" s="2">
        <f>G29+H29-J29-K29</f>
        <v>0.13700000000000001</v>
      </c>
      <c r="M29" s="25">
        <f>NormStandard!O29*L29</f>
        <v>0.11379101415054822</v>
      </c>
    </row>
    <row r="30" spans="2:19">
      <c r="B30" s="1"/>
      <c r="C30" s="5">
        <v>16</v>
      </c>
      <c r="D30" s="1">
        <v>134</v>
      </c>
      <c r="E30" s="1"/>
      <c r="F30" s="3" t="s">
        <v>1</v>
      </c>
      <c r="G30" s="4"/>
      <c r="H30" s="3">
        <f>P22</f>
        <v>61.264560000000003</v>
      </c>
      <c r="I30" s="35"/>
      <c r="J30" s="4"/>
      <c r="K30" s="3">
        <f>S22</f>
        <v>9.1796500000000005</v>
      </c>
      <c r="L30" s="3">
        <f>G30+H30-J30-K30</f>
        <v>52.084910000000001</v>
      </c>
      <c r="M30" s="64">
        <f>NormStandard!O30*L30</f>
        <v>0.16713448197155448</v>
      </c>
    </row>
    <row r="31" spans="2:19">
      <c r="B31" s="1"/>
      <c r="C31" s="5">
        <v>17</v>
      </c>
      <c r="D31" s="1">
        <v>141</v>
      </c>
      <c r="E31" s="1"/>
      <c r="F31" s="2" t="s">
        <v>2</v>
      </c>
      <c r="G31" s="2">
        <v>0.104</v>
      </c>
      <c r="H31" s="4"/>
      <c r="I31" s="35"/>
      <c r="J31" s="203">
        <f>Conc1!J31</f>
        <v>2.5000000000000001E-2</v>
      </c>
      <c r="K31" s="4"/>
      <c r="L31" s="2">
        <f>G31+H31-J31-K31</f>
        <v>7.8999999999999987E-2</v>
      </c>
      <c r="M31" s="25">
        <f>NormStandard!O31*L31</f>
        <v>0.11998826755947085</v>
      </c>
    </row>
    <row r="32" spans="2:19">
      <c r="B32" s="1"/>
      <c r="C32" s="5">
        <v>18</v>
      </c>
      <c r="D32" s="1">
        <v>147</v>
      </c>
      <c r="E32" s="1"/>
      <c r="F32" s="3" t="s">
        <v>1</v>
      </c>
      <c r="G32" s="4"/>
      <c r="H32" s="3">
        <f>P23</f>
        <v>71.366619999999998</v>
      </c>
      <c r="I32" s="35"/>
      <c r="J32" s="4"/>
      <c r="K32" s="3">
        <f>S23</f>
        <v>13.594099999999999</v>
      </c>
      <c r="L32" s="3">
        <f>G32+H32-J32-K32</f>
        <v>57.77252</v>
      </c>
      <c r="M32" s="64">
        <f>NormStandard!O32*L32</f>
        <v>0.10061974961875682</v>
      </c>
    </row>
  </sheetData>
  <mergeCells count="1">
    <mergeCell ref="M12:M13"/>
  </mergeCells>
  <pageMargins left="0.7" right="0.7" top="0.75" bottom="0.75" header="0.3" footer="0.3"/>
  <pageSetup orientation="portrait" horizontalDpi="4294967293" verticalDpi="4294967293"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1B6C-1C83-42ED-80E7-7B6C70A3D3F5}">
  <dimension ref="B1:S32"/>
  <sheetViews>
    <sheetView zoomScale="70" zoomScaleNormal="70" workbookViewId="0">
      <selection activeCell="M12" sqref="M12:M1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v>0.59699999999999998</v>
      </c>
      <c r="H15" s="4"/>
      <c r="I15" s="35"/>
      <c r="J15" s="203">
        <f>Conc1!J15</f>
        <v>8.5999999999999993E-2</v>
      </c>
      <c r="K15" s="4"/>
      <c r="L15" s="2">
        <f>G15+H15-J15-K15</f>
        <v>0.51100000000000001</v>
      </c>
      <c r="M15" s="25">
        <f>NormStandard!O15*L15</f>
        <v>0.50400281141680336</v>
      </c>
      <c r="O15" s="29" t="s">
        <v>35</v>
      </c>
      <c r="P15" s="30"/>
      <c r="Q15" s="11"/>
      <c r="R15" s="190"/>
      <c r="S15" s="191"/>
    </row>
    <row r="16" spans="2:19">
      <c r="B16" s="1"/>
      <c r="C16" s="5">
        <v>2</v>
      </c>
      <c r="D16" s="1">
        <v>28</v>
      </c>
      <c r="E16" s="1"/>
      <c r="F16" s="2" t="s">
        <v>2</v>
      </c>
      <c r="G16" s="2">
        <v>0.27</v>
      </c>
      <c r="H16" s="4"/>
      <c r="I16" s="35"/>
      <c r="J16" s="203">
        <f>Conc1!J16</f>
        <v>4.9000000000000002E-2</v>
      </c>
      <c r="K16" s="4"/>
      <c r="L16" s="2">
        <f>G16+H16-J16-K16</f>
        <v>0.22100000000000003</v>
      </c>
      <c r="M16" s="25">
        <f>NormStandard!O16*L16</f>
        <v>0.34591784788320568</v>
      </c>
      <c r="O16" s="19" t="s">
        <v>27</v>
      </c>
      <c r="P16" s="206">
        <v>79.009320000000002</v>
      </c>
      <c r="R16" s="19" t="s">
        <v>27</v>
      </c>
      <c r="S16" s="204">
        <f>Conc1!S16</f>
        <v>14.14034</v>
      </c>
    </row>
    <row r="17" spans="2:19">
      <c r="B17" s="1"/>
      <c r="C17" s="5">
        <v>3</v>
      </c>
      <c r="D17" s="1">
        <v>32</v>
      </c>
      <c r="E17" s="1"/>
      <c r="F17" s="2" t="s">
        <v>2</v>
      </c>
      <c r="G17" s="2">
        <v>0.24</v>
      </c>
      <c r="H17" s="4"/>
      <c r="I17" s="35"/>
      <c r="J17" s="203">
        <f>Conc1!J17</f>
        <v>0.03</v>
      </c>
      <c r="K17" s="4"/>
      <c r="L17" s="2">
        <f>G17+H17-J17-K17</f>
        <v>0.21</v>
      </c>
      <c r="M17" s="25">
        <f>NormStandard!O17*L17</f>
        <v>0.25143015738019847</v>
      </c>
      <c r="O17" s="19" t="s">
        <v>28</v>
      </c>
      <c r="P17" s="206">
        <v>123.1549</v>
      </c>
      <c r="R17" s="19" t="s">
        <v>28</v>
      </c>
      <c r="S17" s="204">
        <f>Conc1!S17</f>
        <v>20.997260000000001</v>
      </c>
    </row>
    <row r="18" spans="2:19">
      <c r="B18" s="1"/>
      <c r="C18" s="5">
        <v>4</v>
      </c>
      <c r="D18" s="1">
        <v>38</v>
      </c>
      <c r="E18" s="1"/>
      <c r="F18" s="31" t="s">
        <v>53</v>
      </c>
      <c r="G18" s="32"/>
      <c r="H18" s="4"/>
      <c r="I18" s="35"/>
      <c r="J18" s="32" t="s">
        <v>54</v>
      </c>
      <c r="K18" s="4"/>
      <c r="L18" s="32" t="s">
        <v>54</v>
      </c>
      <c r="M18" s="32" t="str">
        <f>NormStandard!O18</f>
        <v>---</v>
      </c>
      <c r="O18" s="19" t="s">
        <v>29</v>
      </c>
      <c r="P18" s="206">
        <v>111.11346</v>
      </c>
      <c r="R18" s="19" t="s">
        <v>29</v>
      </c>
      <c r="S18" s="204">
        <f>Conc1!S18</f>
        <v>25.055669999999999</v>
      </c>
    </row>
    <row r="19" spans="2:19">
      <c r="B19" s="1"/>
      <c r="C19" s="5">
        <v>5</v>
      </c>
      <c r="D19" s="1">
        <v>44</v>
      </c>
      <c r="E19" s="1"/>
      <c r="F19" s="3" t="s">
        <v>1</v>
      </c>
      <c r="G19" s="4"/>
      <c r="H19" s="3">
        <f>P16</f>
        <v>79.009320000000002</v>
      </c>
      <c r="I19" s="35"/>
      <c r="J19" s="4"/>
      <c r="K19" s="3">
        <f>S16</f>
        <v>14.14034</v>
      </c>
      <c r="L19" s="3">
        <f t="shared" ref="L19:L26" si="0">G19+H19-J19-K19</f>
        <v>64.868980000000008</v>
      </c>
      <c r="M19" s="64">
        <f>NormStandard!O19*L19</f>
        <v>0.24934182111290942</v>
      </c>
      <c r="O19" s="19" t="s">
        <v>30</v>
      </c>
      <c r="P19" s="206">
        <v>103.19537</v>
      </c>
      <c r="R19" s="19" t="s">
        <v>30</v>
      </c>
      <c r="S19" s="204">
        <f>Conc1!S19</f>
        <v>43.310589999999998</v>
      </c>
    </row>
    <row r="20" spans="2:19">
      <c r="B20" s="1"/>
      <c r="C20" s="5">
        <v>6</v>
      </c>
      <c r="D20" s="1">
        <v>50</v>
      </c>
      <c r="E20" s="1"/>
      <c r="F20" s="3" t="s">
        <v>1</v>
      </c>
      <c r="G20" s="4"/>
      <c r="H20" s="3">
        <f>P17</f>
        <v>123.1549</v>
      </c>
      <c r="I20" s="35"/>
      <c r="J20" s="4"/>
      <c r="K20" s="3">
        <f>S17</f>
        <v>20.997260000000001</v>
      </c>
      <c r="L20" s="3">
        <f t="shared" si="0"/>
        <v>102.15764</v>
      </c>
      <c r="M20" s="64">
        <f>NormStandard!O20*L20</f>
        <v>0.11737164536097514</v>
      </c>
      <c r="O20" s="19" t="s">
        <v>31</v>
      </c>
      <c r="P20" s="206">
        <v>24.55104</v>
      </c>
      <c r="R20" s="19" t="s">
        <v>31</v>
      </c>
      <c r="S20" s="204">
        <f>Conc1!S20</f>
        <v>3.1831499999999999</v>
      </c>
    </row>
    <row r="21" spans="2:19">
      <c r="B21" s="1"/>
      <c r="C21" s="5">
        <v>7</v>
      </c>
      <c r="D21" s="1">
        <v>57</v>
      </c>
      <c r="E21" s="1"/>
      <c r="F21" s="2" t="s">
        <v>2</v>
      </c>
      <c r="G21" s="2">
        <v>0.22700000000000001</v>
      </c>
      <c r="H21" s="4"/>
      <c r="I21" s="35"/>
      <c r="J21" s="203">
        <f>Conc1!J21</f>
        <v>5.0999999999999997E-2</v>
      </c>
      <c r="K21" s="4"/>
      <c r="L21" s="2">
        <f t="shared" si="0"/>
        <v>0.17600000000000002</v>
      </c>
      <c r="M21" s="25">
        <f>NormStandard!O21*L21</f>
        <v>0.15507193114739759</v>
      </c>
      <c r="O21" s="19" t="s">
        <v>32</v>
      </c>
      <c r="P21" s="206">
        <v>45.626379999999997</v>
      </c>
      <c r="R21" s="19" t="s">
        <v>32</v>
      </c>
      <c r="S21" s="204">
        <f>Conc1!S21</f>
        <v>5.2176600000000004</v>
      </c>
    </row>
    <row r="22" spans="2:19">
      <c r="B22" s="1"/>
      <c r="C22" s="5">
        <v>8</v>
      </c>
      <c r="D22" s="1">
        <v>64</v>
      </c>
      <c r="E22" s="1"/>
      <c r="F22" s="3" t="s">
        <v>1</v>
      </c>
      <c r="G22" s="4"/>
      <c r="H22" s="3">
        <f>P18</f>
        <v>111.11346</v>
      </c>
      <c r="I22" s="35"/>
      <c r="J22" s="4"/>
      <c r="K22" s="3">
        <f>S18</f>
        <v>25.055669999999999</v>
      </c>
      <c r="L22" s="3">
        <f t="shared" si="0"/>
        <v>86.057790000000011</v>
      </c>
      <c r="M22" s="64">
        <f>NormStandard!O22*L22</f>
        <v>0.1083242332514175</v>
      </c>
      <c r="O22" s="19" t="s">
        <v>33</v>
      </c>
      <c r="P22" s="206">
        <v>67.198490000000007</v>
      </c>
      <c r="R22" s="19" t="s">
        <v>33</v>
      </c>
      <c r="S22" s="204">
        <f>Conc1!S22</f>
        <v>9.1796500000000005</v>
      </c>
    </row>
    <row r="23" spans="2:19" ht="14.65" thickBot="1">
      <c r="B23" s="1"/>
      <c r="C23" s="5">
        <v>9</v>
      </c>
      <c r="D23" s="1">
        <v>72</v>
      </c>
      <c r="E23" s="1"/>
      <c r="F23" s="2" t="s">
        <v>2</v>
      </c>
      <c r="G23" s="2">
        <v>0.17899999999999999</v>
      </c>
      <c r="H23" s="4"/>
      <c r="I23" s="35"/>
      <c r="J23" s="203">
        <f>Conc1!J23</f>
        <v>3.4000000000000002E-2</v>
      </c>
      <c r="K23" s="4"/>
      <c r="L23" s="2">
        <f t="shared" si="0"/>
        <v>0.14499999999999999</v>
      </c>
      <c r="M23" s="25">
        <f>NormStandard!O23*L23</f>
        <v>0.13830456941515226</v>
      </c>
      <c r="O23" s="21" t="s">
        <v>34</v>
      </c>
      <c r="P23" s="207">
        <v>80.578540000000004</v>
      </c>
      <c r="R23" s="21" t="s">
        <v>34</v>
      </c>
      <c r="S23" s="205">
        <f>Conc1!S23</f>
        <v>13.594099999999999</v>
      </c>
    </row>
    <row r="24" spans="2:19">
      <c r="B24" s="1"/>
      <c r="C24" s="5">
        <v>10</v>
      </c>
      <c r="D24" s="1">
        <v>81</v>
      </c>
      <c r="E24" s="1"/>
      <c r="F24" s="3" t="s">
        <v>1</v>
      </c>
      <c r="G24" s="4"/>
      <c r="H24" s="3">
        <f>P19</f>
        <v>103.19537</v>
      </c>
      <c r="I24" s="35"/>
      <c r="J24" s="4"/>
      <c r="K24" s="3">
        <f>S19</f>
        <v>43.310589999999998</v>
      </c>
      <c r="L24" s="3">
        <f t="shared" si="0"/>
        <v>59.884779999999999</v>
      </c>
      <c r="M24" s="64">
        <f>NormStandard!O24*L24</f>
        <v>7.3856042411053924E-2</v>
      </c>
    </row>
    <row r="25" spans="2:19">
      <c r="B25" s="1"/>
      <c r="C25" s="5">
        <v>11</v>
      </c>
      <c r="D25" s="1">
        <v>90</v>
      </c>
      <c r="E25" s="1"/>
      <c r="F25" s="2" t="s">
        <v>2</v>
      </c>
      <c r="G25" s="2">
        <v>0.158</v>
      </c>
      <c r="H25" s="4"/>
      <c r="I25" s="35"/>
      <c r="J25" s="203">
        <f>Conc1!J25</f>
        <v>0.03</v>
      </c>
      <c r="K25" s="4"/>
      <c r="L25" s="2">
        <f t="shared" si="0"/>
        <v>0.128</v>
      </c>
      <c r="M25" s="25">
        <f>NormStandard!O25*L25</f>
        <v>0.13573950560071049</v>
      </c>
    </row>
    <row r="26" spans="2:19">
      <c r="B26" s="1"/>
      <c r="C26" s="5">
        <v>12</v>
      </c>
      <c r="D26" s="1">
        <v>99</v>
      </c>
      <c r="E26" s="1"/>
      <c r="F26" s="3" t="s">
        <v>1</v>
      </c>
      <c r="G26" s="4"/>
      <c r="H26" s="3">
        <f>P20</f>
        <v>24.55104</v>
      </c>
      <c r="I26" s="35"/>
      <c r="J26" s="4"/>
      <c r="K26" s="3">
        <f>S20</f>
        <v>3.1831499999999999</v>
      </c>
      <c r="L26" s="3">
        <f t="shared" si="0"/>
        <v>21.367889999999999</v>
      </c>
      <c r="M26" s="64">
        <f>NormStandard!O26*L26</f>
        <v>6.0667559163135695E-2</v>
      </c>
    </row>
    <row r="27" spans="2:19">
      <c r="B27" s="1"/>
      <c r="C27" s="5">
        <v>13</v>
      </c>
      <c r="D27" s="1">
        <v>108</v>
      </c>
      <c r="E27" s="1"/>
      <c r="F27" s="31" t="s">
        <v>53</v>
      </c>
      <c r="G27" s="32"/>
      <c r="H27" s="4"/>
      <c r="I27" s="35"/>
      <c r="J27" s="32" t="s">
        <v>54</v>
      </c>
      <c r="K27" s="32" t="s">
        <v>54</v>
      </c>
      <c r="L27" s="32" t="s">
        <v>54</v>
      </c>
      <c r="M27" s="32" t="str">
        <f>NormStandard!O27</f>
        <v>---</v>
      </c>
    </row>
    <row r="28" spans="2:19">
      <c r="B28" s="1"/>
      <c r="C28" s="5">
        <v>14</v>
      </c>
      <c r="D28" s="1">
        <v>117</v>
      </c>
      <c r="E28" s="1"/>
      <c r="F28" s="3" t="s">
        <v>1</v>
      </c>
      <c r="G28" s="4"/>
      <c r="H28" s="3">
        <f>P21</f>
        <v>45.626379999999997</v>
      </c>
      <c r="I28" s="35"/>
      <c r="J28" s="4"/>
      <c r="K28" s="3">
        <f>S21</f>
        <v>5.2176600000000004</v>
      </c>
      <c r="L28" s="3">
        <f>G28+H28-J28-K28</f>
        <v>40.408719999999995</v>
      </c>
      <c r="M28" s="64">
        <f>NormStandard!O28*L28</f>
        <v>0.12292790843386632</v>
      </c>
    </row>
    <row r="29" spans="2:19">
      <c r="B29" s="1"/>
      <c r="C29" s="5">
        <v>15</v>
      </c>
      <c r="D29" s="1">
        <v>126</v>
      </c>
      <c r="E29" s="1"/>
      <c r="F29" s="2" t="s">
        <v>2</v>
      </c>
      <c r="G29" s="2">
        <v>0.20799999999999999</v>
      </c>
      <c r="H29" s="4"/>
      <c r="I29" s="35"/>
      <c r="J29" s="203">
        <f>Conc1!J29</f>
        <v>4.9000000000000002E-2</v>
      </c>
      <c r="K29" s="4"/>
      <c r="L29" s="2">
        <f>G29+H29-J29-K29</f>
        <v>0.15899999999999997</v>
      </c>
      <c r="M29" s="25">
        <f>NormStandard!O29*L29</f>
        <v>0.13206402372216908</v>
      </c>
    </row>
    <row r="30" spans="2:19">
      <c r="B30" s="1"/>
      <c r="C30" s="5">
        <v>16</v>
      </c>
      <c r="D30" s="1">
        <v>134</v>
      </c>
      <c r="E30" s="1"/>
      <c r="F30" s="3" t="s">
        <v>1</v>
      </c>
      <c r="G30" s="4"/>
      <c r="H30" s="3">
        <f>P22</f>
        <v>67.198490000000007</v>
      </c>
      <c r="I30" s="35"/>
      <c r="J30" s="4"/>
      <c r="K30" s="3">
        <f>S22</f>
        <v>9.1796500000000005</v>
      </c>
      <c r="L30" s="3">
        <f>G30+H30-J30-K30</f>
        <v>58.018840000000004</v>
      </c>
      <c r="M30" s="64">
        <f>NormStandard!O30*L30</f>
        <v>0.18617578043219243</v>
      </c>
    </row>
    <row r="31" spans="2:19">
      <c r="B31" s="1"/>
      <c r="C31" s="5">
        <v>17</v>
      </c>
      <c r="D31" s="1">
        <v>141</v>
      </c>
      <c r="E31" s="1"/>
      <c r="F31" s="2" t="s">
        <v>2</v>
      </c>
      <c r="G31" s="2">
        <v>0.11799999999999999</v>
      </c>
      <c r="H31" s="4"/>
      <c r="I31" s="35"/>
      <c r="J31" s="203">
        <f>Conc1!J31</f>
        <v>2.5000000000000001E-2</v>
      </c>
      <c r="K31" s="4"/>
      <c r="L31" s="2">
        <f>G31+H31-J31-K31</f>
        <v>9.2999999999999999E-2</v>
      </c>
      <c r="M31" s="25">
        <f>NormStandard!O31*L31</f>
        <v>0.14125201117760494</v>
      </c>
    </row>
    <row r="32" spans="2:19">
      <c r="B32" s="1"/>
      <c r="C32" s="5">
        <v>18</v>
      </c>
      <c r="D32" s="1">
        <v>147</v>
      </c>
      <c r="E32" s="1"/>
      <c r="F32" s="3" t="s">
        <v>1</v>
      </c>
      <c r="G32" s="4"/>
      <c r="H32" s="3">
        <f>P23</f>
        <v>80.578540000000004</v>
      </c>
      <c r="I32" s="35"/>
      <c r="J32" s="4"/>
      <c r="K32" s="3">
        <f>S23</f>
        <v>13.594099999999999</v>
      </c>
      <c r="L32" s="3">
        <f>G32+H32-J32-K32</f>
        <v>66.984440000000006</v>
      </c>
      <c r="M32" s="64">
        <f>NormStandard!O32*L32</f>
        <v>0.11666372838077065</v>
      </c>
    </row>
  </sheetData>
  <mergeCells count="1">
    <mergeCell ref="M12:M13"/>
  </mergeCells>
  <pageMargins left="0.7" right="0.7" top="0.75" bottom="0.75" header="0.3" footer="0.3"/>
  <pageSetup orientation="portrait" horizontalDpi="4294967293" verticalDpi="4294967293"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15653-FDD2-4E26-938F-66D4BA6036A5}">
  <dimension ref="B1:S32"/>
  <sheetViews>
    <sheetView topLeftCell="A7"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c r="H15" s="4"/>
      <c r="I15" s="35"/>
      <c r="J15" s="203">
        <f>Conc1!J15</f>
        <v>8.5999999999999993E-2</v>
      </c>
      <c r="K15" s="4"/>
      <c r="L15" s="2">
        <f>G15+H15-J15-K15</f>
        <v>-8.5999999999999993E-2</v>
      </c>
      <c r="M15" s="25">
        <f>NormStandard!O15*L15</f>
        <v>-8.4822390962514843E-2</v>
      </c>
      <c r="O15" s="29" t="s">
        <v>35</v>
      </c>
      <c r="P15" s="30"/>
      <c r="Q15" s="11"/>
      <c r="R15" s="190"/>
      <c r="S15" s="191"/>
    </row>
    <row r="16" spans="2:19">
      <c r="B16" s="1"/>
      <c r="C16" s="5">
        <v>2</v>
      </c>
      <c r="D16" s="1">
        <v>28</v>
      </c>
      <c r="E16" s="1"/>
      <c r="F16" s="2" t="s">
        <v>2</v>
      </c>
      <c r="G16" s="2"/>
      <c r="H16" s="4"/>
      <c r="I16" s="35"/>
      <c r="J16" s="203">
        <f>Conc1!J16</f>
        <v>4.9000000000000002E-2</v>
      </c>
      <c r="K16" s="4"/>
      <c r="L16" s="2">
        <f>G16+H16-J16-K16</f>
        <v>-4.9000000000000002E-2</v>
      </c>
      <c r="M16" s="25">
        <f>NormStandard!O16*L16</f>
        <v>-7.6696717403968662E-2</v>
      </c>
      <c r="O16" s="19" t="s">
        <v>27</v>
      </c>
      <c r="P16" s="206"/>
      <c r="R16" s="19" t="s">
        <v>27</v>
      </c>
      <c r="S16" s="204">
        <f>Conc1!S16</f>
        <v>14.14034</v>
      </c>
    </row>
    <row r="17" spans="2:19">
      <c r="B17" s="1"/>
      <c r="C17" s="5">
        <v>3</v>
      </c>
      <c r="D17" s="1">
        <v>32</v>
      </c>
      <c r="E17" s="1"/>
      <c r="F17" s="2" t="s">
        <v>2</v>
      </c>
      <c r="G17" s="2"/>
      <c r="H17" s="4"/>
      <c r="I17" s="35"/>
      <c r="J17" s="203">
        <f>Conc1!J17</f>
        <v>0.03</v>
      </c>
      <c r="K17" s="4"/>
      <c r="L17" s="2">
        <f>G17+H17-J17-K17</f>
        <v>-0.03</v>
      </c>
      <c r="M17" s="25">
        <f>NormStandard!O17*L17</f>
        <v>-3.5918593911456922E-2</v>
      </c>
      <c r="O17" s="19" t="s">
        <v>28</v>
      </c>
      <c r="P17" s="206"/>
      <c r="R17" s="19" t="s">
        <v>28</v>
      </c>
      <c r="S17" s="204">
        <f>Conc1!S17</f>
        <v>20.997260000000001</v>
      </c>
    </row>
    <row r="18" spans="2:19">
      <c r="B18" s="1"/>
      <c r="C18" s="5">
        <v>4</v>
      </c>
      <c r="D18" s="1">
        <v>38</v>
      </c>
      <c r="E18" s="1"/>
      <c r="F18" s="31" t="s">
        <v>53</v>
      </c>
      <c r="G18" s="32" t="s">
        <v>54</v>
      </c>
      <c r="H18" s="4"/>
      <c r="I18" s="35"/>
      <c r="J18" s="32" t="s">
        <v>54</v>
      </c>
      <c r="K18" s="4"/>
      <c r="L18" s="32" t="s">
        <v>54</v>
      </c>
      <c r="M18" s="32" t="str">
        <f>NormStandard!O18</f>
        <v>---</v>
      </c>
      <c r="O18" s="19" t="s">
        <v>29</v>
      </c>
      <c r="P18" s="206"/>
      <c r="R18" s="19" t="s">
        <v>29</v>
      </c>
      <c r="S18" s="204">
        <f>Conc1!S18</f>
        <v>25.055669999999999</v>
      </c>
    </row>
    <row r="19" spans="2:19">
      <c r="B19" s="1"/>
      <c r="C19" s="5">
        <v>5</v>
      </c>
      <c r="D19" s="1">
        <v>44</v>
      </c>
      <c r="E19" s="1"/>
      <c r="F19" s="3" t="s">
        <v>1</v>
      </c>
      <c r="G19" s="4"/>
      <c r="H19" s="3">
        <f>P16</f>
        <v>0</v>
      </c>
      <c r="I19" s="35"/>
      <c r="J19" s="4"/>
      <c r="K19" s="3">
        <f>S16</f>
        <v>14.14034</v>
      </c>
      <c r="L19" s="3">
        <f t="shared" ref="L19:L26" si="0">G19+H19-J19-K19</f>
        <v>-14.14034</v>
      </c>
      <c r="M19" s="64">
        <f>NormStandard!O19*L19</f>
        <v>-5.4352297920450071E-2</v>
      </c>
      <c r="O19" s="19" t="s">
        <v>30</v>
      </c>
      <c r="P19" s="206"/>
      <c r="R19" s="19" t="s">
        <v>30</v>
      </c>
      <c r="S19" s="204">
        <f>Conc1!S19</f>
        <v>43.310589999999998</v>
      </c>
    </row>
    <row r="20" spans="2:19">
      <c r="B20" s="1"/>
      <c r="C20" s="5">
        <v>6</v>
      </c>
      <c r="D20" s="1">
        <v>50</v>
      </c>
      <c r="E20" s="1"/>
      <c r="F20" s="3" t="s">
        <v>1</v>
      </c>
      <c r="G20" s="4"/>
      <c r="H20" s="3">
        <f>P17</f>
        <v>0</v>
      </c>
      <c r="I20" s="35"/>
      <c r="J20" s="4"/>
      <c r="K20" s="3">
        <f>S17</f>
        <v>20.997260000000001</v>
      </c>
      <c r="L20" s="3">
        <f t="shared" si="0"/>
        <v>-20.997260000000001</v>
      </c>
      <c r="M20" s="64">
        <f>NormStandard!O20*L20</f>
        <v>-2.4124313700592426E-2</v>
      </c>
      <c r="O20" s="19" t="s">
        <v>31</v>
      </c>
      <c r="P20" s="206"/>
      <c r="R20" s="19" t="s">
        <v>31</v>
      </c>
      <c r="S20" s="204">
        <f>Conc1!S20</f>
        <v>3.1831499999999999</v>
      </c>
    </row>
    <row r="21" spans="2:19">
      <c r="B21" s="1"/>
      <c r="C21" s="5">
        <v>7</v>
      </c>
      <c r="D21" s="1">
        <v>57</v>
      </c>
      <c r="E21" s="1"/>
      <c r="F21" s="2" t="s">
        <v>2</v>
      </c>
      <c r="G21" s="2"/>
      <c r="H21" s="4"/>
      <c r="I21" s="35"/>
      <c r="J21" s="203">
        <f>Conc1!J21</f>
        <v>5.0999999999999997E-2</v>
      </c>
      <c r="K21" s="4"/>
      <c r="L21" s="2">
        <f t="shared" si="0"/>
        <v>-5.0999999999999997E-2</v>
      </c>
      <c r="M21" s="25">
        <f>NormStandard!O21*L21</f>
        <v>-4.4935616412029977E-2</v>
      </c>
      <c r="O21" s="19" t="s">
        <v>32</v>
      </c>
      <c r="P21" s="206"/>
      <c r="R21" s="19" t="s">
        <v>32</v>
      </c>
      <c r="S21" s="204">
        <f>Conc1!S21</f>
        <v>5.2176600000000004</v>
      </c>
    </row>
    <row r="22" spans="2:19">
      <c r="B22" s="1"/>
      <c r="C22" s="5">
        <v>8</v>
      </c>
      <c r="D22" s="1">
        <v>64</v>
      </c>
      <c r="E22" s="1"/>
      <c r="F22" s="3" t="s">
        <v>1</v>
      </c>
      <c r="G22" s="4"/>
      <c r="H22" s="3">
        <f>P18</f>
        <v>0</v>
      </c>
      <c r="I22" s="35"/>
      <c r="J22" s="4"/>
      <c r="K22" s="3">
        <f>S18</f>
        <v>25.055669999999999</v>
      </c>
      <c r="L22" s="3">
        <f t="shared" si="0"/>
        <v>-25.055669999999999</v>
      </c>
      <c r="M22" s="64">
        <f>NormStandard!O22*L22</f>
        <v>-3.1538530577540323E-2</v>
      </c>
      <c r="O22" s="19" t="s">
        <v>33</v>
      </c>
      <c r="P22" s="206"/>
      <c r="R22" s="19" t="s">
        <v>33</v>
      </c>
      <c r="S22" s="204">
        <f>Conc1!S22</f>
        <v>9.1796500000000005</v>
      </c>
    </row>
    <row r="23" spans="2:19" ht="14.65" thickBot="1">
      <c r="B23" s="1"/>
      <c r="C23" s="5">
        <v>9</v>
      </c>
      <c r="D23" s="1">
        <v>72</v>
      </c>
      <c r="E23" s="1"/>
      <c r="F23" s="2" t="s">
        <v>2</v>
      </c>
      <c r="G23" s="2"/>
      <c r="H23" s="4"/>
      <c r="I23" s="35"/>
      <c r="J23" s="203">
        <f>Conc1!J23</f>
        <v>3.4000000000000002E-2</v>
      </c>
      <c r="K23" s="4"/>
      <c r="L23" s="2">
        <f t="shared" si="0"/>
        <v>-3.4000000000000002E-2</v>
      </c>
      <c r="M23" s="25">
        <f>NormStandard!O23*L23</f>
        <v>-3.2430036966311568E-2</v>
      </c>
      <c r="O23" s="21" t="s">
        <v>34</v>
      </c>
      <c r="P23" s="207"/>
      <c r="R23" s="21" t="s">
        <v>34</v>
      </c>
      <c r="S23" s="205">
        <f>Conc1!S23</f>
        <v>13.594099999999999</v>
      </c>
    </row>
    <row r="24" spans="2:19">
      <c r="B24" s="1"/>
      <c r="C24" s="5">
        <v>10</v>
      </c>
      <c r="D24" s="1">
        <v>81</v>
      </c>
      <c r="E24" s="1"/>
      <c r="F24" s="3" t="s">
        <v>1</v>
      </c>
      <c r="G24" s="4"/>
      <c r="H24" s="3">
        <f>P19</f>
        <v>0</v>
      </c>
      <c r="I24" s="35"/>
      <c r="J24" s="4"/>
      <c r="K24" s="3">
        <f>S19</f>
        <v>43.310589999999998</v>
      </c>
      <c r="L24" s="3">
        <f t="shared" si="0"/>
        <v>-43.310589999999998</v>
      </c>
      <c r="M24" s="64">
        <f>NormStandard!O24*L24</f>
        <v>-5.3415054240622872E-2</v>
      </c>
    </row>
    <row r="25" spans="2:19">
      <c r="B25" s="1"/>
      <c r="C25" s="5">
        <v>11</v>
      </c>
      <c r="D25" s="1">
        <v>90</v>
      </c>
      <c r="E25" s="1"/>
      <c r="F25" s="2" t="s">
        <v>2</v>
      </c>
      <c r="G25" s="2"/>
      <c r="H25" s="4"/>
      <c r="I25" s="35"/>
      <c r="J25" s="203">
        <f>Conc1!J25</f>
        <v>0.03</v>
      </c>
      <c r="K25" s="4"/>
      <c r="L25" s="2">
        <f t="shared" si="0"/>
        <v>-0.03</v>
      </c>
      <c r="M25" s="25">
        <f>NormStandard!O25*L25</f>
        <v>-3.1813946625166518E-2</v>
      </c>
    </row>
    <row r="26" spans="2:19">
      <c r="B26" s="1"/>
      <c r="C26" s="5">
        <v>12</v>
      </c>
      <c r="D26" s="1">
        <v>99</v>
      </c>
      <c r="E26" s="1"/>
      <c r="F26" s="3" t="s">
        <v>1</v>
      </c>
      <c r="G26" s="4"/>
      <c r="H26" s="3">
        <f>P20</f>
        <v>0</v>
      </c>
      <c r="I26" s="35"/>
      <c r="J26" s="4"/>
      <c r="K26" s="3">
        <f>S20</f>
        <v>3.1831499999999999</v>
      </c>
      <c r="L26" s="3">
        <f t="shared" si="0"/>
        <v>-3.1831499999999999</v>
      </c>
      <c r="M26" s="64">
        <f>NormStandard!O26*L26</f>
        <v>-9.037576520196211E-3</v>
      </c>
    </row>
    <row r="27" spans="2:19">
      <c r="B27" s="1"/>
      <c r="C27" s="5">
        <v>13</v>
      </c>
      <c r="D27" s="1">
        <v>108</v>
      </c>
      <c r="E27" s="1"/>
      <c r="F27" s="31" t="s">
        <v>53</v>
      </c>
      <c r="G27" s="32" t="s">
        <v>54</v>
      </c>
      <c r="H27" s="4"/>
      <c r="I27" s="35"/>
      <c r="J27" s="32" t="s">
        <v>54</v>
      </c>
      <c r="K27" s="32" t="s">
        <v>54</v>
      </c>
      <c r="L27" s="32" t="s">
        <v>54</v>
      </c>
      <c r="M27" s="32" t="str">
        <f>NormStandard!O27</f>
        <v>---</v>
      </c>
    </row>
    <row r="28" spans="2:19">
      <c r="B28" s="1"/>
      <c r="C28" s="5">
        <v>14</v>
      </c>
      <c r="D28" s="1">
        <v>117</v>
      </c>
      <c r="E28" s="1"/>
      <c r="F28" s="3" t="s">
        <v>1</v>
      </c>
      <c r="G28" s="4"/>
      <c r="H28" s="3">
        <f>P21</f>
        <v>0</v>
      </c>
      <c r="I28" s="35"/>
      <c r="J28" s="4"/>
      <c r="K28" s="3">
        <f>S21</f>
        <v>5.2176600000000004</v>
      </c>
      <c r="L28" s="3">
        <f>G28+H28-J28-K28</f>
        <v>-5.2176600000000004</v>
      </c>
      <c r="M28" s="64">
        <f>NormStandard!O28*L28</f>
        <v>-1.587271338263244E-2</v>
      </c>
    </row>
    <row r="29" spans="2:19">
      <c r="B29" s="1"/>
      <c r="C29" s="5">
        <v>15</v>
      </c>
      <c r="D29" s="1">
        <v>126</v>
      </c>
      <c r="E29" s="1"/>
      <c r="F29" s="2" t="s">
        <v>2</v>
      </c>
      <c r="G29" s="2"/>
      <c r="H29" s="4"/>
      <c r="I29" s="35"/>
      <c r="J29" s="203">
        <f>Conc1!J29</f>
        <v>4.9000000000000002E-2</v>
      </c>
      <c r="K29" s="4"/>
      <c r="L29" s="2">
        <f>G29+H29-J29-K29</f>
        <v>-4.9000000000000002E-2</v>
      </c>
      <c r="M29" s="25">
        <f>NormStandard!O29*L29</f>
        <v>-4.0698975864064686E-2</v>
      </c>
    </row>
    <row r="30" spans="2:19">
      <c r="B30" s="1"/>
      <c r="C30" s="5">
        <v>16</v>
      </c>
      <c r="D30" s="1">
        <v>134</v>
      </c>
      <c r="E30" s="1"/>
      <c r="F30" s="3" t="s">
        <v>1</v>
      </c>
      <c r="G30" s="4"/>
      <c r="H30" s="3">
        <f>P22</f>
        <v>0</v>
      </c>
      <c r="I30" s="35"/>
      <c r="J30" s="4"/>
      <c r="K30" s="3">
        <f>S22</f>
        <v>9.1796500000000005</v>
      </c>
      <c r="L30" s="3">
        <f>G30+H30-J30-K30</f>
        <v>-9.1796500000000005</v>
      </c>
      <c r="M30" s="64">
        <f>NormStandard!O30*L30</f>
        <v>-2.9456440405295509E-2</v>
      </c>
    </row>
    <row r="31" spans="2:19">
      <c r="B31" s="1"/>
      <c r="C31" s="5">
        <v>17</v>
      </c>
      <c r="D31" s="1">
        <v>141</v>
      </c>
      <c r="E31" s="1"/>
      <c r="F31" s="2" t="s">
        <v>2</v>
      </c>
      <c r="G31" s="2"/>
      <c r="H31" s="4"/>
      <c r="I31" s="35"/>
      <c r="J31" s="203">
        <f>Conc1!J31</f>
        <v>2.5000000000000001E-2</v>
      </c>
      <c r="K31" s="4"/>
      <c r="L31" s="2">
        <f>G31+H31-J31-K31</f>
        <v>-2.5000000000000001E-2</v>
      </c>
      <c r="M31" s="25">
        <f>NormStandard!O31*L31</f>
        <v>-3.7970970746667998E-2</v>
      </c>
    </row>
    <row r="32" spans="2:19">
      <c r="B32" s="1"/>
      <c r="C32" s="5">
        <v>18</v>
      </c>
      <c r="D32" s="1">
        <v>147</v>
      </c>
      <c r="E32" s="1"/>
      <c r="F32" s="3" t="s">
        <v>1</v>
      </c>
      <c r="G32" s="4"/>
      <c r="H32" s="3">
        <f>P23</f>
        <v>0</v>
      </c>
      <c r="I32" s="35"/>
      <c r="J32" s="4"/>
      <c r="K32" s="3">
        <f>S23</f>
        <v>13.594099999999999</v>
      </c>
      <c r="L32" s="3">
        <f>G32+H32-J32-K32</f>
        <v>-13.594099999999999</v>
      </c>
      <c r="M32" s="64">
        <f>NormStandard!O32*L32</f>
        <v>-2.3676220775765745E-2</v>
      </c>
    </row>
  </sheetData>
  <mergeCells count="1">
    <mergeCell ref="M12:M13"/>
  </mergeCells>
  <pageMargins left="0.7" right="0.7" top="0.75" bottom="0.75" header="0.3" footer="0.3"/>
  <pageSetup orientation="portrait" horizontalDpi="4294967293" verticalDpi="4294967293"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FB1E5-0FD6-4066-B286-F639C60A780F}">
  <dimension ref="B1:S32"/>
  <sheetViews>
    <sheetView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c r="H15" s="4"/>
      <c r="I15" s="35"/>
      <c r="J15" s="203">
        <f>Conc1!J15</f>
        <v>8.5999999999999993E-2</v>
      </c>
      <c r="K15" s="4"/>
      <c r="L15" s="2">
        <f>G15+H15-J15-K15</f>
        <v>-8.5999999999999993E-2</v>
      </c>
      <c r="M15" s="25">
        <f>NormStandard!O15*L15</f>
        <v>-8.4822390962514843E-2</v>
      </c>
      <c r="O15" s="29" t="s">
        <v>35</v>
      </c>
      <c r="P15" s="30"/>
      <c r="Q15" s="11"/>
      <c r="R15" s="190"/>
      <c r="S15" s="191"/>
    </row>
    <row r="16" spans="2:19">
      <c r="B16" s="1"/>
      <c r="C16" s="5">
        <v>2</v>
      </c>
      <c r="D16" s="1">
        <v>28</v>
      </c>
      <c r="E16" s="1"/>
      <c r="F16" s="2" t="s">
        <v>2</v>
      </c>
      <c r="G16" s="2"/>
      <c r="H16" s="4"/>
      <c r="I16" s="35"/>
      <c r="J16" s="203">
        <f>Conc1!J16</f>
        <v>4.9000000000000002E-2</v>
      </c>
      <c r="K16" s="4"/>
      <c r="L16" s="2">
        <f>G16+H16-J16-K16</f>
        <v>-4.9000000000000002E-2</v>
      </c>
      <c r="M16" s="25">
        <f>NormStandard!O16*L16</f>
        <v>-7.6696717403968662E-2</v>
      </c>
      <c r="O16" s="19" t="s">
        <v>27</v>
      </c>
      <c r="P16" s="206"/>
      <c r="R16" s="19" t="s">
        <v>27</v>
      </c>
      <c r="S16" s="204">
        <f>Conc1!S16</f>
        <v>14.14034</v>
      </c>
    </row>
    <row r="17" spans="2:19">
      <c r="B17" s="1"/>
      <c r="C17" s="5">
        <v>3</v>
      </c>
      <c r="D17" s="1">
        <v>32</v>
      </c>
      <c r="E17" s="1"/>
      <c r="F17" s="2" t="s">
        <v>2</v>
      </c>
      <c r="G17" s="2"/>
      <c r="H17" s="4"/>
      <c r="I17" s="35"/>
      <c r="J17" s="203">
        <f>Conc1!J17</f>
        <v>0.03</v>
      </c>
      <c r="K17" s="4"/>
      <c r="L17" s="2">
        <f>G17+H17-J17-K17</f>
        <v>-0.03</v>
      </c>
      <c r="M17" s="25">
        <f>NormStandard!O17*L17</f>
        <v>-3.5918593911456922E-2</v>
      </c>
      <c r="O17" s="19" t="s">
        <v>28</v>
      </c>
      <c r="P17" s="206"/>
      <c r="R17" s="19" t="s">
        <v>28</v>
      </c>
      <c r="S17" s="204">
        <f>Conc1!S17</f>
        <v>20.997260000000001</v>
      </c>
    </row>
    <row r="18" spans="2:19">
      <c r="B18" s="1"/>
      <c r="C18" s="5">
        <v>4</v>
      </c>
      <c r="D18" s="1">
        <v>38</v>
      </c>
      <c r="E18" s="1"/>
      <c r="F18" s="31" t="s">
        <v>53</v>
      </c>
      <c r="G18" s="32" t="s">
        <v>54</v>
      </c>
      <c r="H18" s="4"/>
      <c r="I18" s="35"/>
      <c r="J18" s="32" t="s">
        <v>54</v>
      </c>
      <c r="K18" s="4"/>
      <c r="L18" s="32" t="s">
        <v>54</v>
      </c>
      <c r="M18" s="32" t="str">
        <f>NormStandard!O18</f>
        <v>---</v>
      </c>
      <c r="O18" s="19" t="s">
        <v>29</v>
      </c>
      <c r="P18" s="206"/>
      <c r="R18" s="19" t="s">
        <v>29</v>
      </c>
      <c r="S18" s="204">
        <f>Conc1!S18</f>
        <v>25.055669999999999</v>
      </c>
    </row>
    <row r="19" spans="2:19">
      <c r="B19" s="1"/>
      <c r="C19" s="5">
        <v>5</v>
      </c>
      <c r="D19" s="1">
        <v>44</v>
      </c>
      <c r="E19" s="1"/>
      <c r="F19" s="3" t="s">
        <v>1</v>
      </c>
      <c r="G19" s="4"/>
      <c r="H19" s="3">
        <f>P16</f>
        <v>0</v>
      </c>
      <c r="I19" s="35"/>
      <c r="J19" s="4"/>
      <c r="K19" s="3">
        <f>S16</f>
        <v>14.14034</v>
      </c>
      <c r="L19" s="3">
        <f t="shared" ref="L19:L26" si="0">G19+H19-J19-K19</f>
        <v>-14.14034</v>
      </c>
      <c r="M19" s="64">
        <f>NormStandard!O19*L19</f>
        <v>-5.4352297920450071E-2</v>
      </c>
      <c r="O19" s="19" t="s">
        <v>30</v>
      </c>
      <c r="P19" s="206"/>
      <c r="R19" s="19" t="s">
        <v>30</v>
      </c>
      <c r="S19" s="204">
        <f>Conc1!S19</f>
        <v>43.310589999999998</v>
      </c>
    </row>
    <row r="20" spans="2:19">
      <c r="B20" s="1"/>
      <c r="C20" s="5">
        <v>6</v>
      </c>
      <c r="D20" s="1">
        <v>50</v>
      </c>
      <c r="E20" s="1"/>
      <c r="F20" s="3" t="s">
        <v>1</v>
      </c>
      <c r="G20" s="4"/>
      <c r="H20" s="3">
        <f>P17</f>
        <v>0</v>
      </c>
      <c r="I20" s="35"/>
      <c r="J20" s="4"/>
      <c r="K20" s="3">
        <f>S17</f>
        <v>20.997260000000001</v>
      </c>
      <c r="L20" s="3">
        <f t="shared" si="0"/>
        <v>-20.997260000000001</v>
      </c>
      <c r="M20" s="64">
        <f>NormStandard!O20*L20</f>
        <v>-2.4124313700592426E-2</v>
      </c>
      <c r="O20" s="19" t="s">
        <v>31</v>
      </c>
      <c r="P20" s="206"/>
      <c r="R20" s="19" t="s">
        <v>31</v>
      </c>
      <c r="S20" s="204">
        <f>Conc1!S20</f>
        <v>3.1831499999999999</v>
      </c>
    </row>
    <row r="21" spans="2:19">
      <c r="B21" s="1"/>
      <c r="C21" s="5">
        <v>7</v>
      </c>
      <c r="D21" s="1">
        <v>57</v>
      </c>
      <c r="E21" s="1"/>
      <c r="F21" s="2" t="s">
        <v>2</v>
      </c>
      <c r="G21" s="2"/>
      <c r="H21" s="4"/>
      <c r="I21" s="35"/>
      <c r="J21" s="203">
        <f>Conc1!J21</f>
        <v>5.0999999999999997E-2</v>
      </c>
      <c r="K21" s="4"/>
      <c r="L21" s="2">
        <f t="shared" si="0"/>
        <v>-5.0999999999999997E-2</v>
      </c>
      <c r="M21" s="25">
        <f>NormStandard!O21*L21</f>
        <v>-4.4935616412029977E-2</v>
      </c>
      <c r="O21" s="19" t="s">
        <v>32</v>
      </c>
      <c r="P21" s="206"/>
      <c r="R21" s="19" t="s">
        <v>32</v>
      </c>
      <c r="S21" s="204">
        <f>Conc1!S21</f>
        <v>5.2176600000000004</v>
      </c>
    </row>
    <row r="22" spans="2:19">
      <c r="B22" s="1"/>
      <c r="C22" s="5">
        <v>8</v>
      </c>
      <c r="D22" s="1">
        <v>64</v>
      </c>
      <c r="E22" s="1"/>
      <c r="F22" s="3" t="s">
        <v>1</v>
      </c>
      <c r="G22" s="4"/>
      <c r="H22" s="3">
        <f>P18</f>
        <v>0</v>
      </c>
      <c r="I22" s="35"/>
      <c r="J22" s="4"/>
      <c r="K22" s="3">
        <f>S18</f>
        <v>25.055669999999999</v>
      </c>
      <c r="L22" s="3">
        <f t="shared" si="0"/>
        <v>-25.055669999999999</v>
      </c>
      <c r="M22" s="64">
        <f>NormStandard!O22*L22</f>
        <v>-3.1538530577540323E-2</v>
      </c>
      <c r="O22" s="19" t="s">
        <v>33</v>
      </c>
      <c r="P22" s="206"/>
      <c r="R22" s="19" t="s">
        <v>33</v>
      </c>
      <c r="S22" s="204">
        <f>Conc1!S22</f>
        <v>9.1796500000000005</v>
      </c>
    </row>
    <row r="23" spans="2:19" ht="14.65" thickBot="1">
      <c r="B23" s="1"/>
      <c r="C23" s="5">
        <v>9</v>
      </c>
      <c r="D23" s="1">
        <v>72</v>
      </c>
      <c r="E23" s="1"/>
      <c r="F23" s="2" t="s">
        <v>2</v>
      </c>
      <c r="G23" s="2"/>
      <c r="H23" s="4"/>
      <c r="I23" s="35"/>
      <c r="J23" s="203">
        <f>Conc1!J23</f>
        <v>3.4000000000000002E-2</v>
      </c>
      <c r="K23" s="4"/>
      <c r="L23" s="2">
        <f t="shared" si="0"/>
        <v>-3.4000000000000002E-2</v>
      </c>
      <c r="M23" s="25">
        <f>NormStandard!O23*L23</f>
        <v>-3.2430036966311568E-2</v>
      </c>
      <c r="O23" s="21" t="s">
        <v>34</v>
      </c>
      <c r="P23" s="207"/>
      <c r="R23" s="21" t="s">
        <v>34</v>
      </c>
      <c r="S23" s="205">
        <f>Conc1!S23</f>
        <v>13.594099999999999</v>
      </c>
    </row>
    <row r="24" spans="2:19">
      <c r="B24" s="1"/>
      <c r="C24" s="5">
        <v>10</v>
      </c>
      <c r="D24" s="1">
        <v>81</v>
      </c>
      <c r="E24" s="1"/>
      <c r="F24" s="3" t="s">
        <v>1</v>
      </c>
      <c r="G24" s="4"/>
      <c r="H24" s="3">
        <f>P19</f>
        <v>0</v>
      </c>
      <c r="I24" s="35"/>
      <c r="J24" s="4"/>
      <c r="K24" s="3">
        <f>S19</f>
        <v>43.310589999999998</v>
      </c>
      <c r="L24" s="3">
        <f t="shared" si="0"/>
        <v>-43.310589999999998</v>
      </c>
      <c r="M24" s="64">
        <f>NormStandard!O24*L24</f>
        <v>-5.3415054240622872E-2</v>
      </c>
    </row>
    <row r="25" spans="2:19">
      <c r="B25" s="1"/>
      <c r="C25" s="5">
        <v>11</v>
      </c>
      <c r="D25" s="1">
        <v>90</v>
      </c>
      <c r="E25" s="1"/>
      <c r="F25" s="2" t="s">
        <v>2</v>
      </c>
      <c r="G25" s="2"/>
      <c r="H25" s="4"/>
      <c r="I25" s="35"/>
      <c r="J25" s="203">
        <f>Conc1!J25</f>
        <v>0.03</v>
      </c>
      <c r="K25" s="4"/>
      <c r="L25" s="2">
        <f t="shared" si="0"/>
        <v>-0.03</v>
      </c>
      <c r="M25" s="25">
        <f>NormStandard!O25*L25</f>
        <v>-3.1813946625166518E-2</v>
      </c>
    </row>
    <row r="26" spans="2:19">
      <c r="B26" s="1"/>
      <c r="C26" s="5">
        <v>12</v>
      </c>
      <c r="D26" s="1">
        <v>99</v>
      </c>
      <c r="E26" s="1"/>
      <c r="F26" s="3" t="s">
        <v>1</v>
      </c>
      <c r="G26" s="4"/>
      <c r="H26" s="3">
        <f>P20</f>
        <v>0</v>
      </c>
      <c r="I26" s="35"/>
      <c r="J26" s="4"/>
      <c r="K26" s="3">
        <f>S20</f>
        <v>3.1831499999999999</v>
      </c>
      <c r="L26" s="3">
        <f t="shared" si="0"/>
        <v>-3.1831499999999999</v>
      </c>
      <c r="M26" s="64">
        <f>NormStandard!O26*L26</f>
        <v>-9.037576520196211E-3</v>
      </c>
    </row>
    <row r="27" spans="2:19">
      <c r="B27" s="1"/>
      <c r="C27" s="5">
        <v>13</v>
      </c>
      <c r="D27" s="1">
        <v>108</v>
      </c>
      <c r="E27" s="1"/>
      <c r="F27" s="31" t="s">
        <v>53</v>
      </c>
      <c r="G27" s="32" t="s">
        <v>54</v>
      </c>
      <c r="H27" s="4"/>
      <c r="I27" s="35"/>
      <c r="J27" s="32" t="s">
        <v>54</v>
      </c>
      <c r="K27" s="32" t="s">
        <v>54</v>
      </c>
      <c r="L27" s="32" t="s">
        <v>54</v>
      </c>
      <c r="M27" s="32" t="str">
        <f>NormStandard!O27</f>
        <v>---</v>
      </c>
    </row>
    <row r="28" spans="2:19">
      <c r="B28" s="1"/>
      <c r="C28" s="5">
        <v>14</v>
      </c>
      <c r="D28" s="1">
        <v>117</v>
      </c>
      <c r="E28" s="1"/>
      <c r="F28" s="3" t="s">
        <v>1</v>
      </c>
      <c r="G28" s="4"/>
      <c r="H28" s="3">
        <f>P21</f>
        <v>0</v>
      </c>
      <c r="I28" s="35"/>
      <c r="J28" s="4"/>
      <c r="K28" s="3">
        <f>S21</f>
        <v>5.2176600000000004</v>
      </c>
      <c r="L28" s="3">
        <f>G28+H28-J28-K28</f>
        <v>-5.2176600000000004</v>
      </c>
      <c r="M28" s="64">
        <f>NormStandard!O28*L28</f>
        <v>-1.587271338263244E-2</v>
      </c>
    </row>
    <row r="29" spans="2:19">
      <c r="B29" s="1"/>
      <c r="C29" s="5">
        <v>15</v>
      </c>
      <c r="D29" s="1">
        <v>126</v>
      </c>
      <c r="E29" s="1"/>
      <c r="F29" s="2" t="s">
        <v>2</v>
      </c>
      <c r="G29" s="2"/>
      <c r="H29" s="4"/>
      <c r="I29" s="35"/>
      <c r="J29" s="203">
        <f>Conc1!J29</f>
        <v>4.9000000000000002E-2</v>
      </c>
      <c r="K29" s="4"/>
      <c r="L29" s="2">
        <f>G29+H29-J29-K29</f>
        <v>-4.9000000000000002E-2</v>
      </c>
      <c r="M29" s="25">
        <f>NormStandard!O29*L29</f>
        <v>-4.0698975864064686E-2</v>
      </c>
    </row>
    <row r="30" spans="2:19">
      <c r="B30" s="1"/>
      <c r="C30" s="5">
        <v>16</v>
      </c>
      <c r="D30" s="1">
        <v>134</v>
      </c>
      <c r="E30" s="1"/>
      <c r="F30" s="3" t="s">
        <v>1</v>
      </c>
      <c r="G30" s="4"/>
      <c r="H30" s="3">
        <f>P22</f>
        <v>0</v>
      </c>
      <c r="I30" s="35"/>
      <c r="J30" s="4"/>
      <c r="K30" s="3">
        <f>S22</f>
        <v>9.1796500000000005</v>
      </c>
      <c r="L30" s="3">
        <f>G30+H30-J30-K30</f>
        <v>-9.1796500000000005</v>
      </c>
      <c r="M30" s="64">
        <f>NormStandard!O30*L30</f>
        <v>-2.9456440405295509E-2</v>
      </c>
    </row>
    <row r="31" spans="2:19">
      <c r="B31" s="1"/>
      <c r="C31" s="5">
        <v>17</v>
      </c>
      <c r="D31" s="1">
        <v>141</v>
      </c>
      <c r="E31" s="1"/>
      <c r="F31" s="2" t="s">
        <v>2</v>
      </c>
      <c r="G31" s="2"/>
      <c r="H31" s="4"/>
      <c r="I31" s="35"/>
      <c r="J31" s="203">
        <f>Conc1!J31</f>
        <v>2.5000000000000001E-2</v>
      </c>
      <c r="K31" s="4"/>
      <c r="L31" s="2">
        <f>G31+H31-J31-K31</f>
        <v>-2.5000000000000001E-2</v>
      </c>
      <c r="M31" s="25">
        <f>NormStandard!O31*L31</f>
        <v>-3.7970970746667998E-2</v>
      </c>
    </row>
    <row r="32" spans="2:19">
      <c r="B32" s="1"/>
      <c r="C32" s="5">
        <v>18</v>
      </c>
      <c r="D32" s="1">
        <v>147</v>
      </c>
      <c r="E32" s="1"/>
      <c r="F32" s="3" t="s">
        <v>1</v>
      </c>
      <c r="G32" s="4"/>
      <c r="H32" s="3">
        <f>P23</f>
        <v>0</v>
      </c>
      <c r="I32" s="35"/>
      <c r="J32" s="4"/>
      <c r="K32" s="3">
        <f>S23</f>
        <v>13.594099999999999</v>
      </c>
      <c r="L32" s="3">
        <f>G32+H32-J32-K32</f>
        <v>-13.594099999999999</v>
      </c>
      <c r="M32" s="64">
        <f>NormStandard!O32*L32</f>
        <v>-2.3676220775765745E-2</v>
      </c>
    </row>
  </sheetData>
  <mergeCells count="1">
    <mergeCell ref="M12:M13"/>
  </mergeCells>
  <pageMargins left="0.7" right="0.7" top="0.75" bottom="0.75" header="0.3" footer="0.3"/>
  <pageSetup orientation="portrait" horizontalDpi="4294967293" verticalDpi="4294967293"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55297-6D4B-440F-A799-62689F67BF7E}">
  <dimension ref="B1:S32"/>
  <sheetViews>
    <sheetView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c r="H15" s="4"/>
      <c r="I15" s="35"/>
      <c r="J15" s="203">
        <f>Conc1!J15</f>
        <v>8.5999999999999993E-2</v>
      </c>
      <c r="K15" s="4"/>
      <c r="L15" s="2">
        <f>G15+H15-J15-K15</f>
        <v>-8.5999999999999993E-2</v>
      </c>
      <c r="M15" s="25">
        <f>NormStandard!O15*L15</f>
        <v>-8.4822390962514843E-2</v>
      </c>
      <c r="O15" s="29" t="s">
        <v>35</v>
      </c>
      <c r="P15" s="30"/>
      <c r="Q15" s="11"/>
      <c r="R15" s="190"/>
      <c r="S15" s="191"/>
    </row>
    <row r="16" spans="2:19">
      <c r="B16" s="1"/>
      <c r="C16" s="5">
        <v>2</v>
      </c>
      <c r="D16" s="1">
        <v>28</v>
      </c>
      <c r="E16" s="1"/>
      <c r="F16" s="2" t="s">
        <v>2</v>
      </c>
      <c r="G16" s="2"/>
      <c r="H16" s="4"/>
      <c r="I16" s="35"/>
      <c r="J16" s="203">
        <f>Conc1!J16</f>
        <v>4.9000000000000002E-2</v>
      </c>
      <c r="K16" s="4"/>
      <c r="L16" s="2">
        <f>G16+H16-J16-K16</f>
        <v>-4.9000000000000002E-2</v>
      </c>
      <c r="M16" s="25">
        <f>NormStandard!O16*L16</f>
        <v>-7.6696717403968662E-2</v>
      </c>
      <c r="O16" s="19" t="s">
        <v>27</v>
      </c>
      <c r="P16" s="206"/>
      <c r="R16" s="19" t="s">
        <v>27</v>
      </c>
      <c r="S16" s="204">
        <f>Conc1!S16</f>
        <v>14.14034</v>
      </c>
    </row>
    <row r="17" spans="2:19">
      <c r="B17" s="1"/>
      <c r="C17" s="5">
        <v>3</v>
      </c>
      <c r="D17" s="1">
        <v>32</v>
      </c>
      <c r="E17" s="1"/>
      <c r="F17" s="2" t="s">
        <v>2</v>
      </c>
      <c r="G17" s="2"/>
      <c r="H17" s="4"/>
      <c r="I17" s="35"/>
      <c r="J17" s="203">
        <f>Conc1!J17</f>
        <v>0.03</v>
      </c>
      <c r="K17" s="4"/>
      <c r="L17" s="2">
        <f>G17+H17-J17-K17</f>
        <v>-0.03</v>
      </c>
      <c r="M17" s="25">
        <f>NormStandard!O17*L17</f>
        <v>-3.5918593911456922E-2</v>
      </c>
      <c r="O17" s="19" t="s">
        <v>28</v>
      </c>
      <c r="P17" s="206"/>
      <c r="R17" s="19" t="s">
        <v>28</v>
      </c>
      <c r="S17" s="204">
        <f>Conc1!S17</f>
        <v>20.997260000000001</v>
      </c>
    </row>
    <row r="18" spans="2:19">
      <c r="B18" s="1"/>
      <c r="C18" s="5">
        <v>4</v>
      </c>
      <c r="D18" s="1">
        <v>38</v>
      </c>
      <c r="E18" s="1"/>
      <c r="F18" s="31" t="s">
        <v>53</v>
      </c>
      <c r="G18" s="32" t="s">
        <v>54</v>
      </c>
      <c r="H18" s="4"/>
      <c r="I18" s="35"/>
      <c r="J18" s="32" t="s">
        <v>54</v>
      </c>
      <c r="K18" s="4"/>
      <c r="L18" s="32" t="s">
        <v>54</v>
      </c>
      <c r="M18" s="32" t="str">
        <f>NormStandard!O18</f>
        <v>---</v>
      </c>
      <c r="O18" s="19" t="s">
        <v>29</v>
      </c>
      <c r="P18" s="206"/>
      <c r="R18" s="19" t="s">
        <v>29</v>
      </c>
      <c r="S18" s="204">
        <f>Conc1!S18</f>
        <v>25.055669999999999</v>
      </c>
    </row>
    <row r="19" spans="2:19">
      <c r="B19" s="1"/>
      <c r="C19" s="5">
        <v>5</v>
      </c>
      <c r="D19" s="1">
        <v>44</v>
      </c>
      <c r="E19" s="1"/>
      <c r="F19" s="3" t="s">
        <v>1</v>
      </c>
      <c r="G19" s="4"/>
      <c r="H19" s="3">
        <f>P16</f>
        <v>0</v>
      </c>
      <c r="I19" s="35"/>
      <c r="J19" s="4"/>
      <c r="K19" s="3">
        <f>S16</f>
        <v>14.14034</v>
      </c>
      <c r="L19" s="3">
        <f t="shared" ref="L19:L26" si="0">G19+H19-J19-K19</f>
        <v>-14.14034</v>
      </c>
      <c r="M19" s="64">
        <f>NormStandard!O19*L19</f>
        <v>-5.4352297920450071E-2</v>
      </c>
      <c r="O19" s="19" t="s">
        <v>30</v>
      </c>
      <c r="P19" s="206"/>
      <c r="R19" s="19" t="s">
        <v>30</v>
      </c>
      <c r="S19" s="204">
        <f>Conc1!S19</f>
        <v>43.310589999999998</v>
      </c>
    </row>
    <row r="20" spans="2:19">
      <c r="B20" s="1"/>
      <c r="C20" s="5">
        <v>6</v>
      </c>
      <c r="D20" s="1">
        <v>50</v>
      </c>
      <c r="E20" s="1"/>
      <c r="F20" s="3" t="s">
        <v>1</v>
      </c>
      <c r="G20" s="4"/>
      <c r="H20" s="3">
        <f>P17</f>
        <v>0</v>
      </c>
      <c r="I20" s="35"/>
      <c r="J20" s="4"/>
      <c r="K20" s="3">
        <f>S17</f>
        <v>20.997260000000001</v>
      </c>
      <c r="L20" s="3">
        <f t="shared" si="0"/>
        <v>-20.997260000000001</v>
      </c>
      <c r="M20" s="64">
        <f>NormStandard!O20*L20</f>
        <v>-2.4124313700592426E-2</v>
      </c>
      <c r="O20" s="19" t="s">
        <v>31</v>
      </c>
      <c r="P20" s="206"/>
      <c r="R20" s="19" t="s">
        <v>31</v>
      </c>
      <c r="S20" s="204">
        <f>Conc1!S20</f>
        <v>3.1831499999999999</v>
      </c>
    </row>
    <row r="21" spans="2:19">
      <c r="B21" s="1"/>
      <c r="C21" s="5">
        <v>7</v>
      </c>
      <c r="D21" s="1">
        <v>57</v>
      </c>
      <c r="E21" s="1"/>
      <c r="F21" s="2" t="s">
        <v>2</v>
      </c>
      <c r="G21" s="2"/>
      <c r="H21" s="4"/>
      <c r="I21" s="35"/>
      <c r="J21" s="203">
        <f>Conc1!J21</f>
        <v>5.0999999999999997E-2</v>
      </c>
      <c r="K21" s="4"/>
      <c r="L21" s="2">
        <f t="shared" si="0"/>
        <v>-5.0999999999999997E-2</v>
      </c>
      <c r="M21" s="25">
        <f>NormStandard!O21*L21</f>
        <v>-4.4935616412029977E-2</v>
      </c>
      <c r="O21" s="19" t="s">
        <v>32</v>
      </c>
      <c r="P21" s="206"/>
      <c r="R21" s="19" t="s">
        <v>32</v>
      </c>
      <c r="S21" s="204">
        <f>Conc1!S21</f>
        <v>5.2176600000000004</v>
      </c>
    </row>
    <row r="22" spans="2:19">
      <c r="B22" s="1"/>
      <c r="C22" s="5">
        <v>8</v>
      </c>
      <c r="D22" s="1">
        <v>64</v>
      </c>
      <c r="E22" s="1"/>
      <c r="F22" s="3" t="s">
        <v>1</v>
      </c>
      <c r="G22" s="4"/>
      <c r="H22" s="3">
        <f>P18</f>
        <v>0</v>
      </c>
      <c r="I22" s="35"/>
      <c r="J22" s="4"/>
      <c r="K22" s="3">
        <f>S18</f>
        <v>25.055669999999999</v>
      </c>
      <c r="L22" s="3">
        <f t="shared" si="0"/>
        <v>-25.055669999999999</v>
      </c>
      <c r="M22" s="64">
        <f>NormStandard!O22*L22</f>
        <v>-3.1538530577540323E-2</v>
      </c>
      <c r="O22" s="19" t="s">
        <v>33</v>
      </c>
      <c r="P22" s="206"/>
      <c r="R22" s="19" t="s">
        <v>33</v>
      </c>
      <c r="S22" s="204">
        <f>Conc1!S22</f>
        <v>9.1796500000000005</v>
      </c>
    </row>
    <row r="23" spans="2:19" ht="14.65" thickBot="1">
      <c r="B23" s="1"/>
      <c r="C23" s="5">
        <v>9</v>
      </c>
      <c r="D23" s="1">
        <v>72</v>
      </c>
      <c r="E23" s="1"/>
      <c r="F23" s="2" t="s">
        <v>2</v>
      </c>
      <c r="G23" s="2"/>
      <c r="H23" s="4"/>
      <c r="I23" s="35"/>
      <c r="J23" s="203">
        <f>Conc1!J23</f>
        <v>3.4000000000000002E-2</v>
      </c>
      <c r="K23" s="4"/>
      <c r="L23" s="2">
        <f t="shared" si="0"/>
        <v>-3.4000000000000002E-2</v>
      </c>
      <c r="M23" s="25">
        <f>NormStandard!O23*L23</f>
        <v>-3.2430036966311568E-2</v>
      </c>
      <c r="O23" s="21" t="s">
        <v>34</v>
      </c>
      <c r="P23" s="207"/>
      <c r="R23" s="21" t="s">
        <v>34</v>
      </c>
      <c r="S23" s="205">
        <f>Conc1!S23</f>
        <v>13.594099999999999</v>
      </c>
    </row>
    <row r="24" spans="2:19">
      <c r="B24" s="1"/>
      <c r="C24" s="5">
        <v>10</v>
      </c>
      <c r="D24" s="1">
        <v>81</v>
      </c>
      <c r="E24" s="1"/>
      <c r="F24" s="3" t="s">
        <v>1</v>
      </c>
      <c r="G24" s="4"/>
      <c r="H24" s="3">
        <f>P19</f>
        <v>0</v>
      </c>
      <c r="I24" s="35"/>
      <c r="J24" s="4"/>
      <c r="K24" s="3">
        <f>S19</f>
        <v>43.310589999999998</v>
      </c>
      <c r="L24" s="3">
        <f t="shared" si="0"/>
        <v>-43.310589999999998</v>
      </c>
      <c r="M24" s="64">
        <f>NormStandard!O24*L24</f>
        <v>-5.3415054240622872E-2</v>
      </c>
    </row>
    <row r="25" spans="2:19">
      <c r="B25" s="1"/>
      <c r="C25" s="5">
        <v>11</v>
      </c>
      <c r="D25" s="1">
        <v>90</v>
      </c>
      <c r="E25" s="1"/>
      <c r="F25" s="2" t="s">
        <v>2</v>
      </c>
      <c r="G25" s="2"/>
      <c r="H25" s="4"/>
      <c r="I25" s="35"/>
      <c r="J25" s="203">
        <f>Conc1!J25</f>
        <v>0.03</v>
      </c>
      <c r="K25" s="4"/>
      <c r="L25" s="2">
        <f t="shared" si="0"/>
        <v>-0.03</v>
      </c>
      <c r="M25" s="25">
        <f>NormStandard!O25*L25</f>
        <v>-3.1813946625166518E-2</v>
      </c>
    </row>
    <row r="26" spans="2:19">
      <c r="B26" s="1"/>
      <c r="C26" s="5">
        <v>12</v>
      </c>
      <c r="D26" s="1">
        <v>99</v>
      </c>
      <c r="E26" s="1"/>
      <c r="F26" s="3" t="s">
        <v>1</v>
      </c>
      <c r="G26" s="4"/>
      <c r="H26" s="3">
        <f>P20</f>
        <v>0</v>
      </c>
      <c r="I26" s="35"/>
      <c r="J26" s="4"/>
      <c r="K26" s="3">
        <f>S20</f>
        <v>3.1831499999999999</v>
      </c>
      <c r="L26" s="3">
        <f t="shared" si="0"/>
        <v>-3.1831499999999999</v>
      </c>
      <c r="M26" s="64">
        <f>NormStandard!O26*L26</f>
        <v>-9.037576520196211E-3</v>
      </c>
    </row>
    <row r="27" spans="2:19">
      <c r="B27" s="1"/>
      <c r="C27" s="5">
        <v>13</v>
      </c>
      <c r="D27" s="1">
        <v>108</v>
      </c>
      <c r="E27" s="1"/>
      <c r="F27" s="31" t="s">
        <v>53</v>
      </c>
      <c r="G27" s="32" t="s">
        <v>54</v>
      </c>
      <c r="H27" s="4"/>
      <c r="I27" s="35"/>
      <c r="J27" s="32" t="s">
        <v>54</v>
      </c>
      <c r="K27" s="32" t="s">
        <v>54</v>
      </c>
      <c r="L27" s="32" t="s">
        <v>54</v>
      </c>
      <c r="M27" s="32" t="str">
        <f>NormStandard!O27</f>
        <v>---</v>
      </c>
    </row>
    <row r="28" spans="2:19">
      <c r="B28" s="1"/>
      <c r="C28" s="5">
        <v>14</v>
      </c>
      <c r="D28" s="1">
        <v>117</v>
      </c>
      <c r="E28" s="1"/>
      <c r="F28" s="3" t="s">
        <v>1</v>
      </c>
      <c r="G28" s="4"/>
      <c r="H28" s="3">
        <f>P21</f>
        <v>0</v>
      </c>
      <c r="I28" s="35"/>
      <c r="J28" s="4"/>
      <c r="K28" s="3">
        <f>S21</f>
        <v>5.2176600000000004</v>
      </c>
      <c r="L28" s="3">
        <f>G28+H28-J28-K28</f>
        <v>-5.2176600000000004</v>
      </c>
      <c r="M28" s="64">
        <f>NormStandard!O28*L28</f>
        <v>-1.587271338263244E-2</v>
      </c>
    </row>
    <row r="29" spans="2:19">
      <c r="B29" s="1"/>
      <c r="C29" s="5">
        <v>15</v>
      </c>
      <c r="D29" s="1">
        <v>126</v>
      </c>
      <c r="E29" s="1"/>
      <c r="F29" s="2" t="s">
        <v>2</v>
      </c>
      <c r="G29" s="2"/>
      <c r="H29" s="4"/>
      <c r="I29" s="35"/>
      <c r="J29" s="203">
        <f>Conc1!J29</f>
        <v>4.9000000000000002E-2</v>
      </c>
      <c r="K29" s="4"/>
      <c r="L29" s="2">
        <f>G29+H29-J29-K29</f>
        <v>-4.9000000000000002E-2</v>
      </c>
      <c r="M29" s="25">
        <f>NormStandard!O29*L29</f>
        <v>-4.0698975864064686E-2</v>
      </c>
    </row>
    <row r="30" spans="2:19">
      <c r="B30" s="1"/>
      <c r="C30" s="5">
        <v>16</v>
      </c>
      <c r="D30" s="1">
        <v>134</v>
      </c>
      <c r="E30" s="1"/>
      <c r="F30" s="3" t="s">
        <v>1</v>
      </c>
      <c r="G30" s="4"/>
      <c r="H30" s="3">
        <f>P22</f>
        <v>0</v>
      </c>
      <c r="I30" s="35"/>
      <c r="J30" s="4"/>
      <c r="K30" s="3">
        <f>S22</f>
        <v>9.1796500000000005</v>
      </c>
      <c r="L30" s="3">
        <f>G30+H30-J30-K30</f>
        <v>-9.1796500000000005</v>
      </c>
      <c r="M30" s="64">
        <f>NormStandard!O30*L30</f>
        <v>-2.9456440405295509E-2</v>
      </c>
    </row>
    <row r="31" spans="2:19">
      <c r="B31" s="1"/>
      <c r="C31" s="5">
        <v>17</v>
      </c>
      <c r="D31" s="1">
        <v>141</v>
      </c>
      <c r="E31" s="1"/>
      <c r="F31" s="2" t="s">
        <v>2</v>
      </c>
      <c r="G31" s="2"/>
      <c r="H31" s="4"/>
      <c r="I31" s="35"/>
      <c r="J31" s="203">
        <f>Conc1!J31</f>
        <v>2.5000000000000001E-2</v>
      </c>
      <c r="K31" s="4"/>
      <c r="L31" s="2">
        <f>G31+H31-J31-K31</f>
        <v>-2.5000000000000001E-2</v>
      </c>
      <c r="M31" s="25">
        <f>NormStandard!O31*L31</f>
        <v>-3.7970970746667998E-2</v>
      </c>
    </row>
    <row r="32" spans="2:19">
      <c r="B32" s="1"/>
      <c r="C32" s="5">
        <v>18</v>
      </c>
      <c r="D32" s="1">
        <v>147</v>
      </c>
      <c r="E32" s="1"/>
      <c r="F32" s="3" t="s">
        <v>1</v>
      </c>
      <c r="G32" s="4"/>
      <c r="H32" s="3">
        <f>P23</f>
        <v>0</v>
      </c>
      <c r="I32" s="35"/>
      <c r="J32" s="4"/>
      <c r="K32" s="3">
        <f>S23</f>
        <v>13.594099999999999</v>
      </c>
      <c r="L32" s="3">
        <f>G32+H32-J32-K32</f>
        <v>-13.594099999999999</v>
      </c>
      <c r="M32" s="64">
        <f>NormStandard!O32*L32</f>
        <v>-2.3676220775765745E-2</v>
      </c>
    </row>
  </sheetData>
  <mergeCells count="1">
    <mergeCell ref="M12:M13"/>
  </mergeCells>
  <pageMargins left="0.7" right="0.7" top="0.75" bottom="0.75" header="0.3" footer="0.3"/>
  <pageSetup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A6BDD-5410-4DC1-9A42-F4BB367820FE}">
  <dimension ref="B1:S32"/>
  <sheetViews>
    <sheetView zoomScale="70" zoomScaleNormal="70" workbookViewId="0">
      <selection activeCell="P27" sqref="P27"/>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67</v>
      </c>
      <c r="C2" s="6"/>
      <c r="D2" s="195">
        <f>Conc1!D2</f>
        <v>45387</v>
      </c>
      <c r="G2" s="180" t="s">
        <v>287</v>
      </c>
      <c r="H2" s="180"/>
      <c r="I2" s="180"/>
      <c r="J2" s="180"/>
      <c r="K2" s="180"/>
      <c r="L2" s="180"/>
    </row>
    <row r="3" spans="2:19" ht="14.65" thickBot="1">
      <c r="B3" s="6" t="s">
        <v>68</v>
      </c>
      <c r="C3" s="6"/>
      <c r="D3" s="40" t="s">
        <v>85</v>
      </c>
      <c r="G3" s="11"/>
      <c r="H3" s="11"/>
    </row>
    <row r="4" spans="2:19" ht="14.65" thickBot="1">
      <c r="B4" s="6" t="s">
        <v>55</v>
      </c>
      <c r="C4" s="1"/>
      <c r="D4" s="194" t="str">
        <f>Conc1!D4</f>
        <v>Russo</v>
      </c>
      <c r="E4" s="12"/>
      <c r="H4" s="11"/>
      <c r="I4" s="11"/>
    </row>
    <row r="5" spans="2:19" ht="15" thickBot="1">
      <c r="B5" s="6" t="s">
        <v>17</v>
      </c>
      <c r="C5" s="7" t="s">
        <v>16</v>
      </c>
      <c r="D5" s="1"/>
    </row>
    <row r="6" spans="2:19" ht="14.65" thickBot="1">
      <c r="B6" s="1"/>
      <c r="C6" s="5" t="s">
        <v>5</v>
      </c>
      <c r="D6" s="17" t="s">
        <v>6</v>
      </c>
      <c r="E6" s="196" t="str">
        <f>Conc1!E6</f>
        <v>Y</v>
      </c>
      <c r="F6" s="197">
        <f>Conc1!F6</f>
        <v>6.0000000000000001E-3</v>
      </c>
      <c r="G6" s="14"/>
      <c r="H6" s="65" t="s">
        <v>56</v>
      </c>
      <c r="I6" s="1"/>
    </row>
    <row r="7" spans="2:19" ht="16.149999999999999" thickBot="1">
      <c r="B7" s="1"/>
      <c r="C7" s="5" t="s">
        <v>10</v>
      </c>
      <c r="D7" s="1"/>
      <c r="E7" s="18"/>
      <c r="F7" s="197">
        <f>Conc1!F7</f>
        <v>4.9800000000000004</v>
      </c>
      <c r="G7" s="14"/>
      <c r="H7" s="1" t="s">
        <v>21</v>
      </c>
      <c r="I7" s="13"/>
      <c r="J7" s="198">
        <f>Conc1!J7</f>
        <v>1</v>
      </c>
      <c r="K7" s="14" t="s">
        <v>19</v>
      </c>
    </row>
    <row r="8" spans="2:19" ht="16.149999999999999" thickBot="1">
      <c r="B8" s="1"/>
      <c r="C8" s="5" t="s">
        <v>11</v>
      </c>
      <c r="D8" s="1"/>
      <c r="E8" s="13"/>
      <c r="F8" s="197">
        <f>Conc1!F8</f>
        <v>15.04</v>
      </c>
      <c r="G8" s="14"/>
      <c r="H8" s="1" t="s">
        <v>22</v>
      </c>
      <c r="I8" s="1"/>
      <c r="J8" s="199">
        <f>J7*SQRT(3/5)</f>
        <v>0.7745966692414834</v>
      </c>
      <c r="K8" s="1" t="s">
        <v>19</v>
      </c>
    </row>
    <row r="9" spans="2:19" ht="16.149999999999999" thickBot="1">
      <c r="B9" s="1"/>
      <c r="C9" s="5" t="s">
        <v>12</v>
      </c>
      <c r="D9" s="1"/>
      <c r="E9" s="13"/>
      <c r="F9" s="197">
        <f>Conc1!F9</f>
        <v>14.89</v>
      </c>
      <c r="G9" s="14"/>
      <c r="H9" s="1" t="s">
        <v>20</v>
      </c>
      <c r="I9" s="1"/>
      <c r="J9" s="200">
        <f>Lamnm/(Refin*J7)</f>
        <v>458.19397993311031</v>
      </c>
      <c r="K9" s="1"/>
    </row>
    <row r="10" spans="2:19" ht="16.149999999999999" thickBot="1">
      <c r="B10" s="1"/>
      <c r="C10" s="5" t="s">
        <v>13</v>
      </c>
      <c r="D10" s="1"/>
      <c r="E10" s="13"/>
      <c r="F10" s="197">
        <f>Conc1!F10</f>
        <v>79.2</v>
      </c>
      <c r="G10" s="14"/>
      <c r="H10" s="1" t="s">
        <v>45</v>
      </c>
      <c r="I10" s="1"/>
      <c r="J10" s="201">
        <f>J8*(4*PI()*Refin/Lamnm)*SIN(RADIANS(D32/2))</f>
        <v>2.036915789429861E-2</v>
      </c>
      <c r="K10" s="1"/>
    </row>
    <row r="11" spans="2:19" ht="16.5">
      <c r="B11" s="1"/>
      <c r="C11" s="5" t="s">
        <v>14</v>
      </c>
      <c r="D11" s="33"/>
      <c r="E11" s="13"/>
      <c r="F11" s="197">
        <f>Conc1!F11</f>
        <v>4.92</v>
      </c>
      <c r="G11" s="14"/>
      <c r="H11" s="1" t="s">
        <v>46</v>
      </c>
      <c r="I11" s="1"/>
      <c r="J11" s="202">
        <f>1-J10^2/3</f>
        <v>0.999861699135559</v>
      </c>
      <c r="K11" s="1"/>
      <c r="M11" s="39"/>
      <c r="O11" s="39"/>
    </row>
    <row r="12" spans="2:19" ht="14.25" customHeight="1">
      <c r="M12" s="278" t="s">
        <v>321</v>
      </c>
    </row>
    <row r="13" spans="2:19" ht="15" thickBot="1">
      <c r="B13" s="6" t="s">
        <v>17</v>
      </c>
      <c r="C13" s="7" t="s">
        <v>15</v>
      </c>
      <c r="D13" s="7" t="s">
        <v>36</v>
      </c>
      <c r="E13" s="13"/>
      <c r="F13" s="24" t="s">
        <v>38</v>
      </c>
      <c r="G13" s="15" t="s">
        <v>104</v>
      </c>
      <c r="H13" s="6"/>
      <c r="I13" s="34"/>
      <c r="J13" s="6" t="s">
        <v>105</v>
      </c>
      <c r="K13" s="1"/>
      <c r="L13" s="7" t="s">
        <v>23</v>
      </c>
      <c r="M13" s="279"/>
    </row>
    <row r="14" spans="2:19">
      <c r="B14" s="1"/>
      <c r="C14" s="23" t="s">
        <v>37</v>
      </c>
      <c r="D14">
        <v>0</v>
      </c>
      <c r="E14" s="1"/>
      <c r="F14" s="16" t="s">
        <v>0</v>
      </c>
      <c r="G14" s="6" t="s">
        <v>106</v>
      </c>
      <c r="H14" s="6" t="s">
        <v>107</v>
      </c>
      <c r="I14" s="34"/>
      <c r="J14" s="6" t="s">
        <v>106</v>
      </c>
      <c r="K14" s="6" t="s">
        <v>108</v>
      </c>
      <c r="L14" s="1"/>
      <c r="M14" s="16"/>
      <c r="O14" s="27" t="s">
        <v>122</v>
      </c>
      <c r="P14" s="129"/>
      <c r="Q14" s="130"/>
      <c r="R14" s="193" t="s">
        <v>284</v>
      </c>
      <c r="S14" s="189"/>
    </row>
    <row r="15" spans="2:19">
      <c r="B15" s="1"/>
      <c r="C15" s="5">
        <v>1</v>
      </c>
      <c r="D15" s="1">
        <v>22.5</v>
      </c>
      <c r="E15" s="1"/>
      <c r="F15" s="2" t="s">
        <v>2</v>
      </c>
      <c r="G15" s="2"/>
      <c r="H15" s="4"/>
      <c r="I15" s="35"/>
      <c r="J15" s="203">
        <f>Conc1!J15</f>
        <v>8.5999999999999993E-2</v>
      </c>
      <c r="K15" s="4"/>
      <c r="L15" s="2">
        <f>G15+H15-J15-K15</f>
        <v>-8.5999999999999993E-2</v>
      </c>
      <c r="M15" s="25">
        <f>NormStandard!O15*L15</f>
        <v>-8.4822390962514843E-2</v>
      </c>
      <c r="O15" s="29" t="s">
        <v>35</v>
      </c>
      <c r="P15" s="30"/>
      <c r="Q15" s="11"/>
      <c r="R15" s="190"/>
      <c r="S15" s="191"/>
    </row>
    <row r="16" spans="2:19">
      <c r="B16" s="1"/>
      <c r="C16" s="5">
        <v>2</v>
      </c>
      <c r="D16" s="1">
        <v>28</v>
      </c>
      <c r="E16" s="1"/>
      <c r="F16" s="2" t="s">
        <v>2</v>
      </c>
      <c r="G16" s="2"/>
      <c r="H16" s="4"/>
      <c r="I16" s="35"/>
      <c r="J16" s="203">
        <f>Conc1!J16</f>
        <v>4.9000000000000002E-2</v>
      </c>
      <c r="K16" s="4"/>
      <c r="L16" s="2">
        <f>G16+H16-J16-K16</f>
        <v>-4.9000000000000002E-2</v>
      </c>
      <c r="M16" s="25">
        <f>NormStandard!O16*L16</f>
        <v>-7.6696717403968662E-2</v>
      </c>
      <c r="O16" s="19" t="s">
        <v>27</v>
      </c>
      <c r="P16" s="206"/>
      <c r="R16" s="19" t="s">
        <v>27</v>
      </c>
      <c r="S16" s="204">
        <f>Conc1!S16</f>
        <v>14.14034</v>
      </c>
    </row>
    <row r="17" spans="2:19">
      <c r="B17" s="1"/>
      <c r="C17" s="5">
        <v>3</v>
      </c>
      <c r="D17" s="1">
        <v>32</v>
      </c>
      <c r="E17" s="1"/>
      <c r="F17" s="2" t="s">
        <v>2</v>
      </c>
      <c r="G17" s="2"/>
      <c r="H17" s="4"/>
      <c r="I17" s="35"/>
      <c r="J17" s="203">
        <f>Conc1!J17</f>
        <v>0.03</v>
      </c>
      <c r="K17" s="4"/>
      <c r="L17" s="2">
        <f>G17+H17-J17-K17</f>
        <v>-0.03</v>
      </c>
      <c r="M17" s="25">
        <f>NormStandard!O17*L17</f>
        <v>-3.5918593911456922E-2</v>
      </c>
      <c r="O17" s="19" t="s">
        <v>28</v>
      </c>
      <c r="P17" s="206"/>
      <c r="R17" s="19" t="s">
        <v>28</v>
      </c>
      <c r="S17" s="204">
        <f>Conc1!S17</f>
        <v>20.997260000000001</v>
      </c>
    </row>
    <row r="18" spans="2:19">
      <c r="B18" s="1"/>
      <c r="C18" s="5">
        <v>4</v>
      </c>
      <c r="D18" s="1">
        <v>38</v>
      </c>
      <c r="E18" s="1"/>
      <c r="F18" s="31" t="s">
        <v>53</v>
      </c>
      <c r="G18" s="32" t="s">
        <v>54</v>
      </c>
      <c r="H18" s="4"/>
      <c r="I18" s="35"/>
      <c r="J18" s="32" t="s">
        <v>54</v>
      </c>
      <c r="K18" s="4"/>
      <c r="L18" s="32" t="s">
        <v>54</v>
      </c>
      <c r="M18" s="32" t="str">
        <f>NormStandard!O18</f>
        <v>---</v>
      </c>
      <c r="O18" s="19" t="s">
        <v>29</v>
      </c>
      <c r="P18" s="206"/>
      <c r="R18" s="19" t="s">
        <v>29</v>
      </c>
      <c r="S18" s="204">
        <f>Conc1!S18</f>
        <v>25.055669999999999</v>
      </c>
    </row>
    <row r="19" spans="2:19">
      <c r="B19" s="1"/>
      <c r="C19" s="5">
        <v>5</v>
      </c>
      <c r="D19" s="1">
        <v>44</v>
      </c>
      <c r="E19" s="1"/>
      <c r="F19" s="3" t="s">
        <v>1</v>
      </c>
      <c r="G19" s="4"/>
      <c r="H19" s="3">
        <f>P16</f>
        <v>0</v>
      </c>
      <c r="I19" s="35"/>
      <c r="J19" s="4"/>
      <c r="K19" s="3">
        <f>S16</f>
        <v>14.14034</v>
      </c>
      <c r="L19" s="3">
        <f t="shared" ref="L19:L26" si="0">G19+H19-J19-K19</f>
        <v>-14.14034</v>
      </c>
      <c r="M19" s="64">
        <f>NormStandard!O19*L19</f>
        <v>-5.4352297920450071E-2</v>
      </c>
      <c r="O19" s="19" t="s">
        <v>30</v>
      </c>
      <c r="P19" s="206"/>
      <c r="R19" s="19" t="s">
        <v>30</v>
      </c>
      <c r="S19" s="204">
        <f>Conc1!S19</f>
        <v>43.310589999999998</v>
      </c>
    </row>
    <row r="20" spans="2:19">
      <c r="B20" s="1"/>
      <c r="C20" s="5">
        <v>6</v>
      </c>
      <c r="D20" s="1">
        <v>50</v>
      </c>
      <c r="E20" s="1"/>
      <c r="F20" s="3" t="s">
        <v>1</v>
      </c>
      <c r="G20" s="4"/>
      <c r="H20" s="3">
        <f>P17</f>
        <v>0</v>
      </c>
      <c r="I20" s="35"/>
      <c r="J20" s="4"/>
      <c r="K20" s="3">
        <f>S17</f>
        <v>20.997260000000001</v>
      </c>
      <c r="L20" s="3">
        <f t="shared" si="0"/>
        <v>-20.997260000000001</v>
      </c>
      <c r="M20" s="64">
        <f>NormStandard!O20*L20</f>
        <v>-2.4124313700592426E-2</v>
      </c>
      <c r="O20" s="19" t="s">
        <v>31</v>
      </c>
      <c r="P20" s="206"/>
      <c r="R20" s="19" t="s">
        <v>31</v>
      </c>
      <c r="S20" s="204">
        <f>Conc1!S20</f>
        <v>3.1831499999999999</v>
      </c>
    </row>
    <row r="21" spans="2:19">
      <c r="B21" s="1"/>
      <c r="C21" s="5">
        <v>7</v>
      </c>
      <c r="D21" s="1">
        <v>57</v>
      </c>
      <c r="E21" s="1"/>
      <c r="F21" s="2" t="s">
        <v>2</v>
      </c>
      <c r="G21" s="2"/>
      <c r="H21" s="4"/>
      <c r="I21" s="35"/>
      <c r="J21" s="203">
        <f>Conc1!J21</f>
        <v>5.0999999999999997E-2</v>
      </c>
      <c r="K21" s="4"/>
      <c r="L21" s="2">
        <f t="shared" si="0"/>
        <v>-5.0999999999999997E-2</v>
      </c>
      <c r="M21" s="25">
        <f>NormStandard!O21*L21</f>
        <v>-4.4935616412029977E-2</v>
      </c>
      <c r="O21" s="19" t="s">
        <v>32</v>
      </c>
      <c r="P21" s="206"/>
      <c r="R21" s="19" t="s">
        <v>32</v>
      </c>
      <c r="S21" s="204">
        <f>Conc1!S21</f>
        <v>5.2176600000000004</v>
      </c>
    </row>
    <row r="22" spans="2:19">
      <c r="B22" s="1"/>
      <c r="C22" s="5">
        <v>8</v>
      </c>
      <c r="D22" s="1">
        <v>64</v>
      </c>
      <c r="E22" s="1"/>
      <c r="F22" s="3" t="s">
        <v>1</v>
      </c>
      <c r="G22" s="4"/>
      <c r="H22" s="3">
        <f>P18</f>
        <v>0</v>
      </c>
      <c r="I22" s="35"/>
      <c r="J22" s="4"/>
      <c r="K22" s="3">
        <f>S18</f>
        <v>25.055669999999999</v>
      </c>
      <c r="L22" s="3">
        <f t="shared" si="0"/>
        <v>-25.055669999999999</v>
      </c>
      <c r="M22" s="64">
        <f>NormStandard!O22*L22</f>
        <v>-3.1538530577540323E-2</v>
      </c>
      <c r="O22" s="19" t="s">
        <v>33</v>
      </c>
      <c r="P22" s="206"/>
      <c r="R22" s="19" t="s">
        <v>33</v>
      </c>
      <c r="S22" s="204">
        <f>Conc1!S22</f>
        <v>9.1796500000000005</v>
      </c>
    </row>
    <row r="23" spans="2:19" ht="14.65" thickBot="1">
      <c r="B23" s="1"/>
      <c r="C23" s="5">
        <v>9</v>
      </c>
      <c r="D23" s="1">
        <v>72</v>
      </c>
      <c r="E23" s="1"/>
      <c r="F23" s="2" t="s">
        <v>2</v>
      </c>
      <c r="G23" s="2"/>
      <c r="H23" s="4"/>
      <c r="I23" s="35"/>
      <c r="J23" s="203">
        <f>Conc1!J23</f>
        <v>3.4000000000000002E-2</v>
      </c>
      <c r="K23" s="4"/>
      <c r="L23" s="2">
        <f t="shared" si="0"/>
        <v>-3.4000000000000002E-2</v>
      </c>
      <c r="M23" s="25">
        <f>NormStandard!O23*L23</f>
        <v>-3.2430036966311568E-2</v>
      </c>
      <c r="O23" s="21" t="s">
        <v>34</v>
      </c>
      <c r="P23" s="207"/>
      <c r="R23" s="21" t="s">
        <v>34</v>
      </c>
      <c r="S23" s="205">
        <f>Conc1!S23</f>
        <v>13.594099999999999</v>
      </c>
    </row>
    <row r="24" spans="2:19">
      <c r="B24" s="1"/>
      <c r="C24" s="5">
        <v>10</v>
      </c>
      <c r="D24" s="1">
        <v>81</v>
      </c>
      <c r="E24" s="1"/>
      <c r="F24" s="3" t="s">
        <v>1</v>
      </c>
      <c r="G24" s="4"/>
      <c r="H24" s="3">
        <f>P19</f>
        <v>0</v>
      </c>
      <c r="I24" s="35"/>
      <c r="J24" s="4"/>
      <c r="K24" s="3">
        <f>S19</f>
        <v>43.310589999999998</v>
      </c>
      <c r="L24" s="3">
        <f t="shared" si="0"/>
        <v>-43.310589999999998</v>
      </c>
      <c r="M24" s="64">
        <f>NormStandard!O24*L24</f>
        <v>-5.3415054240622872E-2</v>
      </c>
    </row>
    <row r="25" spans="2:19">
      <c r="B25" s="1"/>
      <c r="C25" s="5">
        <v>11</v>
      </c>
      <c r="D25" s="1">
        <v>90</v>
      </c>
      <c r="E25" s="1"/>
      <c r="F25" s="2" t="s">
        <v>2</v>
      </c>
      <c r="G25" s="2"/>
      <c r="H25" s="4"/>
      <c r="I25" s="35"/>
      <c r="J25" s="203">
        <f>Conc1!J25</f>
        <v>0.03</v>
      </c>
      <c r="K25" s="4"/>
      <c r="L25" s="2">
        <f t="shared" si="0"/>
        <v>-0.03</v>
      </c>
      <c r="M25" s="25">
        <f>NormStandard!O25*L25</f>
        <v>-3.1813946625166518E-2</v>
      </c>
    </row>
    <row r="26" spans="2:19">
      <c r="B26" s="1"/>
      <c r="C26" s="5">
        <v>12</v>
      </c>
      <c r="D26" s="1">
        <v>99</v>
      </c>
      <c r="E26" s="1"/>
      <c r="F26" s="3" t="s">
        <v>1</v>
      </c>
      <c r="G26" s="4"/>
      <c r="H26" s="3">
        <f>P20</f>
        <v>0</v>
      </c>
      <c r="I26" s="35"/>
      <c r="J26" s="4"/>
      <c r="K26" s="3">
        <f>S20</f>
        <v>3.1831499999999999</v>
      </c>
      <c r="L26" s="3">
        <f t="shared" si="0"/>
        <v>-3.1831499999999999</v>
      </c>
      <c r="M26" s="64">
        <f>NormStandard!O26*L26</f>
        <v>-9.037576520196211E-3</v>
      </c>
    </row>
    <row r="27" spans="2:19">
      <c r="B27" s="1"/>
      <c r="C27" s="5">
        <v>13</v>
      </c>
      <c r="D27" s="1">
        <v>108</v>
      </c>
      <c r="E27" s="1"/>
      <c r="F27" s="31" t="s">
        <v>53</v>
      </c>
      <c r="G27" s="32" t="s">
        <v>54</v>
      </c>
      <c r="H27" s="4"/>
      <c r="I27" s="35"/>
      <c r="J27" s="32" t="s">
        <v>54</v>
      </c>
      <c r="K27" s="32" t="s">
        <v>54</v>
      </c>
      <c r="L27" s="32" t="s">
        <v>54</v>
      </c>
      <c r="M27" s="32" t="str">
        <f>NormStandard!O27</f>
        <v>---</v>
      </c>
    </row>
    <row r="28" spans="2:19">
      <c r="B28" s="1"/>
      <c r="C28" s="5">
        <v>14</v>
      </c>
      <c r="D28" s="1">
        <v>117</v>
      </c>
      <c r="E28" s="1"/>
      <c r="F28" s="3" t="s">
        <v>1</v>
      </c>
      <c r="G28" s="4"/>
      <c r="H28" s="3">
        <f>P21</f>
        <v>0</v>
      </c>
      <c r="I28" s="35"/>
      <c r="J28" s="4"/>
      <c r="K28" s="3">
        <f>S21</f>
        <v>5.2176600000000004</v>
      </c>
      <c r="L28" s="3">
        <f>G28+H28-J28-K28</f>
        <v>-5.2176600000000004</v>
      </c>
      <c r="M28" s="64">
        <f>NormStandard!O28*L28</f>
        <v>-1.587271338263244E-2</v>
      </c>
    </row>
    <row r="29" spans="2:19">
      <c r="B29" s="1"/>
      <c r="C29" s="5">
        <v>15</v>
      </c>
      <c r="D29" s="1">
        <v>126</v>
      </c>
      <c r="E29" s="1"/>
      <c r="F29" s="2" t="s">
        <v>2</v>
      </c>
      <c r="G29" s="2"/>
      <c r="H29" s="4"/>
      <c r="I29" s="35"/>
      <c r="J29" s="203">
        <f>Conc1!J29</f>
        <v>4.9000000000000002E-2</v>
      </c>
      <c r="K29" s="4"/>
      <c r="L29" s="2">
        <f>G29+H29-J29-K29</f>
        <v>-4.9000000000000002E-2</v>
      </c>
      <c r="M29" s="25">
        <f>NormStandard!O29*L29</f>
        <v>-4.0698975864064686E-2</v>
      </c>
    </row>
    <row r="30" spans="2:19">
      <c r="B30" s="1"/>
      <c r="C30" s="5">
        <v>16</v>
      </c>
      <c r="D30" s="1">
        <v>134</v>
      </c>
      <c r="E30" s="1"/>
      <c r="F30" s="3" t="s">
        <v>1</v>
      </c>
      <c r="G30" s="4"/>
      <c r="H30" s="3">
        <f>P22</f>
        <v>0</v>
      </c>
      <c r="I30" s="35"/>
      <c r="J30" s="4"/>
      <c r="K30" s="3">
        <f>S22</f>
        <v>9.1796500000000005</v>
      </c>
      <c r="L30" s="3">
        <f>G30+H30-J30-K30</f>
        <v>-9.1796500000000005</v>
      </c>
      <c r="M30" s="64">
        <f>NormStandard!O30*L30</f>
        <v>-2.9456440405295509E-2</v>
      </c>
    </row>
    <row r="31" spans="2:19">
      <c r="B31" s="1"/>
      <c r="C31" s="5">
        <v>17</v>
      </c>
      <c r="D31" s="1">
        <v>141</v>
      </c>
      <c r="E31" s="1"/>
      <c r="F31" s="2" t="s">
        <v>2</v>
      </c>
      <c r="G31" s="2"/>
      <c r="H31" s="4"/>
      <c r="I31" s="35"/>
      <c r="J31" s="203">
        <f>Conc1!J31</f>
        <v>2.5000000000000001E-2</v>
      </c>
      <c r="K31" s="4"/>
      <c r="L31" s="2">
        <f>G31+H31-J31-K31</f>
        <v>-2.5000000000000001E-2</v>
      </c>
      <c r="M31" s="25">
        <f>NormStandard!O31*L31</f>
        <v>-3.7970970746667998E-2</v>
      </c>
    </row>
    <row r="32" spans="2:19">
      <c r="B32" s="1"/>
      <c r="C32" s="5">
        <v>18</v>
      </c>
      <c r="D32" s="1">
        <v>147</v>
      </c>
      <c r="E32" s="1"/>
      <c r="F32" s="3" t="s">
        <v>1</v>
      </c>
      <c r="G32" s="4"/>
      <c r="H32" s="3">
        <f>P23</f>
        <v>0</v>
      </c>
      <c r="I32" s="35"/>
      <c r="J32" s="4"/>
      <c r="K32" s="3">
        <f>S23</f>
        <v>13.594099999999999</v>
      </c>
      <c r="L32" s="3">
        <f>G32+H32-J32-K32</f>
        <v>-13.594099999999999</v>
      </c>
      <c r="M32" s="64">
        <f>NormStandard!O32*L32</f>
        <v>-2.3676220775765745E-2</v>
      </c>
    </row>
  </sheetData>
  <mergeCells count="1">
    <mergeCell ref="M12:M13"/>
  </mergeCells>
  <pageMargins left="0.7" right="0.7" top="0.75" bottom="0.75" header="0.3" footer="0.3"/>
  <pageSetup orientation="portrait" horizontalDpi="4294967293" verticalDpi="4294967293"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88B8F-7995-4491-A86F-195A6B626DF7}">
  <dimension ref="A1:BA79"/>
  <sheetViews>
    <sheetView topLeftCell="A25" zoomScale="70" zoomScaleNormal="70" workbookViewId="0">
      <selection activeCell="M50" sqref="M50"/>
    </sheetView>
  </sheetViews>
  <sheetFormatPr defaultRowHeight="14.25"/>
  <cols>
    <col min="2" max="2" width="11.73046875" customWidth="1"/>
    <col min="3" max="3" width="12.265625" customWidth="1"/>
    <col min="4" max="4" width="8.86328125" customWidth="1"/>
    <col min="5" max="5" width="12.265625" customWidth="1"/>
    <col min="6" max="6" width="12.86328125" customWidth="1"/>
    <col min="7" max="7" width="18.73046875" customWidth="1"/>
    <col min="8" max="8" width="12.265625" bestFit="1" customWidth="1"/>
    <col min="9" max="9" width="12.265625" customWidth="1"/>
    <col min="10" max="10" width="18.796875" customWidth="1"/>
    <col min="11" max="11" width="9" customWidth="1"/>
    <col min="12" max="12" width="3.1328125" customWidth="1"/>
    <col min="13" max="13" width="12.86328125" customWidth="1"/>
    <col min="27" max="27" width="6.19921875" customWidth="1"/>
    <col min="32" max="32" width="8.9296875" customWidth="1"/>
    <col min="33" max="33" width="10.19921875" customWidth="1"/>
    <col min="35" max="35" width="4.46484375" customWidth="1"/>
    <col min="36" max="36" width="1.9296875" customWidth="1"/>
    <col min="46" max="46" width="6.19921875" customWidth="1"/>
    <col min="47" max="47" width="10.53125" customWidth="1"/>
    <col min="52" max="52" width="9.9296875" customWidth="1"/>
  </cols>
  <sheetData>
    <row r="1" spans="1:53" ht="14.65" thickBot="1"/>
    <row r="2" spans="1:53">
      <c r="A2" s="209" t="s">
        <v>88</v>
      </c>
      <c r="B2" s="87" t="s">
        <v>86</v>
      </c>
    </row>
    <row r="3" spans="1:53" ht="14.65" thickBot="1">
      <c r="A3" s="210"/>
      <c r="B3" s="211" t="s">
        <v>87</v>
      </c>
    </row>
    <row r="5" spans="1:53" ht="14.65" thickBot="1">
      <c r="G5" s="124"/>
    </row>
    <row r="6" spans="1:53" ht="16.5">
      <c r="B6" s="128" t="s">
        <v>59</v>
      </c>
      <c r="C6" s="114" t="s">
        <v>36</v>
      </c>
      <c r="D6" s="114" t="s">
        <v>92</v>
      </c>
      <c r="E6" s="114" t="s">
        <v>93</v>
      </c>
      <c r="F6" s="114" t="s">
        <v>94</v>
      </c>
      <c r="G6" s="114" t="s">
        <v>102</v>
      </c>
      <c r="H6" s="115" t="s">
        <v>95</v>
      </c>
      <c r="I6" s="50"/>
      <c r="J6" s="50"/>
      <c r="AC6" s="70"/>
    </row>
    <row r="7" spans="1:53">
      <c r="B7" s="116">
        <f>Conc1!C15</f>
        <v>1</v>
      </c>
      <c r="C7" s="60">
        <f>Conc1!D15</f>
        <v>22.5</v>
      </c>
      <c r="D7" s="61">
        <f t="shared" ref="D7:D22" si="0">4*PI()*Refin*SIN(RADIANS(C7/2))/Lamcm</f>
        <v>53505.226980224332</v>
      </c>
      <c r="E7" s="61">
        <f t="shared" ref="E7:E22" si="1">D7*D7/10000000000</f>
        <v>0.28628093142053257</v>
      </c>
      <c r="F7" s="61">
        <f t="shared" ref="F7:F22" si="2">(D7/10000000)^2/0.0001</f>
        <v>0.28628093142053257</v>
      </c>
      <c r="G7" s="61">
        <f>Conc1!M15</f>
        <v>6.0164719171086116E-2</v>
      </c>
      <c r="H7" s="117">
        <f t="shared" ref="H7:H22" si="3">LN(G7)</f>
        <v>-2.8106691587487767</v>
      </c>
      <c r="I7" s="50"/>
      <c r="J7" s="50"/>
    </row>
    <row r="8" spans="1:53">
      <c r="B8" s="116">
        <f>Conc1!C16</f>
        <v>2</v>
      </c>
      <c r="C8" s="60">
        <f>Conc1!D16</f>
        <v>28</v>
      </c>
      <c r="D8" s="61">
        <f t="shared" si="0"/>
        <v>66349.195602210661</v>
      </c>
      <c r="E8" s="61">
        <f t="shared" si="1"/>
        <v>0.44022157570604104</v>
      </c>
      <c r="F8" s="61">
        <f t="shared" si="2"/>
        <v>0.44022157570604104</v>
      </c>
      <c r="G8" s="61">
        <f>Conc1!M16</f>
        <v>5.9479086966343034E-2</v>
      </c>
      <c r="H8" s="117">
        <f t="shared" si="3"/>
        <v>-2.82213050777123</v>
      </c>
      <c r="I8" s="50"/>
      <c r="J8" s="50"/>
    </row>
    <row r="9" spans="1:53">
      <c r="B9" s="116">
        <f>Conc1!C17</f>
        <v>3</v>
      </c>
      <c r="C9" s="60">
        <f>Conc1!D17</f>
        <v>32</v>
      </c>
      <c r="D9" s="61">
        <f t="shared" si="0"/>
        <v>75595.955426216213</v>
      </c>
      <c r="E9" s="61">
        <f t="shared" si="1"/>
        <v>0.57147484768024681</v>
      </c>
      <c r="F9" s="61">
        <f t="shared" si="2"/>
        <v>0.57147484768024681</v>
      </c>
      <c r="G9" s="61">
        <f>Conc1!M17</f>
        <v>8.8599198314927075E-2</v>
      </c>
      <c r="H9" s="117">
        <f t="shared" si="3"/>
        <v>-2.4236324697762925</v>
      </c>
      <c r="I9" s="50"/>
      <c r="J9" s="50"/>
    </row>
    <row r="10" spans="1:53">
      <c r="B10" s="118">
        <f>Conc1!C19</f>
        <v>5</v>
      </c>
      <c r="C10" s="62">
        <f>Conc1!D19</f>
        <v>44</v>
      </c>
      <c r="D10" s="63">
        <f t="shared" si="0"/>
        <v>102739.13437566617</v>
      </c>
      <c r="E10" s="63">
        <f t="shared" si="1"/>
        <v>1.0555329732261189</v>
      </c>
      <c r="F10" s="63">
        <f t="shared" si="2"/>
        <v>1.0555329732261189</v>
      </c>
      <c r="G10" s="62">
        <f>Conc1!M19</f>
        <v>6.2633905256943095E-2</v>
      </c>
      <c r="H10" s="119">
        <f t="shared" si="3"/>
        <v>-2.7704485299748627</v>
      </c>
      <c r="I10" s="50"/>
      <c r="J10" s="50"/>
      <c r="AB10" s="66" t="s">
        <v>87</v>
      </c>
      <c r="AC10" s="67"/>
      <c r="AD10" s="67"/>
      <c r="AE10" s="67"/>
      <c r="AF10" s="71"/>
      <c r="AG10" s="66" t="s">
        <v>60</v>
      </c>
      <c r="AH10" s="67"/>
      <c r="AU10" s="72" t="s">
        <v>2</v>
      </c>
      <c r="AV10" s="67"/>
      <c r="AW10" s="67"/>
      <c r="AX10" s="67"/>
      <c r="AY10" s="67"/>
      <c r="AZ10" s="72" t="s">
        <v>60</v>
      </c>
      <c r="BA10" s="67"/>
    </row>
    <row r="11" spans="1:53" ht="16.5">
      <c r="B11" s="118">
        <f>Conc1!C20</f>
        <v>6</v>
      </c>
      <c r="C11" s="62">
        <f>Conc1!D20</f>
        <v>50</v>
      </c>
      <c r="D11" s="63">
        <f t="shared" si="0"/>
        <v>115906.75430098787</v>
      </c>
      <c r="E11" s="63">
        <f t="shared" si="1"/>
        <v>1.3434375692589571</v>
      </c>
      <c r="F11" s="63">
        <f t="shared" si="2"/>
        <v>1.3434375692589569</v>
      </c>
      <c r="G11" s="62">
        <f>Conc1!M20</f>
        <v>8.3580422831665696E-2</v>
      </c>
      <c r="H11" s="119">
        <f t="shared" si="3"/>
        <v>-2.4819459629698319</v>
      </c>
      <c r="I11" s="50"/>
      <c r="J11" s="50"/>
      <c r="AA11" s="68" t="s">
        <v>89</v>
      </c>
      <c r="AB11" s="66" t="s">
        <v>59</v>
      </c>
      <c r="AC11" s="69" t="s">
        <v>98</v>
      </c>
      <c r="AD11" s="66" t="s">
        <v>92</v>
      </c>
      <c r="AE11" s="66" t="s">
        <v>93</v>
      </c>
      <c r="AF11" s="66" t="s">
        <v>94</v>
      </c>
      <c r="AG11" s="66" t="s">
        <v>61</v>
      </c>
      <c r="AH11" s="66" t="s">
        <v>95</v>
      </c>
      <c r="AI11" s="50"/>
      <c r="AJ11" s="50"/>
      <c r="AT11" s="67" t="s">
        <v>89</v>
      </c>
      <c r="AU11" s="73" t="s">
        <v>59</v>
      </c>
      <c r="AV11" s="73" t="s">
        <v>36</v>
      </c>
      <c r="AW11" s="73" t="s">
        <v>92</v>
      </c>
      <c r="AX11" s="73" t="s">
        <v>93</v>
      </c>
      <c r="AY11" s="73" t="s">
        <v>94</v>
      </c>
      <c r="AZ11" s="72" t="s">
        <v>61</v>
      </c>
      <c r="BA11" s="72" t="s">
        <v>95</v>
      </c>
    </row>
    <row r="12" spans="1:53">
      <c r="B12" s="116">
        <f>Conc1!C21</f>
        <v>7</v>
      </c>
      <c r="C12" s="60">
        <f>Conc1!D21</f>
        <v>57</v>
      </c>
      <c r="D12" s="61">
        <f t="shared" si="0"/>
        <v>130864.96300509552</v>
      </c>
      <c r="E12" s="61">
        <f t="shared" si="1"/>
        <v>1.7125638542325019</v>
      </c>
      <c r="F12" s="61">
        <f t="shared" si="2"/>
        <v>1.7125638542325015</v>
      </c>
      <c r="G12" s="60">
        <f>Conc1!M21</f>
        <v>6.9606150912752338E-2</v>
      </c>
      <c r="H12" s="117">
        <f t="shared" si="3"/>
        <v>-2.6649023403633962</v>
      </c>
      <c r="I12" s="50"/>
      <c r="J12" s="50"/>
      <c r="AA12">
        <v>10</v>
      </c>
      <c r="AB12" s="59">
        <f t="shared" ref="AB12:AH12" si="4">B10</f>
        <v>5</v>
      </c>
      <c r="AC12" s="59">
        <f t="shared" si="4"/>
        <v>44</v>
      </c>
      <c r="AD12" s="59">
        <f t="shared" si="4"/>
        <v>102739.13437566617</v>
      </c>
      <c r="AE12" s="59">
        <f t="shared" si="4"/>
        <v>1.0555329732261189</v>
      </c>
      <c r="AF12" s="59">
        <f t="shared" si="4"/>
        <v>1.0555329732261189</v>
      </c>
      <c r="AG12" s="59">
        <f t="shared" si="4"/>
        <v>6.2633905256943095E-2</v>
      </c>
      <c r="AH12" s="59">
        <f t="shared" si="4"/>
        <v>-2.7704485299748627</v>
      </c>
      <c r="AT12">
        <v>7</v>
      </c>
      <c r="AU12" s="60">
        <f>B7</f>
        <v>1</v>
      </c>
      <c r="AV12" s="60">
        <f t="shared" ref="AV12:BA12" si="5">C7</f>
        <v>22.5</v>
      </c>
      <c r="AW12" s="60">
        <f t="shared" si="5"/>
        <v>53505.226980224332</v>
      </c>
      <c r="AX12" s="60">
        <f t="shared" si="5"/>
        <v>0.28628093142053257</v>
      </c>
      <c r="AY12" s="60">
        <f t="shared" si="5"/>
        <v>0.28628093142053257</v>
      </c>
      <c r="AZ12" s="60">
        <f t="shared" si="5"/>
        <v>6.0164719171086116E-2</v>
      </c>
      <c r="BA12" s="60">
        <f t="shared" si="5"/>
        <v>-2.8106691587487767</v>
      </c>
    </row>
    <row r="13" spans="1:53">
      <c r="B13" s="118">
        <f>Conc1!C22</f>
        <v>8</v>
      </c>
      <c r="C13" s="62">
        <f>Conc1!D22</f>
        <v>64</v>
      </c>
      <c r="D13" s="63">
        <f t="shared" si="0"/>
        <v>145334.99263816432</v>
      </c>
      <c r="E13" s="63">
        <f t="shared" si="1"/>
        <v>2.1122260085135278</v>
      </c>
      <c r="F13" s="63">
        <f t="shared" si="2"/>
        <v>2.1122260085135278</v>
      </c>
      <c r="G13" s="62">
        <f>Conc1!M22</f>
        <v>7.1988374224558796E-2</v>
      </c>
      <c r="H13" s="119">
        <f t="shared" si="3"/>
        <v>-2.6312506421069708</v>
      </c>
      <c r="I13" s="50"/>
      <c r="J13" s="50"/>
      <c r="AA13">
        <v>11</v>
      </c>
      <c r="AB13" s="59">
        <f>B11</f>
        <v>6</v>
      </c>
      <c r="AC13" s="59">
        <f t="shared" ref="AC13:AH13" si="6">C11</f>
        <v>50</v>
      </c>
      <c r="AD13" s="59">
        <f t="shared" si="6"/>
        <v>115906.75430098787</v>
      </c>
      <c r="AE13" s="59">
        <f t="shared" si="6"/>
        <v>1.3434375692589571</v>
      </c>
      <c r="AF13" s="59">
        <f t="shared" si="6"/>
        <v>1.3434375692589569</v>
      </c>
      <c r="AG13" s="59">
        <f t="shared" si="6"/>
        <v>8.3580422831665696E-2</v>
      </c>
      <c r="AH13" s="59">
        <f t="shared" si="6"/>
        <v>-2.4819459629698319</v>
      </c>
      <c r="AT13">
        <v>8</v>
      </c>
      <c r="AU13" s="60">
        <f>B8</f>
        <v>2</v>
      </c>
      <c r="AV13" s="60">
        <f t="shared" ref="AV13:BA13" si="7">C8</f>
        <v>28</v>
      </c>
      <c r="AW13" s="60">
        <f t="shared" si="7"/>
        <v>66349.195602210661</v>
      </c>
      <c r="AX13" s="60">
        <f t="shared" si="7"/>
        <v>0.44022157570604104</v>
      </c>
      <c r="AY13" s="60">
        <f t="shared" si="7"/>
        <v>0.44022157570604104</v>
      </c>
      <c r="AZ13" s="60">
        <f t="shared" si="7"/>
        <v>5.9479086966343034E-2</v>
      </c>
      <c r="BA13" s="60">
        <f t="shared" si="7"/>
        <v>-2.82213050777123</v>
      </c>
    </row>
    <row r="14" spans="1:53">
      <c r="B14" s="116">
        <f>Conc1!C23</f>
        <v>9</v>
      </c>
      <c r="C14" s="60">
        <f>Conc1!D23</f>
        <v>72</v>
      </c>
      <c r="D14" s="61">
        <f t="shared" si="0"/>
        <v>161205.2459318676</v>
      </c>
      <c r="E14" s="61">
        <f t="shared" si="1"/>
        <v>2.5987131315953915</v>
      </c>
      <c r="F14" s="61">
        <f t="shared" si="2"/>
        <v>2.5987131315953915</v>
      </c>
      <c r="G14" s="60">
        <f>Conc1!M23</f>
        <v>7.8213618565810245E-2</v>
      </c>
      <c r="H14" s="117">
        <f t="shared" si="3"/>
        <v>-2.548311496135371</v>
      </c>
      <c r="I14" s="50"/>
      <c r="J14" s="50"/>
      <c r="AA14">
        <v>13</v>
      </c>
      <c r="AB14" s="59">
        <f>B13</f>
        <v>8</v>
      </c>
      <c r="AC14" s="59">
        <f t="shared" ref="AC14:AH14" si="8">C13</f>
        <v>64</v>
      </c>
      <c r="AD14" s="59">
        <f t="shared" si="8"/>
        <v>145334.99263816432</v>
      </c>
      <c r="AE14" s="59">
        <f t="shared" si="8"/>
        <v>2.1122260085135278</v>
      </c>
      <c r="AF14" s="59">
        <f t="shared" si="8"/>
        <v>2.1122260085135278</v>
      </c>
      <c r="AG14" s="59">
        <f t="shared" si="8"/>
        <v>7.1988374224558796E-2</v>
      </c>
      <c r="AH14" s="59">
        <f t="shared" si="8"/>
        <v>-2.6312506421069708</v>
      </c>
      <c r="AT14">
        <v>9</v>
      </c>
      <c r="AU14" s="60">
        <f>B9</f>
        <v>3</v>
      </c>
      <c r="AV14" s="60">
        <f t="shared" ref="AV14:BA14" si="9">C9</f>
        <v>32</v>
      </c>
      <c r="AW14" s="60">
        <f t="shared" si="9"/>
        <v>75595.955426216213</v>
      </c>
      <c r="AX14" s="60">
        <f t="shared" si="9"/>
        <v>0.57147484768024681</v>
      </c>
      <c r="AY14" s="60">
        <f t="shared" si="9"/>
        <v>0.57147484768024681</v>
      </c>
      <c r="AZ14" s="60">
        <f t="shared" si="9"/>
        <v>8.8599198314927075E-2</v>
      </c>
      <c r="BA14" s="60">
        <f t="shared" si="9"/>
        <v>-2.4236324697762925</v>
      </c>
    </row>
    <row r="15" spans="1:53">
      <c r="B15" s="118">
        <f>Conc1!C24</f>
        <v>10</v>
      </c>
      <c r="C15" s="62">
        <f>Conc1!D24</f>
        <v>81</v>
      </c>
      <c r="D15" s="63">
        <f t="shared" si="0"/>
        <v>178116.80701873807</v>
      </c>
      <c r="E15" s="63">
        <f t="shared" si="1"/>
        <v>3.1725596942550376</v>
      </c>
      <c r="F15" s="63">
        <f t="shared" si="2"/>
        <v>3.1725596942550371</v>
      </c>
      <c r="G15" s="62">
        <f>Conc1!M24</f>
        <v>6.5084068151610414E-2</v>
      </c>
      <c r="H15" s="119">
        <f t="shared" si="3"/>
        <v>-2.7320754885725167</v>
      </c>
      <c r="I15" s="50"/>
      <c r="J15" s="50"/>
      <c r="AA15">
        <v>15</v>
      </c>
      <c r="AB15" s="59">
        <f>B15</f>
        <v>10</v>
      </c>
      <c r="AC15" s="59">
        <f t="shared" ref="AC15:AH15" si="10">C15</f>
        <v>81</v>
      </c>
      <c r="AD15" s="59">
        <f t="shared" si="10"/>
        <v>178116.80701873807</v>
      </c>
      <c r="AE15" s="59">
        <f t="shared" si="10"/>
        <v>3.1725596942550376</v>
      </c>
      <c r="AF15" s="59">
        <f t="shared" si="10"/>
        <v>3.1725596942550371</v>
      </c>
      <c r="AG15" s="59">
        <f t="shared" si="10"/>
        <v>6.5084068151610414E-2</v>
      </c>
      <c r="AH15" s="59">
        <f t="shared" si="10"/>
        <v>-2.7320754885725167</v>
      </c>
      <c r="AT15">
        <v>12</v>
      </c>
      <c r="AU15" s="60">
        <f>B12</f>
        <v>7</v>
      </c>
      <c r="AV15" s="60">
        <f t="shared" ref="AV15:BA15" si="11">C12</f>
        <v>57</v>
      </c>
      <c r="AW15" s="60">
        <f t="shared" si="11"/>
        <v>130864.96300509552</v>
      </c>
      <c r="AX15" s="60">
        <f t="shared" si="11"/>
        <v>1.7125638542325019</v>
      </c>
      <c r="AY15" s="60">
        <f t="shared" si="11"/>
        <v>1.7125638542325015</v>
      </c>
      <c r="AZ15" s="60">
        <f t="shared" si="11"/>
        <v>6.9606150912752338E-2</v>
      </c>
      <c r="BA15" s="60">
        <f t="shared" si="11"/>
        <v>-2.6649023403633962</v>
      </c>
    </row>
    <row r="16" spans="1:53">
      <c r="B16" s="116">
        <f>Conc1!C25</f>
        <v>11</v>
      </c>
      <c r="C16" s="60">
        <f>Conc1!D25</f>
        <v>90</v>
      </c>
      <c r="D16" s="61">
        <f t="shared" si="0"/>
        <v>193930.21876048925</v>
      </c>
      <c r="E16" s="61">
        <f t="shared" si="1"/>
        <v>3.760892974849122</v>
      </c>
      <c r="F16" s="61">
        <f t="shared" si="2"/>
        <v>3.7608929748491216</v>
      </c>
      <c r="G16" s="60">
        <f>Conc1!M25</f>
        <v>7.5293007012894111E-2</v>
      </c>
      <c r="H16" s="117">
        <f t="shared" si="3"/>
        <v>-2.5863680168434815</v>
      </c>
      <c r="I16" s="50"/>
      <c r="J16" s="50"/>
      <c r="AA16">
        <v>17</v>
      </c>
      <c r="AB16" s="59">
        <f>B17</f>
        <v>12</v>
      </c>
      <c r="AC16" s="59">
        <f t="shared" ref="AC16:AH17" si="12">C17</f>
        <v>99</v>
      </c>
      <c r="AD16" s="59">
        <f t="shared" si="12"/>
        <v>208547.98621524032</v>
      </c>
      <c r="AE16" s="59">
        <f t="shared" si="12"/>
        <v>4.3492262554432068</v>
      </c>
      <c r="AF16" s="59">
        <f t="shared" si="12"/>
        <v>4.349226255443206</v>
      </c>
      <c r="AG16" s="59">
        <f t="shared" si="12"/>
        <v>9.5703680818486445E-2</v>
      </c>
      <c r="AH16" s="59">
        <f t="shared" si="12"/>
        <v>-2.3464985192097245</v>
      </c>
      <c r="AT16">
        <v>14</v>
      </c>
      <c r="AU16" s="60">
        <f>B14</f>
        <v>9</v>
      </c>
      <c r="AV16" s="60">
        <f t="shared" ref="AV16:BA16" si="13">C14</f>
        <v>72</v>
      </c>
      <c r="AW16" s="60">
        <f t="shared" si="13"/>
        <v>161205.2459318676</v>
      </c>
      <c r="AX16" s="60">
        <f t="shared" si="13"/>
        <v>2.5987131315953915</v>
      </c>
      <c r="AY16" s="60">
        <f t="shared" si="13"/>
        <v>2.5987131315953915</v>
      </c>
      <c r="AZ16" s="60">
        <f t="shared" si="13"/>
        <v>7.8213618565810245E-2</v>
      </c>
      <c r="BA16" s="60">
        <f t="shared" si="13"/>
        <v>-2.548311496135371</v>
      </c>
    </row>
    <row r="17" spans="2:53">
      <c r="B17" s="118">
        <f>Conc1!C26</f>
        <v>12</v>
      </c>
      <c r="C17" s="62">
        <f>Conc1!D26</f>
        <v>99</v>
      </c>
      <c r="D17" s="63">
        <f t="shared" si="0"/>
        <v>208547.98621524032</v>
      </c>
      <c r="E17" s="63">
        <f t="shared" si="1"/>
        <v>4.3492262554432068</v>
      </c>
      <c r="F17" s="63">
        <f t="shared" si="2"/>
        <v>4.349226255443206</v>
      </c>
      <c r="G17" s="62">
        <f>Conc1!M26</f>
        <v>9.5703680818486445E-2</v>
      </c>
      <c r="H17" s="119">
        <f t="shared" si="3"/>
        <v>-2.3464985192097245</v>
      </c>
      <c r="I17" s="50"/>
      <c r="J17" s="50"/>
      <c r="AA17">
        <v>18</v>
      </c>
      <c r="AB17" s="59">
        <f>B18</f>
        <v>14</v>
      </c>
      <c r="AC17" s="59">
        <f t="shared" si="12"/>
        <v>117</v>
      </c>
      <c r="AD17" s="59">
        <f t="shared" si="12"/>
        <v>233844.02186003872</v>
      </c>
      <c r="AE17" s="59">
        <f t="shared" si="12"/>
        <v>5.4683026559678272</v>
      </c>
      <c r="AF17" s="59">
        <f t="shared" si="12"/>
        <v>5.4683026559678263</v>
      </c>
      <c r="AG17" s="59">
        <f t="shared" si="12"/>
        <v>9.9349856451222421E-2</v>
      </c>
      <c r="AH17" s="59">
        <f t="shared" si="12"/>
        <v>-2.3091077548648475</v>
      </c>
      <c r="AT17">
        <v>16</v>
      </c>
      <c r="AU17" s="60">
        <f>B16</f>
        <v>11</v>
      </c>
      <c r="AV17" s="60">
        <f t="shared" ref="AV17:BA17" si="14">C16</f>
        <v>90</v>
      </c>
      <c r="AW17" s="60">
        <f t="shared" si="14"/>
        <v>193930.21876048925</v>
      </c>
      <c r="AX17" s="60">
        <f t="shared" si="14"/>
        <v>3.760892974849122</v>
      </c>
      <c r="AY17" s="60">
        <f t="shared" si="14"/>
        <v>3.7608929748491216</v>
      </c>
      <c r="AZ17" s="60">
        <f t="shared" si="14"/>
        <v>7.5293007012894111E-2</v>
      </c>
      <c r="BA17" s="60">
        <f t="shared" si="14"/>
        <v>-2.5863680168434815</v>
      </c>
    </row>
    <row r="18" spans="2:53">
      <c r="B18" s="118">
        <f>Conc1!C28</f>
        <v>14</v>
      </c>
      <c r="C18" s="62">
        <f>Conc1!D28</f>
        <v>117</v>
      </c>
      <c r="D18" s="63">
        <f t="shared" si="0"/>
        <v>233844.02186003872</v>
      </c>
      <c r="E18" s="63">
        <f t="shared" si="1"/>
        <v>5.4683026559678272</v>
      </c>
      <c r="F18" s="63">
        <f t="shared" si="2"/>
        <v>5.4683026559678263</v>
      </c>
      <c r="G18" s="62">
        <f>Conc1!M28</f>
        <v>9.9349856451222421E-2</v>
      </c>
      <c r="H18" s="119">
        <f t="shared" si="3"/>
        <v>-2.3091077548648475</v>
      </c>
      <c r="I18" s="50"/>
      <c r="J18" s="50"/>
      <c r="AA18">
        <v>20</v>
      </c>
      <c r="AB18" s="59">
        <f>B20</f>
        <v>16</v>
      </c>
      <c r="AC18" s="59">
        <f t="shared" ref="AC18:AH18" si="15">C20</f>
        <v>134</v>
      </c>
      <c r="AD18" s="59">
        <f t="shared" si="15"/>
        <v>252456.50635760027</v>
      </c>
      <c r="AE18" s="59">
        <f t="shared" si="15"/>
        <v>6.3734287602285065</v>
      </c>
      <c r="AF18" s="59">
        <f t="shared" si="15"/>
        <v>6.3734287602285056</v>
      </c>
      <c r="AG18" s="59">
        <f t="shared" si="15"/>
        <v>7.3718387006404235E-2</v>
      </c>
      <c r="AH18" s="59">
        <f t="shared" si="15"/>
        <v>-2.6075030264198276</v>
      </c>
      <c r="AT18">
        <v>19</v>
      </c>
      <c r="AU18" s="60">
        <f>B19</f>
        <v>15</v>
      </c>
      <c r="AV18" s="60">
        <f t="shared" ref="AV18:BA18" si="16">C19</f>
        <v>126</v>
      </c>
      <c r="AW18" s="60">
        <f t="shared" si="16"/>
        <v>244366.33157855037</v>
      </c>
      <c r="AX18" s="60">
        <f t="shared" si="16"/>
        <v>5.9714904009158021</v>
      </c>
      <c r="AY18" s="60">
        <f t="shared" si="16"/>
        <v>5.971490400915803</v>
      </c>
      <c r="AZ18" s="60">
        <f t="shared" si="16"/>
        <v>6.4786124844837673E-2</v>
      </c>
      <c r="BA18" s="60">
        <f t="shared" si="16"/>
        <v>-2.736663821316311</v>
      </c>
    </row>
    <row r="19" spans="2:53">
      <c r="B19" s="116">
        <f>Conc1!C29</f>
        <v>15</v>
      </c>
      <c r="C19" s="60">
        <f>Conc1!D29</f>
        <v>126</v>
      </c>
      <c r="D19" s="61">
        <f t="shared" si="0"/>
        <v>244366.33157855037</v>
      </c>
      <c r="E19" s="61">
        <f t="shared" si="1"/>
        <v>5.9714904009158021</v>
      </c>
      <c r="F19" s="61">
        <f t="shared" si="2"/>
        <v>5.971490400915803</v>
      </c>
      <c r="G19" s="60">
        <f>Conc1!M29</f>
        <v>6.4786124844837673E-2</v>
      </c>
      <c r="H19" s="117">
        <f t="shared" si="3"/>
        <v>-2.736663821316311</v>
      </c>
      <c r="I19" s="50"/>
      <c r="J19" s="50"/>
      <c r="N19" s="39"/>
      <c r="AA19">
        <v>22</v>
      </c>
      <c r="AB19" s="59">
        <f>B22</f>
        <v>18</v>
      </c>
      <c r="AC19" s="59">
        <f t="shared" ref="AC19:AH19" si="17">C22</f>
        <v>147</v>
      </c>
      <c r="AD19" s="59">
        <f t="shared" si="17"/>
        <v>262964.69766962621</v>
      </c>
      <c r="AE19" s="59">
        <f t="shared" si="17"/>
        <v>6.9150432220477924</v>
      </c>
      <c r="AF19" s="59">
        <f t="shared" si="17"/>
        <v>6.9150432220477915</v>
      </c>
      <c r="AG19" s="59">
        <f t="shared" si="17"/>
        <v>9.3064523551827746E-2</v>
      </c>
      <c r="AH19" s="59">
        <f t="shared" si="17"/>
        <v>-2.3744622247654124</v>
      </c>
      <c r="AT19">
        <v>21</v>
      </c>
      <c r="AU19" s="60">
        <f>B21</f>
        <v>17</v>
      </c>
      <c r="AV19" s="60">
        <f t="shared" ref="AV19:BA19" si="18">C21</f>
        <v>141</v>
      </c>
      <c r="AW19" s="60">
        <f t="shared" si="18"/>
        <v>258527.67282681772</v>
      </c>
      <c r="AX19" s="60">
        <f t="shared" si="18"/>
        <v>6.683655761725011</v>
      </c>
      <c r="AY19" s="60">
        <f t="shared" si="18"/>
        <v>6.6836557617250101</v>
      </c>
      <c r="AZ19" s="60">
        <f t="shared" si="18"/>
        <v>6.834774734400241E-2</v>
      </c>
      <c r="BA19" s="60">
        <f t="shared" si="18"/>
        <v>-2.6831466740143664</v>
      </c>
    </row>
    <row r="20" spans="2:53">
      <c r="B20" s="118">
        <f>Conc1!C30</f>
        <v>16</v>
      </c>
      <c r="C20" s="62">
        <f>Conc1!D30</f>
        <v>134</v>
      </c>
      <c r="D20" s="63">
        <f t="shared" si="0"/>
        <v>252456.50635760027</v>
      </c>
      <c r="E20" s="63">
        <f t="shared" si="1"/>
        <v>6.3734287602285065</v>
      </c>
      <c r="F20" s="63">
        <f t="shared" si="2"/>
        <v>6.3734287602285056</v>
      </c>
      <c r="G20" s="62">
        <f>Conc1!M30</f>
        <v>7.3718387006404235E-2</v>
      </c>
      <c r="H20" s="119">
        <f t="shared" si="3"/>
        <v>-2.6075030264198276</v>
      </c>
      <c r="I20" s="50"/>
      <c r="J20" s="50"/>
    </row>
    <row r="21" spans="2:53" ht="14.65" thickBot="1">
      <c r="B21" s="116">
        <f>Conc1!C31</f>
        <v>17</v>
      </c>
      <c r="C21" s="60">
        <f>Conc1!D31</f>
        <v>141</v>
      </c>
      <c r="D21" s="61">
        <f t="shared" si="0"/>
        <v>258527.67282681772</v>
      </c>
      <c r="E21" s="61">
        <f t="shared" si="1"/>
        <v>6.683655761725011</v>
      </c>
      <c r="F21" s="61">
        <f t="shared" si="2"/>
        <v>6.6836557617250101</v>
      </c>
      <c r="G21" s="60">
        <f>Conc1!M31</f>
        <v>6.834774734400241E-2</v>
      </c>
      <c r="H21" s="117">
        <f t="shared" si="3"/>
        <v>-2.6831466740143664</v>
      </c>
      <c r="I21" s="50"/>
      <c r="J21" s="50"/>
    </row>
    <row r="22" spans="2:53" ht="14.65" thickBot="1">
      <c r="B22" s="120">
        <f>Conc1!C32</f>
        <v>18</v>
      </c>
      <c r="C22" s="121">
        <f>Conc1!D32</f>
        <v>147</v>
      </c>
      <c r="D22" s="122">
        <f t="shared" si="0"/>
        <v>262964.69766962621</v>
      </c>
      <c r="E22" s="122">
        <f t="shared" si="1"/>
        <v>6.9150432220477924</v>
      </c>
      <c r="F22" s="122">
        <f t="shared" si="2"/>
        <v>6.9150432220477915</v>
      </c>
      <c r="G22" s="121">
        <f>Conc1!M32</f>
        <v>9.3064523551827746E-2</v>
      </c>
      <c r="H22" s="123">
        <f t="shared" si="3"/>
        <v>-2.3744622247654124</v>
      </c>
      <c r="I22" s="50"/>
      <c r="J22" s="50"/>
      <c r="K22" s="39"/>
      <c r="L22" s="39"/>
      <c r="M22" s="112" t="s">
        <v>101</v>
      </c>
      <c r="N22" s="100"/>
      <c r="O22" s="101"/>
    </row>
    <row r="23" spans="2:53" ht="14.65" thickBot="1">
      <c r="M23" s="110" t="s">
        <v>62</v>
      </c>
      <c r="N23" s="111">
        <f>INTERCEPT(H7:H22,F7:F22)</f>
        <v>-2.6773901798608772</v>
      </c>
      <c r="O23" s="113" t="s">
        <v>96</v>
      </c>
      <c r="AG23" s="98" t="s">
        <v>99</v>
      </c>
      <c r="AH23" s="97"/>
      <c r="AI23" s="96"/>
      <c r="AX23" s="99" t="s">
        <v>100</v>
      </c>
      <c r="AY23" s="95"/>
      <c r="AZ23" s="87"/>
    </row>
    <row r="24" spans="2:53" ht="15.75">
      <c r="M24" s="103" t="s">
        <v>363</v>
      </c>
      <c r="N24" s="104">
        <f>SLOPE(H7:H22,F7:F22)</f>
        <v>2.4786992128675731E-2</v>
      </c>
      <c r="O24" s="106" t="s">
        <v>97</v>
      </c>
      <c r="AG24" s="75" t="s">
        <v>62</v>
      </c>
      <c r="AH24" s="76">
        <f>INTERCEPT(AH12:AH19,AF12:AF19)</f>
        <v>-2.7011854305704235</v>
      </c>
      <c r="AI24" s="77" t="s">
        <v>96</v>
      </c>
      <c r="AX24" s="85" t="s">
        <v>62</v>
      </c>
      <c r="AY24" s="86">
        <f>INTERCEPT(BA12:BA19,AY12:AY19)</f>
        <v>-2.6566918233999304</v>
      </c>
      <c r="AZ24" s="87" t="s">
        <v>96</v>
      </c>
    </row>
    <row r="25" spans="2:53" ht="16.5">
      <c r="M25" s="102" t="s">
        <v>63</v>
      </c>
      <c r="N25" s="105" t="e">
        <f>SQRT(-30000*Guinslope)</f>
        <v>#NUM!</v>
      </c>
      <c r="O25" s="106" t="s">
        <v>19</v>
      </c>
      <c r="AG25" s="78" t="s">
        <v>363</v>
      </c>
      <c r="AH25" s="74">
        <f>SLOPE(AH12:AH19,AF12:AF19)</f>
        <v>4.4046833158166342E-2</v>
      </c>
      <c r="AI25" s="79" t="s">
        <v>97</v>
      </c>
      <c r="AX25" s="88" t="s">
        <v>363</v>
      </c>
      <c r="AY25" s="83">
        <f>SLOPE(BA12:BA19,AY12:AY19)</f>
        <v>-1.0120136556601286E-3</v>
      </c>
      <c r="AZ25" s="89" t="s">
        <v>97</v>
      </c>
    </row>
    <row r="26" spans="2:53" ht="15.75">
      <c r="M26" s="102" t="s">
        <v>64</v>
      </c>
      <c r="N26" s="105" t="e">
        <f>N25*SQRT(5/3)</f>
        <v>#NUM!</v>
      </c>
      <c r="O26" s="106" t="s">
        <v>19</v>
      </c>
      <c r="AG26" s="78" t="s">
        <v>63</v>
      </c>
      <c r="AH26" s="74" t="e">
        <f>SQRT(-30000*AH25)</f>
        <v>#NUM!</v>
      </c>
      <c r="AI26" s="79" t="s">
        <v>19</v>
      </c>
      <c r="AX26" s="90" t="s">
        <v>63</v>
      </c>
      <c r="AY26" s="84">
        <f>SQRT(-30000*AY25)</f>
        <v>5.5100281006364984</v>
      </c>
      <c r="AZ26" s="91" t="s">
        <v>19</v>
      </c>
    </row>
    <row r="27" spans="2:53" ht="16.149999999999999" thickBot="1">
      <c r="M27" s="107" t="s">
        <v>65</v>
      </c>
      <c r="N27" s="108">
        <f>Conc1!J7</f>
        <v>1</v>
      </c>
      <c r="O27" s="109" t="s">
        <v>19</v>
      </c>
      <c r="AG27" s="78" t="s">
        <v>64</v>
      </c>
      <c r="AH27" s="74" t="e">
        <f>AH26*SQRT(5/3)</f>
        <v>#NUM!</v>
      </c>
      <c r="AI27" s="79" t="s">
        <v>19</v>
      </c>
      <c r="AX27" s="90" t="s">
        <v>64</v>
      </c>
      <c r="AY27" s="84">
        <f>AY26*SQRT(5/3)</f>
        <v>7.1134156903000143</v>
      </c>
      <c r="AZ27" s="91" t="s">
        <v>19</v>
      </c>
    </row>
    <row r="28" spans="2:53" ht="16.149999999999999" thickBot="1">
      <c r="G28" s="5" t="s">
        <v>81</v>
      </c>
      <c r="H28" s="5" t="s">
        <v>60</v>
      </c>
      <c r="I28" s="5"/>
      <c r="J28" s="5" t="s">
        <v>80</v>
      </c>
      <c r="K28" s="1"/>
      <c r="AG28" s="80" t="s">
        <v>65</v>
      </c>
      <c r="AH28" s="81">
        <f>Conc1!J7</f>
        <v>1</v>
      </c>
      <c r="AI28" s="82" t="s">
        <v>19</v>
      </c>
      <c r="AX28" s="92" t="s">
        <v>65</v>
      </c>
      <c r="AY28" s="93">
        <f>Conc1!J7</f>
        <v>1</v>
      </c>
      <c r="AZ28" s="94" t="s">
        <v>19</v>
      </c>
    </row>
    <row r="29" spans="2:53" ht="15.75">
      <c r="B29" t="s">
        <v>79</v>
      </c>
      <c r="C29" t="s">
        <v>76</v>
      </c>
      <c r="D29" t="s">
        <v>75</v>
      </c>
      <c r="E29" t="s">
        <v>78</v>
      </c>
      <c r="F29" t="s">
        <v>77</v>
      </c>
      <c r="G29" s="1" t="s">
        <v>76</v>
      </c>
      <c r="H29" s="5" t="s">
        <v>61</v>
      </c>
      <c r="I29" s="5" t="s">
        <v>75</v>
      </c>
      <c r="J29" s="5" t="s">
        <v>74</v>
      </c>
      <c r="K29" s="49" t="s">
        <v>73</v>
      </c>
      <c r="L29" s="48"/>
    </row>
    <row r="30" spans="2:53" ht="15.75">
      <c r="B30">
        <f t="shared" ref="B30:B61" si="19">10000000*C30</f>
        <v>1</v>
      </c>
      <c r="C30">
        <v>9.9999999999999995E-8</v>
      </c>
      <c r="D30">
        <f t="shared" ref="D30:D61" si="20">C30*Rsphere</f>
        <v>1.1269034418874374E-5</v>
      </c>
      <c r="E30">
        <f t="shared" ref="E30:E61" si="21">((3/D30^3)*(SIN(D30)-D30*COS(D30)))^2</f>
        <v>0.99999729121698844</v>
      </c>
      <c r="F30">
        <f t="shared" ref="F30:F61" si="22">E30*Izero</f>
        <v>1.4456708102296651</v>
      </c>
      <c r="G30" s="256">
        <f t="shared" ref="G30:G45" si="23">D7/10000000</f>
        <v>5.3505226980224332E-3</v>
      </c>
      <c r="H30" s="257">
        <f>Conc1!M15</f>
        <v>6.0164719171086116E-2</v>
      </c>
      <c r="I30" s="257">
        <f t="shared" ref="I30:I45" si="24">G30*Rsphere</f>
        <v>0.60295224442983375</v>
      </c>
      <c r="J30" s="257">
        <f>Izero*(3/I30^3*(SIN(I30)-I30*COS(I30)))^2</f>
        <v>1.3437767504580342</v>
      </c>
      <c r="K30" s="256">
        <f t="shared" ref="K30:K45" si="25">(H30-J30)^2</f>
        <v>1.6476598468646051</v>
      </c>
      <c r="M30" s="47" t="s">
        <v>72</v>
      </c>
      <c r="N30" s="51">
        <v>1.4456747262488039</v>
      </c>
    </row>
    <row r="31" spans="2:53" ht="15.75">
      <c r="B31">
        <f t="shared" si="19"/>
        <v>10000</v>
      </c>
      <c r="C31" s="45">
        <v>1E-3</v>
      </c>
      <c r="D31">
        <f t="shared" si="20"/>
        <v>0.11269034418874374</v>
      </c>
      <c r="E31">
        <f t="shared" si="21"/>
        <v>0.99746294011781955</v>
      </c>
      <c r="F31">
        <f t="shared" si="22"/>
        <v>1.4420069628981558</v>
      </c>
      <c r="G31" s="256">
        <f t="shared" si="23"/>
        <v>6.6349195602210661E-3</v>
      </c>
      <c r="H31" s="257">
        <f>Conc1!M16</f>
        <v>5.9479086966343034E-2</v>
      </c>
      <c r="I31" s="257">
        <f t="shared" si="24"/>
        <v>0.74769136890594012</v>
      </c>
      <c r="J31" s="257">
        <f t="shared" ref="J31:J45" si="26">Izero*(3/I31^3*(SIN(I31)-I31*COS(I31)))^2</f>
        <v>1.2915714312538566</v>
      </c>
      <c r="K31" s="256">
        <f t="shared" si="25"/>
        <v>1.518051544851901</v>
      </c>
      <c r="M31" s="47" t="s">
        <v>71</v>
      </c>
      <c r="N31" s="52">
        <v>112.69034418874374</v>
      </c>
    </row>
    <row r="32" spans="2:53">
      <c r="B32">
        <f t="shared" si="19"/>
        <v>15000</v>
      </c>
      <c r="C32" s="45">
        <v>1.5E-3</v>
      </c>
      <c r="D32">
        <f t="shared" si="20"/>
        <v>0.16903551628311561</v>
      </c>
      <c r="E32">
        <f t="shared" si="21"/>
        <v>0.99429937483128761</v>
      </c>
      <c r="F32">
        <f t="shared" si="22"/>
        <v>1.4374334765185786</v>
      </c>
      <c r="G32" s="256">
        <f t="shared" si="23"/>
        <v>7.5595955426216209E-3</v>
      </c>
      <c r="H32" s="257">
        <f>Conc1!M17</f>
        <v>8.8599198314927075E-2</v>
      </c>
      <c r="I32" s="257">
        <f t="shared" si="24"/>
        <v>0.8518934236257234</v>
      </c>
      <c r="J32" s="257">
        <f t="shared" si="26"/>
        <v>1.2484386141560717</v>
      </c>
      <c r="K32" s="256">
        <f t="shared" si="25"/>
        <v>1.3452274705387277</v>
      </c>
    </row>
    <row r="33" spans="2:11">
      <c r="B33">
        <f t="shared" si="19"/>
        <v>20000</v>
      </c>
      <c r="C33" s="45">
        <v>2E-3</v>
      </c>
      <c r="D33">
        <f t="shared" si="20"/>
        <v>0.22538068837748748</v>
      </c>
      <c r="E33">
        <f t="shared" si="21"/>
        <v>0.98988483165429186</v>
      </c>
      <c r="F33">
        <f t="shared" si="22"/>
        <v>1.4310514830196617</v>
      </c>
      <c r="G33" s="118">
        <f t="shared" si="23"/>
        <v>1.0273913437566617E-2</v>
      </c>
      <c r="H33" s="118">
        <f>Conc1!M19</f>
        <v>6.2633905256943095E-2</v>
      </c>
      <c r="I33" s="118">
        <f t="shared" si="24"/>
        <v>1.1577708414447414</v>
      </c>
      <c r="J33" s="118">
        <f t="shared" si="26"/>
        <v>1.0998145730876969</v>
      </c>
      <c r="K33" s="118">
        <f t="shared" si="25"/>
        <v>1.0757437377218484</v>
      </c>
    </row>
    <row r="34" spans="2:11">
      <c r="B34">
        <f t="shared" si="19"/>
        <v>25000</v>
      </c>
      <c r="C34" s="45">
        <v>2.5000000000000001E-3</v>
      </c>
      <c r="D34">
        <f t="shared" si="20"/>
        <v>0.28172586047185932</v>
      </c>
      <c r="E34">
        <f t="shared" si="21"/>
        <v>0.98423367734756462</v>
      </c>
      <c r="F34">
        <f t="shared" si="22"/>
        <v>1.422881752064294</v>
      </c>
      <c r="G34" s="118">
        <f t="shared" si="23"/>
        <v>1.1590675430098786E-2</v>
      </c>
      <c r="H34" s="118">
        <f>Conc1!M20</f>
        <v>8.3580422831665696E-2</v>
      </c>
      <c r="I34" s="118">
        <f t="shared" si="24"/>
        <v>1.3061572035978475</v>
      </c>
      <c r="J34" s="118">
        <f t="shared" si="26"/>
        <v>1.0187768692440813</v>
      </c>
      <c r="K34" s="118">
        <f t="shared" si="25"/>
        <v>0.87459239338241013</v>
      </c>
    </row>
    <row r="35" spans="2:11">
      <c r="B35">
        <f t="shared" si="19"/>
        <v>30000</v>
      </c>
      <c r="C35" s="45">
        <v>3.0000000000000001E-3</v>
      </c>
      <c r="D35">
        <f t="shared" si="20"/>
        <v>0.33807103256623122</v>
      </c>
      <c r="E35">
        <f t="shared" si="21"/>
        <v>0.97736426761158823</v>
      </c>
      <c r="F35">
        <f t="shared" si="22"/>
        <v>1.4129508200247456</v>
      </c>
      <c r="G35" s="117">
        <f t="shared" si="23"/>
        <v>1.3086496300509551E-2</v>
      </c>
      <c r="H35" s="117">
        <f>Conc1!M21</f>
        <v>6.9606150912752338E-2</v>
      </c>
      <c r="I35" s="117">
        <f t="shared" si="24"/>
        <v>1.4747217723291428</v>
      </c>
      <c r="J35" s="117">
        <f t="shared" si="26"/>
        <v>0.92233774750037412</v>
      </c>
      <c r="K35" s="117">
        <f t="shared" si="25"/>
        <v>0.72715117581887456</v>
      </c>
    </row>
    <row r="36" spans="2:11">
      <c r="B36">
        <f t="shared" si="19"/>
        <v>35000</v>
      </c>
      <c r="C36" s="45">
        <v>3.5000000000000001E-3</v>
      </c>
      <c r="D36">
        <f t="shared" si="20"/>
        <v>0.39441620466060306</v>
      </c>
      <c r="E36">
        <f t="shared" si="21"/>
        <v>0.96929886111886665</v>
      </c>
      <c r="F36">
        <f t="shared" si="22"/>
        <v>1.401290865701295</v>
      </c>
      <c r="G36" s="255">
        <f t="shared" si="23"/>
        <v>1.4533499263816432E-2</v>
      </c>
      <c r="H36" s="255">
        <f>Conc1!M22</f>
        <v>7.1988374224558796E-2</v>
      </c>
      <c r="I36" s="255">
        <f t="shared" si="24"/>
        <v>1.6377850343063274</v>
      </c>
      <c r="J36" s="255">
        <f t="shared" si="26"/>
        <v>0.82674477743470576</v>
      </c>
      <c r="K36" s="255">
        <f t="shared" si="25"/>
        <v>0.56965722818671782</v>
      </c>
    </row>
    <row r="37" spans="2:11">
      <c r="B37">
        <f t="shared" si="19"/>
        <v>40000</v>
      </c>
      <c r="C37" s="45">
        <v>4.0000000000000001E-3</v>
      </c>
      <c r="D37">
        <f t="shared" si="20"/>
        <v>0.45076137675497496</v>
      </c>
      <c r="E37">
        <f t="shared" si="21"/>
        <v>0.96006351545565616</v>
      </c>
      <c r="F37">
        <f t="shared" si="22"/>
        <v>1.3879395598878199</v>
      </c>
      <c r="G37" s="256">
        <f t="shared" si="23"/>
        <v>1.6120524593186761E-2</v>
      </c>
      <c r="H37" s="257">
        <f>Conc1!M23</f>
        <v>7.8213618565810245E-2</v>
      </c>
      <c r="I37" s="257">
        <f t="shared" si="24"/>
        <v>1.8166274649093241</v>
      </c>
      <c r="J37" s="257">
        <f t="shared" si="26"/>
        <v>0.72178600862293218</v>
      </c>
      <c r="K37" s="256">
        <f t="shared" si="25"/>
        <v>0.41418542124383634</v>
      </c>
    </row>
    <row r="38" spans="2:11">
      <c r="B38">
        <f t="shared" si="19"/>
        <v>45000</v>
      </c>
      <c r="C38" s="45">
        <v>4.4999999999999997E-3</v>
      </c>
      <c r="D38">
        <f t="shared" si="20"/>
        <v>0.50710654884934681</v>
      </c>
      <c r="E38">
        <f t="shared" si="21"/>
        <v>0.94968796557115454</v>
      </c>
      <c r="F38">
        <f t="shared" si="22"/>
        <v>1.3729398896488623</v>
      </c>
      <c r="G38" s="255">
        <f t="shared" si="23"/>
        <v>1.7811680701873805E-2</v>
      </c>
      <c r="H38" s="62">
        <f>Conc1!M24</f>
        <v>6.5084068151610414E-2</v>
      </c>
      <c r="I38" s="63">
        <f t="shared" si="24"/>
        <v>2.0072044288741639</v>
      </c>
      <c r="J38" s="63">
        <f t="shared" si="26"/>
        <v>0.61258544174007779</v>
      </c>
      <c r="K38" s="255">
        <f t="shared" si="25"/>
        <v>0.29975775408125854</v>
      </c>
    </row>
    <row r="39" spans="2:11">
      <c r="B39">
        <f t="shared" si="19"/>
        <v>50000</v>
      </c>
      <c r="C39" s="45">
        <v>5.0000000000000001E-3</v>
      </c>
      <c r="D39">
        <f t="shared" si="20"/>
        <v>0.56345172094371865</v>
      </c>
      <c r="E39">
        <f t="shared" si="21"/>
        <v>0.93820548543097093</v>
      </c>
      <c r="F39">
        <f t="shared" si="22"/>
        <v>1.3563399583155451</v>
      </c>
      <c r="G39" s="256">
        <f t="shared" si="23"/>
        <v>1.9393021876048924E-2</v>
      </c>
      <c r="H39" s="257">
        <f>Conc1!M25</f>
        <v>7.5293007012894111E-2</v>
      </c>
      <c r="I39" s="257">
        <f t="shared" si="24"/>
        <v>2.18540631007179</v>
      </c>
      <c r="J39" s="257">
        <f t="shared" si="26"/>
        <v>0.51531499374922141</v>
      </c>
      <c r="K39" s="256">
        <f t="shared" si="25"/>
        <v>0.1936193488113846</v>
      </c>
    </row>
    <row r="40" spans="2:11">
      <c r="B40">
        <f t="shared" si="19"/>
        <v>55000</v>
      </c>
      <c r="C40" s="45">
        <v>5.4999999999999997E-3</v>
      </c>
      <c r="D40">
        <f t="shared" si="20"/>
        <v>0.61979689303809049</v>
      </c>
      <c r="E40">
        <f t="shared" si="21"/>
        <v>0.92565273366667489</v>
      </c>
      <c r="F40">
        <f t="shared" si="22"/>
        <v>1.3381927623450272</v>
      </c>
      <c r="G40" s="255">
        <f t="shared" si="23"/>
        <v>2.0854798621524031E-2</v>
      </c>
      <c r="H40" s="62">
        <f>Conc1!M26</f>
        <v>9.5703680818486445E-2</v>
      </c>
      <c r="I40" s="63">
        <f t="shared" si="24"/>
        <v>2.3501344346464816</v>
      </c>
      <c r="J40" s="63">
        <f t="shared" si="26"/>
        <v>0.43123246512441477</v>
      </c>
      <c r="K40" s="255">
        <f t="shared" si="25"/>
        <v>0.11257956509781417</v>
      </c>
    </row>
    <row r="41" spans="2:11">
      <c r="B41">
        <f t="shared" si="19"/>
        <v>60000</v>
      </c>
      <c r="C41" s="45">
        <v>6.0000000000000001E-3</v>
      </c>
      <c r="D41">
        <f t="shared" si="20"/>
        <v>0.67614206513246244</v>
      </c>
      <c r="E41">
        <f t="shared" si="21"/>
        <v>0.91206958410266603</v>
      </c>
      <c r="F41">
        <f t="shared" si="22"/>
        <v>1.3185559463174821</v>
      </c>
      <c r="G41" s="255">
        <f t="shared" si="23"/>
        <v>2.3384402186003871E-2</v>
      </c>
      <c r="H41" s="62">
        <f>Conc1!M28</f>
        <v>9.9349856451222421E-2</v>
      </c>
      <c r="I41" s="63">
        <f t="shared" si="24"/>
        <v>2.6351963309887876</v>
      </c>
      <c r="J41" s="63">
        <f t="shared" si="26"/>
        <v>0.30233535191551547</v>
      </c>
      <c r="K41" s="255">
        <f t="shared" si="25"/>
        <v>4.1203111368884542E-2</v>
      </c>
    </row>
    <row r="42" spans="2:11">
      <c r="B42">
        <f t="shared" si="19"/>
        <v>65000</v>
      </c>
      <c r="C42" s="45">
        <v>6.4999999999999997E-3</v>
      </c>
      <c r="D42">
        <f t="shared" si="20"/>
        <v>0.73248723722683429</v>
      </c>
      <c r="E42">
        <f t="shared" si="21"/>
        <v>0.89749894212544279</v>
      </c>
      <c r="F42">
        <f t="shared" si="22"/>
        <v>1.2974915374657905</v>
      </c>
      <c r="G42" s="256">
        <f t="shared" si="23"/>
        <v>2.4436633157855037E-2</v>
      </c>
      <c r="H42" s="258">
        <f>Conc1!M29</f>
        <v>6.4786124844837673E-2</v>
      </c>
      <c r="I42" s="257">
        <f t="shared" si="24"/>
        <v>2.7537726013727517</v>
      </c>
      <c r="J42" s="257">
        <f t="shared" si="26"/>
        <v>0.25569349953578013</v>
      </c>
      <c r="K42" s="256">
        <f t="shared" si="25"/>
        <v>3.6445625711387895E-2</v>
      </c>
    </row>
    <row r="43" spans="2:11">
      <c r="B43">
        <f t="shared" si="19"/>
        <v>70000</v>
      </c>
      <c r="C43" s="45">
        <v>7.0000000000000001E-3</v>
      </c>
      <c r="D43">
        <f t="shared" si="20"/>
        <v>0.78883240932120613</v>
      </c>
      <c r="E43">
        <f t="shared" si="21"/>
        <v>0.88198654793779652</v>
      </c>
      <c r="F43">
        <f t="shared" si="22"/>
        <v>1.2750656612451015</v>
      </c>
      <c r="G43" s="255">
        <f t="shared" si="23"/>
        <v>2.5245650635760026E-2</v>
      </c>
      <c r="H43" s="62">
        <f>Conc1!M30</f>
        <v>7.3718387006404235E-2</v>
      </c>
      <c r="I43" s="63">
        <f t="shared" si="24"/>
        <v>2.8449410594125744</v>
      </c>
      <c r="J43" s="63">
        <f t="shared" si="26"/>
        <v>0.22277705158596953</v>
      </c>
      <c r="K43" s="255">
        <f t="shared" si="25"/>
        <v>2.2218485486243354E-2</v>
      </c>
    </row>
    <row r="44" spans="2:11">
      <c r="B44">
        <f t="shared" si="19"/>
        <v>75000</v>
      </c>
      <c r="C44" s="45">
        <v>7.4999999999999997E-3</v>
      </c>
      <c r="D44">
        <f t="shared" si="20"/>
        <v>0.84517758141557797</v>
      </c>
      <c r="E44">
        <f t="shared" si="21"/>
        <v>0.86558076781115212</v>
      </c>
      <c r="F44">
        <f t="shared" si="22"/>
        <v>1.2513482395516169</v>
      </c>
      <c r="G44" s="256">
        <f t="shared" si="23"/>
        <v>2.5852767282681773E-2</v>
      </c>
      <c r="H44" s="258">
        <f>Conc1!M31</f>
        <v>6.834774734400241E-2</v>
      </c>
      <c r="I44" s="257">
        <f t="shared" si="24"/>
        <v>2.9133572433169022</v>
      </c>
      <c r="J44" s="257">
        <f t="shared" si="26"/>
        <v>0.1997774670016651</v>
      </c>
      <c r="K44" s="256">
        <f t="shared" si="25"/>
        <v>1.727377120929181E-2</v>
      </c>
    </row>
    <row r="45" spans="2:11" ht="14.65" thickBot="1">
      <c r="B45">
        <f t="shared" si="19"/>
        <v>80000</v>
      </c>
      <c r="C45" s="45">
        <v>8.0000000000000002E-3</v>
      </c>
      <c r="D45">
        <f t="shared" si="20"/>
        <v>0.90152275350994993</v>
      </c>
      <c r="E45">
        <f t="shared" si="21"/>
        <v>0.84833237451282872</v>
      </c>
      <c r="F45">
        <f t="shared" si="22"/>
        <v>1.2264126732918315</v>
      </c>
      <c r="G45" s="255">
        <f t="shared" si="23"/>
        <v>2.6296469766962621E-2</v>
      </c>
      <c r="H45" s="62">
        <f>Conc1!M32</f>
        <v>9.3064523551827746E-2</v>
      </c>
      <c r="I45" s="63">
        <f t="shared" si="24"/>
        <v>2.9633582289879117</v>
      </c>
      <c r="J45" s="259">
        <f t="shared" si="26"/>
        <v>0.1838934081230115</v>
      </c>
      <c r="K45" s="260">
        <f t="shared" si="25"/>
        <v>8.2498862724454218E-3</v>
      </c>
    </row>
    <row r="46" spans="2:11">
      <c r="B46">
        <f t="shared" si="19"/>
        <v>85000</v>
      </c>
      <c r="C46" s="45">
        <v>8.5000000000000006E-3</v>
      </c>
      <c r="D46">
        <f t="shared" si="20"/>
        <v>0.95786792560432188</v>
      </c>
      <c r="E46">
        <f t="shared" si="21"/>
        <v>0.83029431814076393</v>
      </c>
      <c r="F46">
        <f t="shared" si="22"/>
        <v>1.2003355110840861</v>
      </c>
      <c r="I46" s="46"/>
      <c r="J46" s="264" t="s">
        <v>364</v>
      </c>
      <c r="K46" s="261">
        <f>SUM(K30:K45)</f>
        <v>8.9036163666476309</v>
      </c>
    </row>
    <row r="47" spans="2:11">
      <c r="B47">
        <f t="shared" si="19"/>
        <v>90000</v>
      </c>
      <c r="C47" s="45">
        <v>8.9999999999999993E-3</v>
      </c>
      <c r="D47">
        <f t="shared" si="20"/>
        <v>1.0142130976986936</v>
      </c>
      <c r="E47">
        <f t="shared" si="21"/>
        <v>0.81152148864625318</v>
      </c>
      <c r="F47">
        <f t="shared" si="22"/>
        <v>1.1731961059436939</v>
      </c>
      <c r="J47" s="263" t="s">
        <v>365</v>
      </c>
      <c r="K47" s="265">
        <f>SUM(K33,K34,K36,K38,K40,K41,K43,K45)</f>
        <v>3.0040021615976222</v>
      </c>
    </row>
    <row r="48" spans="2:11" ht="14.65" thickBot="1">
      <c r="B48">
        <f t="shared" si="19"/>
        <v>95000</v>
      </c>
      <c r="C48" s="45">
        <v>9.4999999999999998E-3</v>
      </c>
      <c r="D48">
        <f t="shared" si="20"/>
        <v>1.0705582697930656</v>
      </c>
      <c r="E48">
        <f t="shared" si="21"/>
        <v>0.79207047136490327</v>
      </c>
      <c r="F48">
        <f t="shared" si="22"/>
        <v>1.1450762618602175</v>
      </c>
      <c r="J48" s="262" t="s">
        <v>366</v>
      </c>
      <c r="K48" s="227">
        <f>SUM(K30:K32,K35,K37,K39,K42,K44)</f>
        <v>5.8996142050500078</v>
      </c>
    </row>
    <row r="49" spans="2:6">
      <c r="B49">
        <f t="shared" si="19"/>
        <v>100000</v>
      </c>
      <c r="C49" s="45">
        <v>0.01</v>
      </c>
      <c r="D49">
        <f t="shared" si="20"/>
        <v>1.1269034418874373</v>
      </c>
      <c r="E49">
        <f t="shared" si="21"/>
        <v>0.77199929690727498</v>
      </c>
      <c r="F49">
        <f t="shared" si="22"/>
        <v>1.1160598722206938</v>
      </c>
    </row>
    <row r="50" spans="2:6">
      <c r="B50">
        <f t="shared" si="19"/>
        <v>105000</v>
      </c>
      <c r="C50" s="45">
        <v>1.0500000000000001E-2</v>
      </c>
      <c r="D50">
        <f t="shared" si="20"/>
        <v>1.1832486139818092</v>
      </c>
      <c r="E50">
        <f t="shared" si="21"/>
        <v>0.7513671867833458</v>
      </c>
      <c r="F50">
        <f t="shared" si="22"/>
        <v>1.0862325520653473</v>
      </c>
    </row>
    <row r="51" spans="2:6">
      <c r="B51">
        <f t="shared" si="19"/>
        <v>110000</v>
      </c>
      <c r="C51" s="45">
        <v>1.0999999999999999E-2</v>
      </c>
      <c r="D51">
        <f t="shared" si="20"/>
        <v>1.239593786076181</v>
      </c>
      <c r="E51">
        <f t="shared" si="21"/>
        <v>0.73023429614884827</v>
      </c>
      <c r="F51">
        <f t="shared" si="22"/>
        <v>1.0556812661824742</v>
      </c>
    </row>
    <row r="52" spans="2:6">
      <c r="B52">
        <f t="shared" si="19"/>
        <v>115000</v>
      </c>
      <c r="C52" s="45">
        <v>1.15E-2</v>
      </c>
      <c r="D52">
        <f t="shared" si="20"/>
        <v>1.2959389581705529</v>
      </c>
      <c r="E52">
        <f t="shared" si="21"/>
        <v>0.70866145506676259</v>
      </c>
      <c r="F52">
        <f t="shared" si="22"/>
        <v>1.0244939550567211</v>
      </c>
    </row>
    <row r="53" spans="2:6">
      <c r="B53">
        <f t="shared" si="19"/>
        <v>120000</v>
      </c>
      <c r="C53" s="45">
        <v>1.2E-2</v>
      </c>
      <c r="D53">
        <f t="shared" si="20"/>
        <v>1.3522841302649249</v>
      </c>
      <c r="E53">
        <f t="shared" si="21"/>
        <v>0.68670990967372092</v>
      </c>
      <c r="F53">
        <f t="shared" si="22"/>
        <v>0.99275916067989733</v>
      </c>
    </row>
    <row r="54" spans="2:6">
      <c r="B54">
        <f t="shared" si="19"/>
        <v>125000</v>
      </c>
      <c r="C54" s="45">
        <v>1.2500000000000001E-2</v>
      </c>
      <c r="D54">
        <f t="shared" si="20"/>
        <v>1.4086293023592968</v>
      </c>
      <c r="E54">
        <f t="shared" si="21"/>
        <v>0.66444106462892705</v>
      </c>
      <c r="F54">
        <f t="shared" si="22"/>
        <v>0.96056565421588791</v>
      </c>
    </row>
    <row r="55" spans="2:6">
      <c r="B55">
        <f t="shared" si="19"/>
        <v>130000</v>
      </c>
      <c r="C55" s="45">
        <v>1.2999999999999999E-2</v>
      </c>
      <c r="D55">
        <f t="shared" si="20"/>
        <v>1.4649744744536686</v>
      </c>
      <c r="E55">
        <f t="shared" si="21"/>
        <v>0.64191622820254113</v>
      </c>
      <c r="F55">
        <f t="shared" si="22"/>
        <v>0.92800206748137337</v>
      </c>
    </row>
    <row r="56" spans="2:6">
      <c r="B56">
        <f t="shared" si="19"/>
        <v>135000</v>
      </c>
      <c r="C56" s="45">
        <v>1.35E-2</v>
      </c>
      <c r="D56">
        <f t="shared" si="20"/>
        <v>1.5213196465480405</v>
      </c>
      <c r="E56">
        <f t="shared" si="21"/>
        <v>0.61919636133155143</v>
      </c>
      <c r="F56">
        <f t="shared" si="22"/>
        <v>0.89515653016224606</v>
      </c>
    </row>
    <row r="57" spans="2:6">
      <c r="B57">
        <f t="shared" si="19"/>
        <v>140000</v>
      </c>
      <c r="C57" s="45">
        <v>1.4E-2</v>
      </c>
      <c r="D57">
        <f t="shared" si="20"/>
        <v>1.5776648186424123</v>
      </c>
      <c r="E57">
        <f t="shared" si="21"/>
        <v>0.59634183193415946</v>
      </c>
      <c r="F57">
        <f t="shared" si="22"/>
        <v>0.86211631463212623</v>
      </c>
    </row>
    <row r="58" spans="2:6">
      <c r="B58">
        <f t="shared" si="19"/>
        <v>145000</v>
      </c>
      <c r="C58" s="45">
        <v>1.4500000000000001E-2</v>
      </c>
      <c r="D58">
        <f t="shared" si="20"/>
        <v>1.6340099907367842</v>
      </c>
      <c r="E58">
        <f t="shared" si="21"/>
        <v>0.57341217572900915</v>
      </c>
      <c r="F58">
        <f t="shared" si="22"/>
        <v>0.82896749017476634</v>
      </c>
    </row>
    <row r="59" spans="2:6">
      <c r="B59">
        <f t="shared" si="19"/>
        <v>150000</v>
      </c>
      <c r="C59" s="45">
        <v>1.4999999999999999E-2</v>
      </c>
      <c r="D59">
        <f t="shared" si="20"/>
        <v>1.6903551628311559</v>
      </c>
      <c r="E59">
        <f t="shared" si="21"/>
        <v>0.550465864753517</v>
      </c>
      <c r="F59">
        <f t="shared" si="22"/>
        <v>0.79579458833685179</v>
      </c>
    </row>
    <row r="60" spans="2:6">
      <c r="B60">
        <f t="shared" si="19"/>
        <v>155000</v>
      </c>
      <c r="C60" s="45">
        <v>1.55E-2</v>
      </c>
      <c r="D60">
        <f t="shared" si="20"/>
        <v>1.7467003349255279</v>
      </c>
      <c r="E60">
        <f t="shared" si="21"/>
        <v>0.52756008471653271</v>
      </c>
      <c r="F60">
        <f t="shared" si="22"/>
        <v>0.76268028105236918</v>
      </c>
    </row>
    <row r="61" spans="2:6">
      <c r="B61">
        <f t="shared" si="19"/>
        <v>160000</v>
      </c>
      <c r="C61" s="45">
        <v>1.6E-2</v>
      </c>
      <c r="D61">
        <f t="shared" si="20"/>
        <v>1.8030455070198999</v>
      </c>
      <c r="E61">
        <f t="shared" si="21"/>
        <v>0.50475052225505557</v>
      </c>
      <c r="F61">
        <f t="shared" si="22"/>
        <v>0.7297050730850182</v>
      </c>
    </row>
    <row r="62" spans="2:6">
      <c r="B62">
        <f t="shared" ref="B62:B79" si="27">10000000*C62</f>
        <v>165000</v>
      </c>
      <c r="C62" s="45">
        <v>1.6500000000000001E-2</v>
      </c>
      <c r="D62">
        <f t="shared" ref="D62:D79" si="28">C62*Rsphere</f>
        <v>1.8593906791142718</v>
      </c>
      <c r="E62">
        <f t="shared" ref="E62:E79" si="29">((3/D62^3)*(SIN(D62)-D62*COS(D62)))^2</f>
        <v>0.48209116309318945</v>
      </c>
      <c r="F62">
        <f t="shared" ref="F62:F79" si="30">E62*Izero</f>
        <v>0.69694701023171413</v>
      </c>
    </row>
    <row r="63" spans="2:6">
      <c r="B63">
        <f t="shared" si="27"/>
        <v>170000</v>
      </c>
      <c r="C63" s="45">
        <v>1.7000000000000001E-2</v>
      </c>
      <c r="D63">
        <f t="shared" si="28"/>
        <v>1.9157358512086438</v>
      </c>
      <c r="E63">
        <f t="shared" si="29"/>
        <v>0.45963410202456567</v>
      </c>
      <c r="F63">
        <f t="shared" si="30"/>
        <v>0.66448140461897875</v>
      </c>
    </row>
    <row r="64" spans="2:6">
      <c r="B64">
        <f t="shared" si="27"/>
        <v>175000.00000000003</v>
      </c>
      <c r="C64" s="45">
        <v>1.7500000000000002E-2</v>
      </c>
      <c r="D64">
        <f t="shared" si="28"/>
        <v>1.9720810233030155</v>
      </c>
      <c r="E64">
        <f t="shared" si="29"/>
        <v>0.43742936555756284</v>
      </c>
      <c r="F64">
        <f t="shared" si="30"/>
        <v>0.63238057830561767</v>
      </c>
    </row>
    <row r="65" spans="2:6">
      <c r="B65">
        <f t="shared" si="27"/>
        <v>180000</v>
      </c>
      <c r="C65" s="45">
        <v>1.7999999999999999E-2</v>
      </c>
      <c r="D65">
        <f t="shared" si="28"/>
        <v>2.0284261953973872</v>
      </c>
      <c r="E65">
        <f t="shared" si="29"/>
        <v>0.41552474797649835</v>
      </c>
      <c r="F65">
        <f t="shared" si="30"/>
        <v>0.60071362628052749</v>
      </c>
    </row>
    <row r="66" spans="2:6">
      <c r="B66">
        <f t="shared" si="27"/>
        <v>185000</v>
      </c>
      <c r="C66" s="45">
        <v>1.8499999999999999E-2</v>
      </c>
      <c r="D66">
        <f t="shared" si="28"/>
        <v>2.0847713674917592</v>
      </c>
      <c r="E66">
        <f t="shared" si="29"/>
        <v>0.39396566148210405</v>
      </c>
      <c r="F66">
        <f t="shared" si="30"/>
        <v>0.56954619981456966</v>
      </c>
    </row>
    <row r="67" spans="2:6">
      <c r="B67">
        <f t="shared" si="27"/>
        <v>190000</v>
      </c>
      <c r="C67" s="45">
        <v>1.9E-2</v>
      </c>
      <c r="D67">
        <f t="shared" si="28"/>
        <v>2.1411165395861311</v>
      </c>
      <c r="E67">
        <f t="shared" si="29"/>
        <v>0.37279500098173085</v>
      </c>
      <c r="F67">
        <f t="shared" si="30"/>
        <v>0.53894031099118633</v>
      </c>
    </row>
    <row r="68" spans="2:6">
      <c r="B68">
        <f t="shared" si="27"/>
        <v>195000</v>
      </c>
      <c r="C68" s="45">
        <v>1.95E-2</v>
      </c>
      <c r="D68">
        <f t="shared" si="28"/>
        <v>2.1974617116805031</v>
      </c>
      <c r="E68">
        <f t="shared" si="29"/>
        <v>0.35205302400446176</v>
      </c>
      <c r="F68">
        <f t="shared" si="30"/>
        <v>0.5089541591027138</v>
      </c>
    </row>
    <row r="69" spans="2:6">
      <c r="B69">
        <f t="shared" si="27"/>
        <v>200000</v>
      </c>
      <c r="C69" s="45">
        <v>0.02</v>
      </c>
      <c r="D69">
        <f t="shared" si="28"/>
        <v>2.2538068837748746</v>
      </c>
      <c r="E69">
        <f t="shared" si="29"/>
        <v>0.331777246119347</v>
      </c>
      <c r="F69">
        <f t="shared" si="30"/>
        <v>0.47964197945916903</v>
      </c>
    </row>
    <row r="70" spans="2:6">
      <c r="B70">
        <f t="shared" si="27"/>
        <v>205000</v>
      </c>
      <c r="C70" s="45">
        <v>2.0500000000000001E-2</v>
      </c>
      <c r="D70">
        <f t="shared" si="28"/>
        <v>2.3101520558692465</v>
      </c>
      <c r="E70">
        <f t="shared" si="29"/>
        <v>0.31200235213697081</v>
      </c>
      <c r="F70">
        <f t="shared" si="30"/>
        <v>0.45105391501459818</v>
      </c>
    </row>
    <row r="71" spans="2:6">
      <c r="B71">
        <f t="shared" si="27"/>
        <v>210000</v>
      </c>
      <c r="C71" s="45">
        <v>2.1000000000000001E-2</v>
      </c>
      <c r="D71">
        <f t="shared" si="28"/>
        <v>2.3664972279636185</v>
      </c>
      <c r="E71">
        <f t="shared" si="29"/>
        <v>0.29276012327618051</v>
      </c>
      <c r="F71">
        <f t="shared" si="30"/>
        <v>0.42323591107385833</v>
      </c>
    </row>
    <row r="72" spans="2:6">
      <c r="B72">
        <f t="shared" si="27"/>
        <v>214999.99999999997</v>
      </c>
      <c r="C72" s="45">
        <v>2.1499999999999998E-2</v>
      </c>
      <c r="D72">
        <f t="shared" si="28"/>
        <v>2.42284240005799</v>
      </c>
      <c r="E72">
        <f t="shared" si="29"/>
        <v>0.27407938037973484</v>
      </c>
      <c r="F72">
        <f t="shared" si="30"/>
        <v>0.39622963320091498</v>
      </c>
    </row>
    <row r="73" spans="2:6">
      <c r="B73">
        <f t="shared" si="27"/>
        <v>220000</v>
      </c>
      <c r="C73" s="45">
        <v>2.1999999999999999E-2</v>
      </c>
      <c r="D73">
        <f t="shared" si="28"/>
        <v>2.479187572152362</v>
      </c>
      <c r="E73">
        <f t="shared" si="29"/>
        <v>0.25598594316549622</v>
      </c>
      <c r="F73">
        <f t="shared" si="30"/>
        <v>0.37007240830932064</v>
      </c>
    </row>
    <row r="74" spans="2:6">
      <c r="B74">
        <f t="shared" si="27"/>
        <v>225000</v>
      </c>
      <c r="C74" s="45">
        <v>2.2499999999999999E-2</v>
      </c>
      <c r="D74">
        <f t="shared" si="28"/>
        <v>2.5355327442467339</v>
      </c>
      <c r="E74">
        <f t="shared" si="29"/>
        <v>0.23850260540427523</v>
      </c>
      <c r="F74">
        <f t="shared" si="30"/>
        <v>0.34479718877745208</v>
      </c>
    </row>
    <row r="75" spans="2:6">
      <c r="B75">
        <f t="shared" si="27"/>
        <v>230000</v>
      </c>
      <c r="C75" s="45">
        <v>2.3E-2</v>
      </c>
      <c r="D75">
        <f t="shared" si="28"/>
        <v>2.5918779163411059</v>
      </c>
      <c r="E75">
        <f t="shared" si="29"/>
        <v>0.22164912582210441</v>
      </c>
      <c r="F75">
        <f t="shared" si="30"/>
        <v>0.3204325392961575</v>
      </c>
    </row>
    <row r="76" spans="2:6">
      <c r="B76">
        <f t="shared" si="27"/>
        <v>235000</v>
      </c>
      <c r="C76" s="45">
        <v>2.35E-2</v>
      </c>
      <c r="D76">
        <f t="shared" si="28"/>
        <v>2.6482230884354778</v>
      </c>
      <c r="E76">
        <f t="shared" si="29"/>
        <v>0.20544223443423842</v>
      </c>
      <c r="F76">
        <f t="shared" si="30"/>
        <v>0.29700264602566023</v>
      </c>
    </row>
    <row r="77" spans="2:6">
      <c r="B77">
        <f t="shared" si="27"/>
        <v>240000</v>
      </c>
      <c r="C77" s="45">
        <v>2.4E-2</v>
      </c>
      <c r="D77">
        <f t="shared" si="28"/>
        <v>2.7045682605298498</v>
      </c>
      <c r="E77">
        <f t="shared" si="29"/>
        <v>0.18989565393105479</v>
      </c>
      <c r="F77">
        <f t="shared" si="30"/>
        <v>0.27452734751261521</v>
      </c>
    </row>
    <row r="78" spans="2:6">
      <c r="B78">
        <f t="shared" si="27"/>
        <v>245000</v>
      </c>
      <c r="C78" s="45">
        <v>2.4500000000000001E-2</v>
      </c>
      <c r="D78">
        <f t="shared" si="28"/>
        <v>2.7609134326242217</v>
      </c>
      <c r="E78">
        <f t="shared" si="29"/>
        <v>0.17502013565284807</v>
      </c>
      <c r="F78">
        <f t="shared" si="30"/>
        <v>0.25302218669795967</v>
      </c>
    </row>
    <row r="79" spans="2:6">
      <c r="B79">
        <f t="shared" si="27"/>
        <v>250000</v>
      </c>
      <c r="C79" s="45">
        <v>2.5000000000000001E-2</v>
      </c>
      <c r="D79">
        <f t="shared" si="28"/>
        <v>2.8172586047185937</v>
      </c>
      <c r="E79">
        <f t="shared" si="29"/>
        <v>0.16082350961175779</v>
      </c>
      <c r="F79">
        <f t="shared" si="30"/>
        <v>0.23249848323234981</v>
      </c>
    </row>
  </sheetData>
  <conditionalFormatting sqref="N25:N26">
    <cfRule type="cellIs" dxfId="0" priority="1" operator="lessThan">
      <formula>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F55C-7597-4266-B06E-4C8A8A62DD78}">
  <dimension ref="A3:W130"/>
  <sheetViews>
    <sheetView tabSelected="1" zoomScale="70" zoomScaleNormal="70" workbookViewId="0">
      <selection activeCell="C24" sqref="C24"/>
    </sheetView>
  </sheetViews>
  <sheetFormatPr defaultRowHeight="14.25"/>
  <cols>
    <col min="1" max="1" width="7.9296875" customWidth="1"/>
    <col min="2" max="2" width="9.33203125" customWidth="1"/>
    <col min="5" max="5" width="10.73046875" bestFit="1" customWidth="1"/>
    <col min="6" max="6" width="10.3984375" customWidth="1"/>
    <col min="7" max="7" width="10.796875" customWidth="1"/>
    <col min="8" max="8" width="11.796875" customWidth="1"/>
    <col min="9" max="9" width="11.33203125" customWidth="1"/>
    <col min="10" max="10" width="10.796875" customWidth="1"/>
    <col min="11" max="11" width="9.9296875" customWidth="1"/>
    <col min="12" max="12" width="10.1328125" customWidth="1"/>
    <col min="13" max="13" width="10.19921875" customWidth="1"/>
    <col min="14" max="14" width="1.9296875" customWidth="1"/>
    <col min="15" max="15" width="14.53125" customWidth="1"/>
    <col min="16" max="16" width="10.73046875" bestFit="1" customWidth="1"/>
    <col min="17" max="17" width="12.1328125" bestFit="1" customWidth="1"/>
    <col min="18" max="18" width="9.73046875" customWidth="1"/>
  </cols>
  <sheetData>
    <row r="3" spans="1:23">
      <c r="F3" s="67" t="s">
        <v>197</v>
      </c>
    </row>
    <row r="4" spans="1:23" ht="15.75">
      <c r="F4" s="65" t="s">
        <v>255</v>
      </c>
      <c r="G4" s="65" t="s">
        <v>256</v>
      </c>
      <c r="H4" s="65" t="s">
        <v>257</v>
      </c>
      <c r="I4" s="65" t="s">
        <v>258</v>
      </c>
      <c r="J4" s="65" t="s">
        <v>259</v>
      </c>
      <c r="K4" s="65" t="s">
        <v>260</v>
      </c>
      <c r="L4" s="65" t="s">
        <v>261</v>
      </c>
      <c r="M4" s="65" t="s">
        <v>262</v>
      </c>
    </row>
    <row r="5" spans="1:23" ht="15.75">
      <c r="A5" s="65" t="s">
        <v>137</v>
      </c>
      <c r="B5" s="65" t="s">
        <v>138</v>
      </c>
      <c r="C5" s="65" t="s">
        <v>136</v>
      </c>
      <c r="D5" s="65" t="s">
        <v>253</v>
      </c>
      <c r="E5" s="65" t="s">
        <v>254</v>
      </c>
      <c r="F5" s="178">
        <v>2.601E-3</v>
      </c>
      <c r="G5" s="178">
        <v>4.8279999999999998E-3</v>
      </c>
      <c r="H5" s="178">
        <v>8.1759999999999992E-3</v>
      </c>
      <c r="I5" s="178">
        <v>1.0234999999999999E-2</v>
      </c>
      <c r="J5" s="178">
        <v>1.0000000000000001E-5</v>
      </c>
      <c r="K5" s="178">
        <v>1.0000000000000001E-5</v>
      </c>
      <c r="L5" s="178">
        <v>1.0000000000000001E-5</v>
      </c>
      <c r="M5" s="178">
        <v>1.0000000000000001E-5</v>
      </c>
      <c r="N5" s="134"/>
      <c r="O5" s="208" t="s">
        <v>319</v>
      </c>
      <c r="P5" s="208"/>
      <c r="Q5" s="208"/>
      <c r="R5" s="208"/>
      <c r="S5" s="208"/>
      <c r="T5" s="208"/>
      <c r="U5" s="208"/>
      <c r="V5" s="208"/>
      <c r="W5" s="208"/>
    </row>
    <row r="6" spans="1:23">
      <c r="A6" s="67">
        <v>1</v>
      </c>
      <c r="B6" s="176" t="s">
        <v>139</v>
      </c>
      <c r="C6" s="176">
        <f>NormStandard!E15</f>
        <v>22.5</v>
      </c>
      <c r="D6" s="176">
        <f t="shared" ref="D6:D23" si="0">4*PI()*Refin*SIN(RADIANS(C6/2))/Lamcm</f>
        <v>53505.226980224332</v>
      </c>
      <c r="E6" s="176">
        <f>D6^2</f>
        <v>2862809314.2053256</v>
      </c>
      <c r="F6" s="176">
        <f>Conc1!M15</f>
        <v>6.0164719171086116E-2</v>
      </c>
      <c r="G6" s="176">
        <f>Conc2!M15</f>
        <v>0.17260370254000118</v>
      </c>
      <c r="H6" s="176">
        <f>Conc3!M15</f>
        <v>0.37578291810137393</v>
      </c>
      <c r="I6" s="176">
        <f>Conc4!M15</f>
        <v>0.50400281141680336</v>
      </c>
      <c r="J6" s="176">
        <f>Conc5!M15</f>
        <v>-8.4822390962514843E-2</v>
      </c>
      <c r="K6" s="176">
        <f>Conc6!M15</f>
        <v>-8.4822390962514843E-2</v>
      </c>
      <c r="L6" s="176">
        <f>Conc7!M15</f>
        <v>-8.4822390962514843E-2</v>
      </c>
      <c r="M6" s="176">
        <f>Conc8!M15</f>
        <v>-8.4822390962514843E-2</v>
      </c>
      <c r="O6" s="208" t="s">
        <v>320</v>
      </c>
      <c r="P6" s="208"/>
      <c r="Q6" s="208"/>
      <c r="R6" s="208"/>
      <c r="S6" s="208"/>
      <c r="T6" s="208"/>
      <c r="U6" s="208"/>
      <c r="V6" s="208"/>
      <c r="W6" s="208"/>
    </row>
    <row r="7" spans="1:23">
      <c r="A7" s="67">
        <v>2</v>
      </c>
      <c r="B7" s="176" t="s">
        <v>139</v>
      </c>
      <c r="C7" s="176">
        <f>NormStandard!E16</f>
        <v>28</v>
      </c>
      <c r="D7" s="176">
        <f t="shared" si="0"/>
        <v>66349.195602210661</v>
      </c>
      <c r="E7" s="176">
        <f t="shared" ref="E7:E23" si="1">D7^2</f>
        <v>4402215757.0604105</v>
      </c>
      <c r="F7" s="176">
        <f>Conc1!M16</f>
        <v>5.9479086966343034E-2</v>
      </c>
      <c r="G7" s="176">
        <f>Conc2!M16</f>
        <v>0.10330578262575371</v>
      </c>
      <c r="H7" s="176">
        <f>Conc3!M16</f>
        <v>0.20504632612081419</v>
      </c>
      <c r="I7" s="176">
        <f>Conc4!M16</f>
        <v>0.34591784788320568</v>
      </c>
      <c r="J7" s="176">
        <f>Conc5!M16</f>
        <v>-7.6696717403968662E-2</v>
      </c>
      <c r="K7" s="176">
        <f>Conc6!M16</f>
        <v>-7.6696717403968662E-2</v>
      </c>
      <c r="L7" s="176">
        <f>Conc7!M16</f>
        <v>-7.6696717403968662E-2</v>
      </c>
      <c r="M7" s="176">
        <f>Conc8!M16</f>
        <v>-7.6696717403968662E-2</v>
      </c>
    </row>
    <row r="8" spans="1:23">
      <c r="A8" s="67">
        <v>3</v>
      </c>
      <c r="B8" s="176" t="s">
        <v>139</v>
      </c>
      <c r="C8" s="176">
        <f>NormStandard!E17</f>
        <v>32</v>
      </c>
      <c r="D8" s="176">
        <f t="shared" si="0"/>
        <v>75595.955426216213</v>
      </c>
      <c r="E8" s="176">
        <f t="shared" si="1"/>
        <v>5714748476.8024683</v>
      </c>
      <c r="F8" s="176">
        <f>Conc1!M17</f>
        <v>8.8599198314927075E-2</v>
      </c>
      <c r="G8" s="176">
        <f>Conc2!M17</f>
        <v>0.12571507869009924</v>
      </c>
      <c r="H8" s="176">
        <f>Conc3!M17</f>
        <v>0.20832784468645013</v>
      </c>
      <c r="I8" s="176">
        <f>Conc4!M17</f>
        <v>0.25143015738019847</v>
      </c>
      <c r="J8" s="176">
        <f>Conc5!M17</f>
        <v>-3.5918593911456922E-2</v>
      </c>
      <c r="K8" s="176">
        <f>Conc6!M17</f>
        <v>-3.5918593911456922E-2</v>
      </c>
      <c r="L8" s="176">
        <f>Conc7!M17</f>
        <v>-3.5918593911456922E-2</v>
      </c>
      <c r="M8" s="176">
        <f>Conc8!M17</f>
        <v>-3.5918593911456922E-2</v>
      </c>
    </row>
    <row r="9" spans="1:23">
      <c r="A9" s="67">
        <v>4</v>
      </c>
      <c r="B9" s="54" t="s">
        <v>140</v>
      </c>
      <c r="C9" s="54">
        <f>NormStandard!E18</f>
        <v>38</v>
      </c>
      <c r="D9" s="54">
        <f t="shared" si="0"/>
        <v>89289.913624330453</v>
      </c>
      <c r="E9" s="54">
        <f t="shared" si="1"/>
        <v>7972688675.0403929</v>
      </c>
      <c r="F9" s="54" t="str">
        <f>Conc1!M18</f>
        <v>---</v>
      </c>
      <c r="G9" s="54" t="str">
        <f>Conc2!M18</f>
        <v>---</v>
      </c>
      <c r="H9" s="54" t="str">
        <f>Conc3!M18</f>
        <v>---</v>
      </c>
      <c r="I9" s="54" t="str">
        <f>Conc4!M18</f>
        <v>---</v>
      </c>
      <c r="J9" s="54" t="str">
        <f>Conc5!M18</f>
        <v>---</v>
      </c>
      <c r="K9" s="54" t="str">
        <f>Conc6!M18</f>
        <v>---</v>
      </c>
      <c r="L9" s="54" t="str">
        <f>Conc7!M18</f>
        <v>---</v>
      </c>
      <c r="M9" s="54" t="str">
        <f>Conc8!M18</f>
        <v>---</v>
      </c>
    </row>
    <row r="10" spans="1:23">
      <c r="A10" s="67">
        <v>5</v>
      </c>
      <c r="B10" s="177" t="s">
        <v>1</v>
      </c>
      <c r="C10" s="177">
        <f>NormStandard!E19</f>
        <v>44</v>
      </c>
      <c r="D10" s="177">
        <f t="shared" si="0"/>
        <v>102739.13437566617</v>
      </c>
      <c r="E10" s="177">
        <f t="shared" si="1"/>
        <v>10555329732.261189</v>
      </c>
      <c r="F10" s="177">
        <f>Conc1!M19</f>
        <v>6.2633905256943095E-2</v>
      </c>
      <c r="G10" s="177">
        <f>Conc2!M19</f>
        <v>0.17927766644059828</v>
      </c>
      <c r="H10" s="177">
        <f>Conc3!M19</f>
        <v>0.24498347894836026</v>
      </c>
      <c r="I10" s="177">
        <f>Conc4!M19</f>
        <v>0.24934182111290942</v>
      </c>
      <c r="J10" s="177">
        <f>Conc5!M19</f>
        <v>-5.4352297920450071E-2</v>
      </c>
      <c r="K10" s="177">
        <f>Conc6!M19</f>
        <v>-5.4352297920450071E-2</v>
      </c>
      <c r="L10" s="177">
        <f>Conc7!M19</f>
        <v>-5.4352297920450071E-2</v>
      </c>
      <c r="M10" s="177">
        <f>Conc8!M19</f>
        <v>-5.4352297920450071E-2</v>
      </c>
    </row>
    <row r="11" spans="1:23">
      <c r="A11" s="67">
        <v>6</v>
      </c>
      <c r="B11" s="177" t="s">
        <v>1</v>
      </c>
      <c r="C11" s="177">
        <f>NormStandard!E20</f>
        <v>50</v>
      </c>
      <c r="D11" s="177">
        <f t="shared" si="0"/>
        <v>115906.75430098787</v>
      </c>
      <c r="E11" s="177">
        <f t="shared" si="1"/>
        <v>13434375692.589571</v>
      </c>
      <c r="F11" s="177">
        <f>Conc1!M20</f>
        <v>8.3580422831665696E-2</v>
      </c>
      <c r="G11" s="177">
        <f>Conc2!M20</f>
        <v>9.3075015626347082E-2</v>
      </c>
      <c r="H11" s="177">
        <f>Conc3!M20</f>
        <v>0.12064165174256036</v>
      </c>
      <c r="I11" s="177">
        <f>Conc4!M20</f>
        <v>0.11737164536097514</v>
      </c>
      <c r="J11" s="177">
        <f>Conc5!M20</f>
        <v>-2.4124313700592426E-2</v>
      </c>
      <c r="K11" s="177">
        <f>Conc6!M20</f>
        <v>-2.4124313700592426E-2</v>
      </c>
      <c r="L11" s="177">
        <f>Conc7!M20</f>
        <v>-2.4124313700592426E-2</v>
      </c>
      <c r="M11" s="177">
        <f>Conc8!M20</f>
        <v>-2.4124313700592426E-2</v>
      </c>
    </row>
    <row r="12" spans="1:23">
      <c r="A12" s="67">
        <v>7</v>
      </c>
      <c r="B12" s="176" t="s">
        <v>139</v>
      </c>
      <c r="C12" s="176">
        <f>NormStandard!E21</f>
        <v>57</v>
      </c>
      <c r="D12" s="176">
        <f t="shared" si="0"/>
        <v>130864.96300509552</v>
      </c>
      <c r="E12" s="176">
        <f t="shared" si="1"/>
        <v>17125638542.325018</v>
      </c>
      <c r="F12" s="176">
        <f>Conc1!M21</f>
        <v>6.9606150912752338E-2</v>
      </c>
      <c r="G12" s="176">
        <f>Conc2!M21</f>
        <v>9.780104748500644E-2</v>
      </c>
      <c r="H12" s="176">
        <f>Conc3!M21</f>
        <v>0.12775812509302642</v>
      </c>
      <c r="I12" s="176">
        <f>Conc4!M21</f>
        <v>0.15507193114739759</v>
      </c>
      <c r="J12" s="176">
        <f>Conc5!M21</f>
        <v>-4.4935616412029977E-2</v>
      </c>
      <c r="K12" s="176">
        <f>Conc6!M21</f>
        <v>-4.4935616412029977E-2</v>
      </c>
      <c r="L12" s="176">
        <f>Conc7!M21</f>
        <v>-4.4935616412029977E-2</v>
      </c>
      <c r="M12" s="176">
        <f>Conc8!M21</f>
        <v>-4.4935616412029977E-2</v>
      </c>
    </row>
    <row r="13" spans="1:23">
      <c r="A13" s="67">
        <v>8</v>
      </c>
      <c r="B13" s="177" t="s">
        <v>1</v>
      </c>
      <c r="C13" s="177">
        <f>NormStandard!E22</f>
        <v>64</v>
      </c>
      <c r="D13" s="177">
        <f t="shared" si="0"/>
        <v>145334.99263816432</v>
      </c>
      <c r="E13" s="177">
        <f t="shared" si="1"/>
        <v>21122260085.135277</v>
      </c>
      <c r="F13" s="177">
        <f>Conc1!M22</f>
        <v>7.1988374224558796E-2</v>
      </c>
      <c r="G13" s="177">
        <f>Conc2!M22</f>
        <v>7.8889356411430717E-2</v>
      </c>
      <c r="H13" s="177">
        <f>Conc3!M22</f>
        <v>9.5936738240520167E-2</v>
      </c>
      <c r="I13" s="177">
        <f>Conc4!M22</f>
        <v>0.1083242332514175</v>
      </c>
      <c r="J13" s="177">
        <f>Conc5!M22</f>
        <v>-3.1538530577540323E-2</v>
      </c>
      <c r="K13" s="177">
        <f>Conc6!M22</f>
        <v>-3.1538530577540323E-2</v>
      </c>
      <c r="L13" s="177">
        <f>Conc7!M22</f>
        <v>-3.1538530577540323E-2</v>
      </c>
      <c r="M13" s="177">
        <f>Conc8!M22</f>
        <v>-3.1538530577540323E-2</v>
      </c>
    </row>
    <row r="14" spans="1:23">
      <c r="A14" s="67">
        <v>9</v>
      </c>
      <c r="B14" s="176" t="s">
        <v>139</v>
      </c>
      <c r="C14" s="176">
        <f>NormStandard!E23</f>
        <v>72</v>
      </c>
      <c r="D14" s="176">
        <f t="shared" si="0"/>
        <v>161205.2459318676</v>
      </c>
      <c r="E14" s="176">
        <f t="shared" si="1"/>
        <v>25987131315.953915</v>
      </c>
      <c r="F14" s="176">
        <f>Conc1!M23</f>
        <v>7.8213618565810245E-2</v>
      </c>
      <c r="G14" s="176">
        <f>Conc2!M23</f>
        <v>0.10301305859887203</v>
      </c>
      <c r="H14" s="176">
        <f>Conc3!M23</f>
        <v>0.12495102478196515</v>
      </c>
      <c r="I14" s="176">
        <f>Conc4!M23</f>
        <v>0.13830456941515226</v>
      </c>
      <c r="J14" s="176">
        <f>Conc5!M23</f>
        <v>-3.2430036966311568E-2</v>
      </c>
      <c r="K14" s="176">
        <f>Conc6!M23</f>
        <v>-3.2430036966311568E-2</v>
      </c>
      <c r="L14" s="176">
        <f>Conc7!M23</f>
        <v>-3.2430036966311568E-2</v>
      </c>
      <c r="M14" s="176">
        <f>Conc8!M23</f>
        <v>-3.2430036966311568E-2</v>
      </c>
    </row>
    <row r="15" spans="1:23">
      <c r="A15" s="67">
        <v>10</v>
      </c>
      <c r="B15" s="177" t="s">
        <v>1</v>
      </c>
      <c r="C15" s="177">
        <f>NormStandard!E24</f>
        <v>81</v>
      </c>
      <c r="D15" s="177">
        <f t="shared" si="0"/>
        <v>178116.80701873807</v>
      </c>
      <c r="E15" s="177">
        <f t="shared" si="1"/>
        <v>31725596942.550377</v>
      </c>
      <c r="F15" s="177">
        <f>Conc1!M24</f>
        <v>6.5084068151610414E-2</v>
      </c>
      <c r="G15" s="177">
        <f>Conc2!M24</f>
        <v>5.6924613525092822E-2</v>
      </c>
      <c r="H15" s="177">
        <f>Conc3!M24</f>
        <v>6.3735279323757582E-2</v>
      </c>
      <c r="I15" s="177">
        <f>Conc4!M24</f>
        <v>7.3856042411053924E-2</v>
      </c>
      <c r="J15" s="177">
        <f>Conc5!M24</f>
        <v>-5.3415054240622872E-2</v>
      </c>
      <c r="K15" s="177">
        <f>Conc6!M24</f>
        <v>-5.3415054240622872E-2</v>
      </c>
      <c r="L15" s="177">
        <f>Conc7!M24</f>
        <v>-5.3415054240622872E-2</v>
      </c>
      <c r="M15" s="177">
        <f>Conc8!M24</f>
        <v>-5.3415054240622872E-2</v>
      </c>
    </row>
    <row r="16" spans="1:23">
      <c r="A16" s="67">
        <v>11</v>
      </c>
      <c r="B16" s="176" t="s">
        <v>139</v>
      </c>
      <c r="C16" s="176">
        <f>NormStandard!E25</f>
        <v>90</v>
      </c>
      <c r="D16" s="176">
        <f t="shared" si="0"/>
        <v>193930.21876048925</v>
      </c>
      <c r="E16" s="176">
        <f t="shared" si="1"/>
        <v>37608929748.491219</v>
      </c>
      <c r="F16" s="176">
        <f>Conc1!M25</f>
        <v>7.5293007012894111E-2</v>
      </c>
      <c r="G16" s="176">
        <f>Conc2!M25</f>
        <v>0.10074416431302731</v>
      </c>
      <c r="H16" s="176">
        <f>Conc3!M25</f>
        <v>0.12407439183814942</v>
      </c>
      <c r="I16" s="176">
        <f>Conc4!M25</f>
        <v>0.13573950560071049</v>
      </c>
      <c r="J16" s="176">
        <f>Conc5!M25</f>
        <v>-3.1813946625166518E-2</v>
      </c>
      <c r="K16" s="176">
        <f>Conc6!M25</f>
        <v>-3.1813946625166518E-2</v>
      </c>
      <c r="L16" s="176">
        <f>Conc7!M25</f>
        <v>-3.1813946625166518E-2</v>
      </c>
      <c r="M16" s="176">
        <f>Conc8!M25</f>
        <v>-3.1813946625166518E-2</v>
      </c>
    </row>
    <row r="17" spans="1:13">
      <c r="A17" s="67">
        <v>12</v>
      </c>
      <c r="B17" s="177" t="s">
        <v>1</v>
      </c>
      <c r="C17" s="177">
        <f>NormStandard!E26</f>
        <v>99</v>
      </c>
      <c r="D17" s="177">
        <f t="shared" si="0"/>
        <v>208547.98621524032</v>
      </c>
      <c r="E17" s="177">
        <f t="shared" si="1"/>
        <v>43492262554.432068</v>
      </c>
      <c r="F17" s="177">
        <f>Conc1!M26</f>
        <v>9.5703680818486445E-2</v>
      </c>
      <c r="G17" s="177">
        <f>Conc2!M26</f>
        <v>5.2966447471674151E-2</v>
      </c>
      <c r="H17" s="177">
        <f>Conc3!M26</f>
        <v>5.5094990304148619E-2</v>
      </c>
      <c r="I17" s="177">
        <f>Conc4!M26</f>
        <v>6.0667559163135695E-2</v>
      </c>
      <c r="J17" s="177">
        <f>Conc5!M26</f>
        <v>-9.037576520196211E-3</v>
      </c>
      <c r="K17" s="177">
        <f>Conc6!M26</f>
        <v>-9.037576520196211E-3</v>
      </c>
      <c r="L17" s="177">
        <f>Conc7!M26</f>
        <v>-9.037576520196211E-3</v>
      </c>
      <c r="M17" s="177">
        <f>Conc8!M26</f>
        <v>-9.037576520196211E-3</v>
      </c>
    </row>
    <row r="18" spans="1:13">
      <c r="A18" s="67">
        <v>13</v>
      </c>
      <c r="B18" s="54" t="s">
        <v>140</v>
      </c>
      <c r="C18" s="54">
        <f>NormStandard!E27</f>
        <v>108</v>
      </c>
      <c r="D18" s="54">
        <f t="shared" si="0"/>
        <v>221879.98598573179</v>
      </c>
      <c r="E18" s="54">
        <f t="shared" si="1"/>
        <v>49230728181.028534</v>
      </c>
      <c r="F18" s="54" t="str">
        <f>Conc1!M27</f>
        <v>---</v>
      </c>
      <c r="G18" s="54" t="str">
        <f>Conc2!M27</f>
        <v>---</v>
      </c>
      <c r="H18" s="54" t="str">
        <f>Conc3!M27</f>
        <v>---</v>
      </c>
      <c r="I18" s="54" t="str">
        <f>Conc4!M27</f>
        <v>---</v>
      </c>
      <c r="J18" s="54" t="str">
        <f>Conc5!M27</f>
        <v>---</v>
      </c>
      <c r="K18" s="54" t="str">
        <f>Conc6!M27</f>
        <v>---</v>
      </c>
      <c r="L18" s="54" t="str">
        <f>Conc7!M27</f>
        <v>---</v>
      </c>
      <c r="M18" s="54" t="str">
        <f>Conc8!M27</f>
        <v>---</v>
      </c>
    </row>
    <row r="19" spans="1:13">
      <c r="A19" s="67">
        <v>14</v>
      </c>
      <c r="B19" s="177" t="s">
        <v>1</v>
      </c>
      <c r="C19" s="177">
        <f>NormStandard!E28</f>
        <v>117</v>
      </c>
      <c r="D19" s="177">
        <f t="shared" si="0"/>
        <v>233844.02186003872</v>
      </c>
      <c r="E19" s="177">
        <f t="shared" si="1"/>
        <v>54683026559.678268</v>
      </c>
      <c r="F19" s="177">
        <f>Conc1!M28</f>
        <v>9.9349856451222421E-2</v>
      </c>
      <c r="G19" s="177">
        <f>Conc2!M28</f>
        <v>0.10311459346351202</v>
      </c>
      <c r="H19" s="177">
        <f>Conc3!M28</f>
        <v>0.11423418719144096</v>
      </c>
      <c r="I19" s="177">
        <f>Conc4!M28</f>
        <v>0.12292790843386632</v>
      </c>
      <c r="J19" s="177">
        <f>Conc5!M28</f>
        <v>-1.587271338263244E-2</v>
      </c>
      <c r="K19" s="177">
        <f>Conc6!M28</f>
        <v>-1.587271338263244E-2</v>
      </c>
      <c r="L19" s="177">
        <f>Conc7!M28</f>
        <v>-1.587271338263244E-2</v>
      </c>
      <c r="M19" s="177">
        <f>Conc8!M28</f>
        <v>-1.587271338263244E-2</v>
      </c>
    </row>
    <row r="20" spans="1:13">
      <c r="A20" s="67">
        <v>15</v>
      </c>
      <c r="B20" s="176" t="s">
        <v>139</v>
      </c>
      <c r="C20" s="176">
        <f>NormStandard!E29</f>
        <v>126</v>
      </c>
      <c r="D20" s="176">
        <f t="shared" si="0"/>
        <v>244366.33157855037</v>
      </c>
      <c r="E20" s="176">
        <f t="shared" si="1"/>
        <v>59714904009.15802</v>
      </c>
      <c r="F20" s="176">
        <f>Conc1!M29</f>
        <v>6.4786124844837673E-2</v>
      </c>
      <c r="G20" s="176">
        <f>Conc2!M29</f>
        <v>9.1365047858104398E-2</v>
      </c>
      <c r="H20" s="176">
        <f>Conc3!M29</f>
        <v>0.11379101415054822</v>
      </c>
      <c r="I20" s="176">
        <f>Conc4!M29</f>
        <v>0.13206402372216908</v>
      </c>
      <c r="J20" s="176">
        <f>Conc5!M29</f>
        <v>-4.0698975864064686E-2</v>
      </c>
      <c r="K20" s="176">
        <f>Conc6!M29</f>
        <v>-4.0698975864064686E-2</v>
      </c>
      <c r="L20" s="176">
        <f>Conc7!M29</f>
        <v>-4.0698975864064686E-2</v>
      </c>
      <c r="M20" s="176">
        <f>Conc8!M29</f>
        <v>-4.0698975864064686E-2</v>
      </c>
    </row>
    <row r="21" spans="1:13">
      <c r="A21" s="67">
        <v>16</v>
      </c>
      <c r="B21" s="177" t="s">
        <v>1</v>
      </c>
      <c r="C21" s="177">
        <f>NormStandard!E30</f>
        <v>134</v>
      </c>
      <c r="D21" s="177">
        <f t="shared" si="0"/>
        <v>252456.50635760027</v>
      </c>
      <c r="E21" s="177">
        <f t="shared" si="1"/>
        <v>63734287602.285065</v>
      </c>
      <c r="F21" s="177">
        <f>Conc1!M30</f>
        <v>7.3718387006404235E-2</v>
      </c>
      <c r="G21" s="177">
        <f>Conc2!M30</f>
        <v>0.15028112960101217</v>
      </c>
      <c r="H21" s="177">
        <f>Conc3!M30</f>
        <v>0.16713448197155448</v>
      </c>
      <c r="I21" s="177">
        <f>Conc4!M30</f>
        <v>0.18617578043219243</v>
      </c>
      <c r="J21" s="177">
        <f>Conc5!M30</f>
        <v>-2.9456440405295509E-2</v>
      </c>
      <c r="K21" s="177">
        <f>Conc6!M30</f>
        <v>-2.9456440405295509E-2</v>
      </c>
      <c r="L21" s="177">
        <f>Conc7!M30</f>
        <v>-2.9456440405295509E-2</v>
      </c>
      <c r="M21" s="177">
        <f>Conc8!M30</f>
        <v>-2.9456440405295509E-2</v>
      </c>
    </row>
    <row r="22" spans="1:13">
      <c r="A22" s="67">
        <v>17</v>
      </c>
      <c r="B22" s="176" t="s">
        <v>139</v>
      </c>
      <c r="C22" s="176">
        <f>NormStandard!E31</f>
        <v>141</v>
      </c>
      <c r="D22" s="176">
        <f t="shared" si="0"/>
        <v>258527.67282681772</v>
      </c>
      <c r="E22" s="176">
        <f t="shared" si="1"/>
        <v>66836557617.250107</v>
      </c>
      <c r="F22" s="176">
        <f>Conc1!M31</f>
        <v>6.834774734400241E-2</v>
      </c>
      <c r="G22" s="176">
        <f>Conc2!M31</f>
        <v>9.4168007451736618E-2</v>
      </c>
      <c r="H22" s="176">
        <f>Conc3!M31</f>
        <v>0.11998826755947085</v>
      </c>
      <c r="I22" s="176">
        <f>Conc4!M31</f>
        <v>0.14125201117760494</v>
      </c>
      <c r="J22" s="176">
        <f>Conc5!M31</f>
        <v>-3.7970970746667998E-2</v>
      </c>
      <c r="K22" s="176">
        <f>Conc6!M31</f>
        <v>-3.7970970746667998E-2</v>
      </c>
      <c r="L22" s="176">
        <f>Conc7!M31</f>
        <v>-3.7970970746667998E-2</v>
      </c>
      <c r="M22" s="176">
        <f>Conc8!M31</f>
        <v>-3.7970970746667998E-2</v>
      </c>
    </row>
    <row r="23" spans="1:13">
      <c r="A23" s="67">
        <v>18</v>
      </c>
      <c r="B23" s="177" t="s">
        <v>1</v>
      </c>
      <c r="C23" s="177">
        <f>NormStandard!E32</f>
        <v>147</v>
      </c>
      <c r="D23" s="177">
        <f t="shared" si="0"/>
        <v>262964.69766962621</v>
      </c>
      <c r="E23" s="177">
        <f t="shared" si="1"/>
        <v>69150432220.477921</v>
      </c>
      <c r="F23" s="177">
        <f>Conc1!M32</f>
        <v>9.3064523551827746E-2</v>
      </c>
      <c r="G23" s="177">
        <f>Conc2!M32</f>
        <v>8.5616583380970251E-2</v>
      </c>
      <c r="H23" s="177">
        <f>Conc3!M32</f>
        <v>0.10061974961875682</v>
      </c>
      <c r="I23" s="177">
        <f>Conc4!M32</f>
        <v>0.11666372838077065</v>
      </c>
      <c r="J23" s="177">
        <f>Conc5!M32</f>
        <v>-2.3676220775765745E-2</v>
      </c>
      <c r="K23" s="177">
        <f>Conc6!M32</f>
        <v>-2.3676220775765745E-2</v>
      </c>
      <c r="L23" s="177">
        <f>Conc7!M32</f>
        <v>-2.3676220775765745E-2</v>
      </c>
      <c r="M23" s="177">
        <f>Conc8!M32</f>
        <v>-2.3676220775765745E-2</v>
      </c>
    </row>
    <row r="24" spans="1:13">
      <c r="A24" s="67"/>
      <c r="B24" s="12"/>
    </row>
    <row r="25" spans="1:13" ht="15.75">
      <c r="F25" s="67" t="s">
        <v>264</v>
      </c>
    </row>
    <row r="26" spans="1:13" ht="15.75">
      <c r="F26" s="65" t="s">
        <v>255</v>
      </c>
      <c r="G26" s="65" t="s">
        <v>256</v>
      </c>
      <c r="H26" s="65" t="s">
        <v>257</v>
      </c>
      <c r="I26" s="65" t="s">
        <v>258</v>
      </c>
      <c r="J26" s="65" t="s">
        <v>259</v>
      </c>
      <c r="K26" s="65" t="s">
        <v>260</v>
      </c>
      <c r="L26" s="65" t="s">
        <v>261</v>
      </c>
      <c r="M26" s="65" t="s">
        <v>262</v>
      </c>
    </row>
    <row r="27" spans="1:13" ht="15.75">
      <c r="A27" s="65" t="s">
        <v>137</v>
      </c>
      <c r="B27" s="175" t="s">
        <v>138</v>
      </c>
      <c r="C27" s="65" t="s">
        <v>136</v>
      </c>
      <c r="D27" s="65" t="s">
        <v>253</v>
      </c>
      <c r="E27" s="65" t="s">
        <v>254</v>
      </c>
      <c r="F27" s="183">
        <f>F5</f>
        <v>2.601E-3</v>
      </c>
      <c r="G27" s="183">
        <f t="shared" ref="G27:M27" si="2">G5</f>
        <v>4.8279999999999998E-3</v>
      </c>
      <c r="H27" s="183">
        <f t="shared" si="2"/>
        <v>8.1759999999999992E-3</v>
      </c>
      <c r="I27" s="183">
        <f t="shared" si="2"/>
        <v>1.0234999999999999E-2</v>
      </c>
      <c r="J27" s="183">
        <f t="shared" si="2"/>
        <v>1.0000000000000001E-5</v>
      </c>
      <c r="K27" s="183">
        <f t="shared" si="2"/>
        <v>1.0000000000000001E-5</v>
      </c>
      <c r="L27" s="183">
        <f t="shared" si="2"/>
        <v>1.0000000000000001E-5</v>
      </c>
      <c r="M27" s="183">
        <f t="shared" si="2"/>
        <v>1.0000000000000001E-5</v>
      </c>
    </row>
    <row r="28" spans="1:13">
      <c r="A28">
        <f t="shared" ref="A28:E37" si="3">A6</f>
        <v>1</v>
      </c>
      <c r="B28" s="176" t="str">
        <f t="shared" si="3"/>
        <v>Wyatt</v>
      </c>
      <c r="C28" s="176">
        <f t="shared" si="3"/>
        <v>22.5</v>
      </c>
      <c r="D28" s="176">
        <f t="shared" si="3"/>
        <v>53505.226980224332</v>
      </c>
      <c r="E28" s="176">
        <f t="shared" si="3"/>
        <v>2862809314.2053256</v>
      </c>
      <c r="F28" s="176">
        <f t="shared" ref="F28:M37" si="4">RayFactorStd*(F6/I90Std)*(Refin/RefinRayleigh)^VolExponent</f>
        <v>1.9971398593570438E-4</v>
      </c>
      <c r="G28" s="176">
        <f t="shared" si="4"/>
        <v>5.72949959651611E-4</v>
      </c>
      <c r="H28" s="176">
        <f t="shared" si="4"/>
        <v>1.2473939121557928E-3</v>
      </c>
      <c r="I28" s="176">
        <f t="shared" si="4"/>
        <v>1.6730138821827037E-3</v>
      </c>
      <c r="J28" s="176">
        <f t="shared" si="4"/>
        <v>-2.8156398017164873E-4</v>
      </c>
      <c r="K28" s="176">
        <f t="shared" si="4"/>
        <v>-2.8156398017164873E-4</v>
      </c>
      <c r="L28" s="176">
        <f t="shared" si="4"/>
        <v>-2.8156398017164873E-4</v>
      </c>
      <c r="M28" s="176">
        <f t="shared" si="4"/>
        <v>-2.8156398017164873E-4</v>
      </c>
    </row>
    <row r="29" spans="1:13">
      <c r="A29">
        <f t="shared" si="3"/>
        <v>2</v>
      </c>
      <c r="B29" s="176" t="str">
        <f t="shared" si="3"/>
        <v>Wyatt</v>
      </c>
      <c r="C29" s="176">
        <f t="shared" si="3"/>
        <v>28</v>
      </c>
      <c r="D29" s="176">
        <f t="shared" si="3"/>
        <v>66349.195602210661</v>
      </c>
      <c r="E29" s="176">
        <f t="shared" si="3"/>
        <v>4402215757.0604105</v>
      </c>
      <c r="F29" s="176">
        <f t="shared" si="4"/>
        <v>1.9743806173325366E-4</v>
      </c>
      <c r="G29" s="176">
        <f t="shared" si="4"/>
        <v>3.4291873879986167E-4</v>
      </c>
      <c r="H29" s="176">
        <f t="shared" si="4"/>
        <v>6.8064173913305874E-4</v>
      </c>
      <c r="I29" s="176">
        <f t="shared" si="4"/>
        <v>1.1482582011328704E-3</v>
      </c>
      <c r="J29" s="176">
        <f t="shared" si="4"/>
        <v>-2.5459118486656398E-4</v>
      </c>
      <c r="K29" s="176">
        <f t="shared" si="4"/>
        <v>-2.5459118486656398E-4</v>
      </c>
      <c r="L29" s="176">
        <f t="shared" si="4"/>
        <v>-2.5459118486656398E-4</v>
      </c>
      <c r="M29" s="176">
        <f t="shared" si="4"/>
        <v>-2.5459118486656398E-4</v>
      </c>
    </row>
    <row r="30" spans="1:13">
      <c r="A30">
        <f t="shared" si="3"/>
        <v>3</v>
      </c>
      <c r="B30" s="176" t="str">
        <f t="shared" si="3"/>
        <v>Wyatt</v>
      </c>
      <c r="C30" s="176">
        <f t="shared" si="3"/>
        <v>32</v>
      </c>
      <c r="D30" s="176">
        <f t="shared" si="3"/>
        <v>75595.955426216213</v>
      </c>
      <c r="E30" s="176">
        <f t="shared" si="3"/>
        <v>5714748476.8024683</v>
      </c>
      <c r="F30" s="176">
        <f t="shared" si="4"/>
        <v>2.9410091645014488E-4</v>
      </c>
      <c r="G30" s="176">
        <f t="shared" si="4"/>
        <v>4.1730535442250293E-4</v>
      </c>
      <c r="H30" s="176">
        <f t="shared" si="4"/>
        <v>6.9153458732871902E-4</v>
      </c>
      <c r="I30" s="176">
        <f t="shared" si="4"/>
        <v>8.3461070884500587E-4</v>
      </c>
      <c r="J30" s="176">
        <f t="shared" si="4"/>
        <v>-1.1923010126357224E-4</v>
      </c>
      <c r="K30" s="176">
        <f t="shared" si="4"/>
        <v>-1.1923010126357224E-4</v>
      </c>
      <c r="L30" s="176">
        <f t="shared" si="4"/>
        <v>-1.1923010126357224E-4</v>
      </c>
      <c r="M30" s="176">
        <f t="shared" si="4"/>
        <v>-1.1923010126357224E-4</v>
      </c>
    </row>
    <row r="31" spans="1:13">
      <c r="A31">
        <f t="shared" si="3"/>
        <v>4</v>
      </c>
      <c r="B31" s="54" t="str">
        <f t="shared" si="3"/>
        <v>Blank</v>
      </c>
      <c r="C31" s="54">
        <f t="shared" si="3"/>
        <v>38</v>
      </c>
      <c r="D31" s="54">
        <f t="shared" si="3"/>
        <v>89289.913624330453</v>
      </c>
      <c r="E31" s="54">
        <f t="shared" si="3"/>
        <v>7972688675.0403929</v>
      </c>
      <c r="F31" s="54"/>
      <c r="G31" s="54"/>
      <c r="H31" s="54"/>
      <c r="I31" s="54"/>
      <c r="J31" s="54"/>
      <c r="K31" s="54"/>
      <c r="L31" s="54"/>
      <c r="M31" s="54"/>
    </row>
    <row r="32" spans="1:13">
      <c r="A32">
        <f t="shared" si="3"/>
        <v>5</v>
      </c>
      <c r="B32" s="177" t="str">
        <f t="shared" si="3"/>
        <v>Fiber/APD</v>
      </c>
      <c r="C32" s="177">
        <f t="shared" si="3"/>
        <v>44</v>
      </c>
      <c r="D32" s="177">
        <f t="shared" si="3"/>
        <v>102739.13437566617</v>
      </c>
      <c r="E32" s="177">
        <f t="shared" si="3"/>
        <v>10555329732.261189</v>
      </c>
      <c r="F32" s="177">
        <f t="shared" si="4"/>
        <v>2.0791033426106089E-4</v>
      </c>
      <c r="G32" s="177">
        <f t="shared" si="4"/>
        <v>5.951038722924898E-4</v>
      </c>
      <c r="H32" s="177">
        <f t="shared" si="4"/>
        <v>8.1321125974250115E-4</v>
      </c>
      <c r="I32" s="177">
        <f t="shared" si="4"/>
        <v>8.2767857377215033E-4</v>
      </c>
      <c r="J32" s="177">
        <f t="shared" si="4"/>
        <v>-1.8041992403539081E-4</v>
      </c>
      <c r="K32" s="177">
        <f t="shared" si="4"/>
        <v>-1.8041992403539081E-4</v>
      </c>
      <c r="L32" s="177">
        <f t="shared" si="4"/>
        <v>-1.8041992403539081E-4</v>
      </c>
      <c r="M32" s="177">
        <f t="shared" si="4"/>
        <v>-1.8041992403539081E-4</v>
      </c>
    </row>
    <row r="33" spans="1:17">
      <c r="A33">
        <f t="shared" si="3"/>
        <v>6</v>
      </c>
      <c r="B33" s="177" t="str">
        <f t="shared" si="3"/>
        <v>Fiber/APD</v>
      </c>
      <c r="C33" s="177">
        <f t="shared" si="3"/>
        <v>50</v>
      </c>
      <c r="D33" s="177">
        <f t="shared" si="3"/>
        <v>115906.75430098787</v>
      </c>
      <c r="E33" s="177">
        <f t="shared" si="3"/>
        <v>13434375692.589571</v>
      </c>
      <c r="F33" s="177">
        <f t="shared" si="4"/>
        <v>2.77441324747767E-4</v>
      </c>
      <c r="G33" s="177">
        <f t="shared" si="4"/>
        <v>3.0895818376393134E-4</v>
      </c>
      <c r="H33" s="177">
        <f t="shared" si="4"/>
        <v>4.0046434972728707E-4</v>
      </c>
      <c r="I33" s="177">
        <f t="shared" si="4"/>
        <v>3.8960971569094267E-4</v>
      </c>
      <c r="J33" s="177">
        <f t="shared" si="4"/>
        <v>-8.007953686957533E-5</v>
      </c>
      <c r="K33" s="177">
        <f t="shared" si="4"/>
        <v>-8.007953686957533E-5</v>
      </c>
      <c r="L33" s="177">
        <f t="shared" si="4"/>
        <v>-8.007953686957533E-5</v>
      </c>
      <c r="M33" s="177">
        <f t="shared" si="4"/>
        <v>-8.007953686957533E-5</v>
      </c>
    </row>
    <row r="34" spans="1:17">
      <c r="A34">
        <f t="shared" si="3"/>
        <v>7</v>
      </c>
      <c r="B34" s="176" t="str">
        <f t="shared" si="3"/>
        <v>Wyatt</v>
      </c>
      <c r="C34" s="176">
        <f t="shared" si="3"/>
        <v>57</v>
      </c>
      <c r="D34" s="176">
        <f t="shared" si="3"/>
        <v>130864.96300509552</v>
      </c>
      <c r="E34" s="176">
        <f t="shared" si="3"/>
        <v>17125638542.325018</v>
      </c>
      <c r="F34" s="176">
        <f t="shared" si="4"/>
        <v>2.3105437930986996E-4</v>
      </c>
      <c r="G34" s="176">
        <f t="shared" si="4"/>
        <v>3.2464602662526031E-4</v>
      </c>
      <c r="H34" s="176">
        <f t="shared" si="4"/>
        <v>4.2408715189786253E-4</v>
      </c>
      <c r="I34" s="176">
        <f t="shared" si="4"/>
        <v>5.1475406023464699E-4</v>
      </c>
      <c r="J34" s="176">
        <f t="shared" si="4"/>
        <v>-1.4916168790890335E-4</v>
      </c>
      <c r="K34" s="176">
        <f t="shared" si="4"/>
        <v>-1.4916168790890335E-4</v>
      </c>
      <c r="L34" s="176">
        <f t="shared" si="4"/>
        <v>-1.4916168790890335E-4</v>
      </c>
      <c r="M34" s="176">
        <f t="shared" si="4"/>
        <v>-1.4916168790890335E-4</v>
      </c>
    </row>
    <row r="35" spans="1:17">
      <c r="A35">
        <f t="shared" si="3"/>
        <v>8</v>
      </c>
      <c r="B35" s="177" t="str">
        <f t="shared" si="3"/>
        <v>Fiber/APD</v>
      </c>
      <c r="C35" s="177">
        <f t="shared" si="3"/>
        <v>64</v>
      </c>
      <c r="D35" s="177">
        <f t="shared" si="3"/>
        <v>145334.99263816432</v>
      </c>
      <c r="E35" s="177">
        <f t="shared" si="3"/>
        <v>21122260085.135277</v>
      </c>
      <c r="F35" s="177">
        <f t="shared" si="4"/>
        <v>2.3896205875298225E-4</v>
      </c>
      <c r="G35" s="177">
        <f t="shared" si="4"/>
        <v>2.6186954803241082E-4</v>
      </c>
      <c r="H35" s="177">
        <f t="shared" si="4"/>
        <v>3.1845753883103704E-4</v>
      </c>
      <c r="I35" s="177">
        <f t="shared" si="4"/>
        <v>3.5957725215255939E-4</v>
      </c>
      <c r="J35" s="177">
        <f t="shared" si="4"/>
        <v>-1.0469068482285354E-4</v>
      </c>
      <c r="K35" s="177">
        <f t="shared" si="4"/>
        <v>-1.0469068482285354E-4</v>
      </c>
      <c r="L35" s="177">
        <f t="shared" si="4"/>
        <v>-1.0469068482285354E-4</v>
      </c>
      <c r="M35" s="177">
        <f t="shared" si="4"/>
        <v>-1.0469068482285354E-4</v>
      </c>
    </row>
    <row r="36" spans="1:17">
      <c r="A36">
        <f t="shared" si="3"/>
        <v>9</v>
      </c>
      <c r="B36" s="176" t="str">
        <f t="shared" si="3"/>
        <v>Wyatt</v>
      </c>
      <c r="C36" s="176">
        <f t="shared" si="3"/>
        <v>72</v>
      </c>
      <c r="D36" s="176">
        <f t="shared" si="3"/>
        <v>161205.2459318676</v>
      </c>
      <c r="E36" s="176">
        <f t="shared" si="3"/>
        <v>25987131315.953915</v>
      </c>
      <c r="F36" s="176">
        <f t="shared" si="4"/>
        <v>2.5962646769470143E-4</v>
      </c>
      <c r="G36" s="176">
        <f t="shared" si="4"/>
        <v>3.4194705501253359E-4</v>
      </c>
      <c r="H36" s="176">
        <f t="shared" si="4"/>
        <v>4.1476911302446208E-4</v>
      </c>
      <c r="I36" s="176">
        <f t="shared" si="4"/>
        <v>4.5909558311867934E-4</v>
      </c>
      <c r="J36" s="176">
        <f t="shared" si="4"/>
        <v>-1.0764999880024207E-4</v>
      </c>
      <c r="K36" s="176">
        <f t="shared" si="4"/>
        <v>-1.0764999880024207E-4</v>
      </c>
      <c r="L36" s="176">
        <f t="shared" si="4"/>
        <v>-1.0764999880024207E-4</v>
      </c>
      <c r="M36" s="176">
        <f t="shared" si="4"/>
        <v>-1.0764999880024207E-4</v>
      </c>
    </row>
    <row r="37" spans="1:17">
      <c r="A37">
        <f t="shared" si="3"/>
        <v>10</v>
      </c>
      <c r="B37" s="177" t="str">
        <f t="shared" si="3"/>
        <v>Fiber/APD</v>
      </c>
      <c r="C37" s="177">
        <f t="shared" si="3"/>
        <v>81</v>
      </c>
      <c r="D37" s="177">
        <f t="shared" si="3"/>
        <v>178116.80701873807</v>
      </c>
      <c r="E37" s="177">
        <f t="shared" si="3"/>
        <v>31725596942.550377</v>
      </c>
      <c r="F37" s="177">
        <f t="shared" si="4"/>
        <v>2.1604353598837715E-4</v>
      </c>
      <c r="G37" s="177">
        <f t="shared" si="4"/>
        <v>1.8895860599993163E-4</v>
      </c>
      <c r="H37" s="177">
        <f t="shared" si="4"/>
        <v>2.1156629423096045E-4</v>
      </c>
      <c r="I37" s="177">
        <f t="shared" si="4"/>
        <v>2.4516169639891855E-4</v>
      </c>
      <c r="J37" s="177">
        <f t="shared" si="4"/>
        <v>-1.7730878724841331E-4</v>
      </c>
      <c r="K37" s="177">
        <f t="shared" si="4"/>
        <v>-1.7730878724841331E-4</v>
      </c>
      <c r="L37" s="177">
        <f t="shared" si="4"/>
        <v>-1.7730878724841331E-4</v>
      </c>
      <c r="M37" s="177">
        <f t="shared" si="4"/>
        <v>-1.7730878724841331E-4</v>
      </c>
    </row>
    <row r="38" spans="1:17">
      <c r="A38">
        <f t="shared" ref="A38:E45" si="5">A16</f>
        <v>11</v>
      </c>
      <c r="B38" s="176" t="str">
        <f t="shared" si="5"/>
        <v>Wyatt</v>
      </c>
      <c r="C38" s="176">
        <f t="shared" si="5"/>
        <v>90</v>
      </c>
      <c r="D38" s="176">
        <f t="shared" si="5"/>
        <v>193930.21876048925</v>
      </c>
      <c r="E38" s="176">
        <f t="shared" si="5"/>
        <v>37608929748.491219</v>
      </c>
      <c r="F38" s="176">
        <f t="shared" ref="F38:M45" si="6">RayFactorStd*(F16/I90Std)*(Refin/RefinRayleigh)^VolExponent</f>
        <v>2.499316335354312E-4</v>
      </c>
      <c r="G38" s="176">
        <f t="shared" si="6"/>
        <v>3.34415565998112E-4</v>
      </c>
      <c r="H38" s="176">
        <f t="shared" si="6"/>
        <v>4.118591707555695E-4</v>
      </c>
      <c r="I38" s="176">
        <f t="shared" si="6"/>
        <v>4.5058097313429836E-4</v>
      </c>
      <c r="J38" s="176">
        <f t="shared" si="6"/>
        <v>-1.0560491557835117E-4</v>
      </c>
      <c r="K38" s="176">
        <f t="shared" si="6"/>
        <v>-1.0560491557835117E-4</v>
      </c>
      <c r="L38" s="176">
        <f t="shared" si="6"/>
        <v>-1.0560491557835117E-4</v>
      </c>
      <c r="M38" s="176">
        <f t="shared" si="6"/>
        <v>-1.0560491557835117E-4</v>
      </c>
    </row>
    <row r="39" spans="1:17">
      <c r="A39">
        <f t="shared" si="5"/>
        <v>12</v>
      </c>
      <c r="B39" s="177" t="str">
        <f t="shared" si="5"/>
        <v>Fiber/APD</v>
      </c>
      <c r="C39" s="177">
        <f t="shared" si="5"/>
        <v>99</v>
      </c>
      <c r="D39" s="177">
        <f t="shared" si="5"/>
        <v>208547.98621524032</v>
      </c>
      <c r="E39" s="177">
        <f t="shared" si="5"/>
        <v>43492262554.432068</v>
      </c>
      <c r="F39" s="177">
        <f t="shared" si="6"/>
        <v>3.1768391556232542E-4</v>
      </c>
      <c r="G39" s="177">
        <f t="shared" si="6"/>
        <v>1.7581965795172838E-4</v>
      </c>
      <c r="H39" s="177">
        <f t="shared" si="6"/>
        <v>1.8288525684698E-4</v>
      </c>
      <c r="I39" s="177">
        <f t="shared" si="6"/>
        <v>2.0138313989310141E-4</v>
      </c>
      <c r="J39" s="177">
        <f t="shared" si="6"/>
        <v>-2.999981475712978E-5</v>
      </c>
      <c r="K39" s="177">
        <f t="shared" si="6"/>
        <v>-2.999981475712978E-5</v>
      </c>
      <c r="L39" s="177">
        <f t="shared" si="6"/>
        <v>-2.999981475712978E-5</v>
      </c>
      <c r="M39" s="177">
        <f t="shared" si="6"/>
        <v>-2.999981475712978E-5</v>
      </c>
    </row>
    <row r="40" spans="1:17">
      <c r="A40">
        <f t="shared" si="5"/>
        <v>13</v>
      </c>
      <c r="B40" s="54" t="str">
        <f t="shared" si="5"/>
        <v>Blank</v>
      </c>
      <c r="C40" s="54">
        <f t="shared" si="5"/>
        <v>108</v>
      </c>
      <c r="D40" s="54">
        <f t="shared" si="5"/>
        <v>221879.98598573179</v>
      </c>
      <c r="E40" s="54">
        <f t="shared" si="5"/>
        <v>49230728181.028534</v>
      </c>
      <c r="F40" s="54"/>
      <c r="G40" s="54"/>
      <c r="H40" s="54"/>
      <c r="I40" s="54"/>
      <c r="J40" s="54"/>
      <c r="K40" s="54"/>
      <c r="L40" s="54"/>
      <c r="M40" s="54"/>
    </row>
    <row r="41" spans="1:17">
      <c r="A41">
        <f t="shared" si="5"/>
        <v>14</v>
      </c>
      <c r="B41" s="177" t="str">
        <f t="shared" si="5"/>
        <v>Fiber/APD</v>
      </c>
      <c r="C41" s="177">
        <f t="shared" si="5"/>
        <v>117</v>
      </c>
      <c r="D41" s="177">
        <f t="shared" si="5"/>
        <v>233844.02186003872</v>
      </c>
      <c r="E41" s="177">
        <f t="shared" si="5"/>
        <v>54683026559.678268</v>
      </c>
      <c r="F41" s="177">
        <f t="shared" si="6"/>
        <v>3.2978722592540767E-4</v>
      </c>
      <c r="G41" s="177">
        <f t="shared" si="6"/>
        <v>3.4228409527147728E-4</v>
      </c>
      <c r="H41" s="177">
        <f t="shared" si="6"/>
        <v>3.7919506927727942E-4</v>
      </c>
      <c r="I41" s="177">
        <f t="shared" si="6"/>
        <v>4.0805347243879676E-4</v>
      </c>
      <c r="J41" s="177">
        <f t="shared" si="6"/>
        <v>-5.2688733545754793E-5</v>
      </c>
      <c r="K41" s="177">
        <f t="shared" si="6"/>
        <v>-5.2688733545754793E-5</v>
      </c>
      <c r="L41" s="177">
        <f t="shared" si="6"/>
        <v>-5.2688733545754793E-5</v>
      </c>
      <c r="M41" s="177">
        <f t="shared" si="6"/>
        <v>-5.2688733545754793E-5</v>
      </c>
    </row>
    <row r="42" spans="1:17">
      <c r="A42">
        <f t="shared" si="5"/>
        <v>15</v>
      </c>
      <c r="B42" s="176" t="str">
        <f t="shared" si="5"/>
        <v>Wyatt</v>
      </c>
      <c r="C42" s="176">
        <f t="shared" si="5"/>
        <v>126</v>
      </c>
      <c r="D42" s="176">
        <f t="shared" si="5"/>
        <v>244366.33157855037</v>
      </c>
      <c r="E42" s="176">
        <f t="shared" si="5"/>
        <v>59714904009.15802</v>
      </c>
      <c r="F42" s="176">
        <f t="shared" si="6"/>
        <v>2.1505452704429409E-4</v>
      </c>
      <c r="G42" s="176">
        <f t="shared" si="6"/>
        <v>3.0328202531887627E-4</v>
      </c>
      <c r="H42" s="176">
        <f t="shared" si="6"/>
        <v>3.7772397698805502E-4</v>
      </c>
      <c r="I42" s="176">
        <f t="shared" si="6"/>
        <v>4.3838038205183021E-4</v>
      </c>
      <c r="J42" s="176">
        <f t="shared" si="6"/>
        <v>-1.3509835673295397E-4</v>
      </c>
      <c r="K42" s="176">
        <f t="shared" si="6"/>
        <v>-1.3509835673295397E-4</v>
      </c>
      <c r="L42" s="176">
        <f t="shared" si="6"/>
        <v>-1.3509835673295397E-4</v>
      </c>
      <c r="M42" s="176">
        <f t="shared" si="6"/>
        <v>-1.3509835673295397E-4</v>
      </c>
    </row>
    <row r="43" spans="1:17">
      <c r="A43">
        <f t="shared" si="5"/>
        <v>16</v>
      </c>
      <c r="B43" s="177" t="str">
        <f t="shared" si="5"/>
        <v>Fiber/APD</v>
      </c>
      <c r="C43" s="177">
        <f t="shared" si="5"/>
        <v>134</v>
      </c>
      <c r="D43" s="177">
        <f t="shared" si="5"/>
        <v>252456.50635760027</v>
      </c>
      <c r="E43" s="177">
        <f t="shared" si="5"/>
        <v>63734287602.285065</v>
      </c>
      <c r="F43" s="177">
        <f t="shared" si="6"/>
        <v>2.4470475568803439E-4</v>
      </c>
      <c r="G43" s="177">
        <f t="shared" si="6"/>
        <v>4.9885121740852459E-4</v>
      </c>
      <c r="H43" s="177">
        <f t="shared" si="6"/>
        <v>5.5479513644733419E-4</v>
      </c>
      <c r="I43" s="177">
        <f t="shared" si="6"/>
        <v>6.1800184073114569E-4</v>
      </c>
      <c r="J43" s="177">
        <f t="shared" si="6"/>
        <v>-9.7779283371878195E-5</v>
      </c>
      <c r="K43" s="177">
        <f t="shared" si="6"/>
        <v>-9.7779283371878195E-5</v>
      </c>
      <c r="L43" s="177">
        <f t="shared" si="6"/>
        <v>-9.7779283371878195E-5</v>
      </c>
      <c r="M43" s="177">
        <f t="shared" si="6"/>
        <v>-9.7779283371878195E-5</v>
      </c>
    </row>
    <row r="44" spans="1:17">
      <c r="A44">
        <f t="shared" si="5"/>
        <v>17</v>
      </c>
      <c r="B44" s="176" t="str">
        <f t="shared" si="5"/>
        <v>Wyatt</v>
      </c>
      <c r="C44" s="176">
        <f t="shared" si="5"/>
        <v>141</v>
      </c>
      <c r="D44" s="176">
        <f t="shared" si="5"/>
        <v>258527.67282681772</v>
      </c>
      <c r="E44" s="176">
        <f t="shared" si="5"/>
        <v>66836557617.250107</v>
      </c>
      <c r="F44" s="176">
        <f t="shared" si="6"/>
        <v>2.2687716721458699E-4</v>
      </c>
      <c r="G44" s="176">
        <f t="shared" si="6"/>
        <v>3.1258631927343089E-4</v>
      </c>
      <c r="H44" s="176">
        <f t="shared" si="6"/>
        <v>3.9829547133227481E-4</v>
      </c>
      <c r="I44" s="176">
        <f t="shared" si="6"/>
        <v>4.6887947891014636E-4</v>
      </c>
      <c r="J44" s="176">
        <f t="shared" si="6"/>
        <v>-1.2604287067477052E-4</v>
      </c>
      <c r="K44" s="176">
        <f t="shared" si="6"/>
        <v>-1.2604287067477052E-4</v>
      </c>
      <c r="L44" s="176">
        <f t="shared" si="6"/>
        <v>-1.2604287067477052E-4</v>
      </c>
      <c r="M44" s="176">
        <f t="shared" si="6"/>
        <v>-1.2604287067477052E-4</v>
      </c>
    </row>
    <row r="45" spans="1:17">
      <c r="A45">
        <f t="shared" si="5"/>
        <v>18</v>
      </c>
      <c r="B45" s="177" t="str">
        <f t="shared" si="5"/>
        <v>Fiber/APD</v>
      </c>
      <c r="C45" s="177">
        <f t="shared" si="5"/>
        <v>147</v>
      </c>
      <c r="D45" s="177">
        <f t="shared" si="5"/>
        <v>262964.69766962621</v>
      </c>
      <c r="E45" s="177">
        <f t="shared" si="5"/>
        <v>69150432220.477921</v>
      </c>
      <c r="F45" s="177">
        <f t="shared" si="6"/>
        <v>3.0892335581074112E-4</v>
      </c>
      <c r="G45" s="177">
        <f t="shared" si="6"/>
        <v>2.842002649524123E-4</v>
      </c>
      <c r="H45" s="177">
        <f t="shared" si="6"/>
        <v>3.3400257720926597E-4</v>
      </c>
      <c r="I45" s="177">
        <f t="shared" si="6"/>
        <v>3.8725981821321706E-4</v>
      </c>
      <c r="J45" s="177">
        <f t="shared" si="6"/>
        <v>-7.8592113254545278E-5</v>
      </c>
      <c r="K45" s="177">
        <f t="shared" si="6"/>
        <v>-7.8592113254545278E-5</v>
      </c>
      <c r="L45" s="177">
        <f t="shared" si="6"/>
        <v>-7.8592113254545278E-5</v>
      </c>
      <c r="M45" s="177">
        <f t="shared" si="6"/>
        <v>-7.8592113254545278E-5</v>
      </c>
    </row>
    <row r="47" spans="1:17" ht="15.75">
      <c r="F47" s="67" t="s">
        <v>265</v>
      </c>
    </row>
    <row r="48" spans="1:17" ht="16.5">
      <c r="F48" s="65" t="s">
        <v>255</v>
      </c>
      <c r="G48" s="65" t="s">
        <v>256</v>
      </c>
      <c r="H48" s="65" t="s">
        <v>257</v>
      </c>
      <c r="I48" s="65" t="s">
        <v>258</v>
      </c>
      <c r="J48" s="65" t="s">
        <v>259</v>
      </c>
      <c r="K48" s="65" t="s">
        <v>260</v>
      </c>
      <c r="L48" s="65" t="s">
        <v>261</v>
      </c>
      <c r="M48" s="65" t="s">
        <v>262</v>
      </c>
      <c r="O48" s="182" t="s">
        <v>267</v>
      </c>
      <c r="P48" s="217">
        <v>5000</v>
      </c>
      <c r="Q48" s="181" t="s">
        <v>266</v>
      </c>
    </row>
    <row r="49" spans="1:23" ht="15.75">
      <c r="A49" s="65" t="s">
        <v>137</v>
      </c>
      <c r="B49" s="175" t="s">
        <v>138</v>
      </c>
      <c r="C49" s="65" t="s">
        <v>136</v>
      </c>
      <c r="D49" s="65" t="s">
        <v>253</v>
      </c>
      <c r="E49" s="65" t="s">
        <v>254</v>
      </c>
      <c r="F49" s="183">
        <f>F5</f>
        <v>2.601E-3</v>
      </c>
      <c r="G49" s="183">
        <f t="shared" ref="G49:M49" si="7">G5</f>
        <v>4.8279999999999998E-3</v>
      </c>
      <c r="H49" s="183">
        <f t="shared" si="7"/>
        <v>8.1759999999999992E-3</v>
      </c>
      <c r="I49" s="183">
        <f t="shared" si="7"/>
        <v>1.0234999999999999E-2</v>
      </c>
      <c r="J49" s="183">
        <f t="shared" si="7"/>
        <v>1.0000000000000001E-5</v>
      </c>
      <c r="K49" s="183">
        <f t="shared" si="7"/>
        <v>1.0000000000000001E-5</v>
      </c>
      <c r="L49" s="183">
        <f t="shared" si="7"/>
        <v>1.0000000000000001E-5</v>
      </c>
      <c r="M49" s="183">
        <f t="shared" si="7"/>
        <v>1.0000000000000001E-5</v>
      </c>
      <c r="N49" s="39"/>
    </row>
    <row r="50" spans="1:23">
      <c r="A50">
        <f t="shared" ref="A50:E59" si="8">A28</f>
        <v>1</v>
      </c>
      <c r="B50" s="176" t="str">
        <f t="shared" si="8"/>
        <v>Wyatt</v>
      </c>
      <c r="C50" s="176">
        <f t="shared" si="8"/>
        <v>22.5</v>
      </c>
      <c r="D50" s="176">
        <f t="shared" si="8"/>
        <v>53505.226980224332</v>
      </c>
      <c r="E50" s="176">
        <f t="shared" si="8"/>
        <v>2862809314.2053256</v>
      </c>
      <c r="F50" s="176">
        <f t="shared" ref="F50:M52" si="9">Koptical*F$5/F28</f>
        <v>1.0487122183080994E-6</v>
      </c>
      <c r="G50" s="176">
        <f t="shared" si="9"/>
        <v>6.7853932660950551E-7</v>
      </c>
      <c r="H50" s="176">
        <f t="shared" si="9"/>
        <v>5.2779068106261185E-7</v>
      </c>
      <c r="I50" s="176">
        <f t="shared" si="9"/>
        <v>4.9262081407601566E-7</v>
      </c>
      <c r="J50" s="176">
        <f t="shared" si="9"/>
        <v>-2.8598770292639714E-9</v>
      </c>
      <c r="K50" s="176">
        <f t="shared" si="9"/>
        <v>-2.8598770292639714E-9</v>
      </c>
      <c r="L50" s="176">
        <f t="shared" si="9"/>
        <v>-2.8598770292639714E-9</v>
      </c>
      <c r="M50" s="176">
        <f t="shared" si="9"/>
        <v>-2.8598770292639714E-9</v>
      </c>
      <c r="O50" s="39"/>
      <c r="P50" s="139"/>
      <c r="Q50" s="139"/>
      <c r="R50" s="139"/>
      <c r="S50" s="139"/>
      <c r="T50" s="139"/>
      <c r="U50" s="139"/>
      <c r="V50" s="139"/>
      <c r="W50" s="139"/>
    </row>
    <row r="51" spans="1:23">
      <c r="A51">
        <f t="shared" si="8"/>
        <v>2</v>
      </c>
      <c r="B51" s="176" t="str">
        <f t="shared" si="8"/>
        <v>Wyatt</v>
      </c>
      <c r="C51" s="176">
        <f t="shared" si="8"/>
        <v>28</v>
      </c>
      <c r="D51" s="176">
        <f t="shared" si="8"/>
        <v>66349.195602210661</v>
      </c>
      <c r="E51" s="176">
        <f t="shared" si="8"/>
        <v>4402215757.0604105</v>
      </c>
      <c r="F51" s="176">
        <f t="shared" si="9"/>
        <v>1.0608010197180212E-6</v>
      </c>
      <c r="G51" s="176">
        <f t="shared" si="9"/>
        <v>1.133706140304702E-6</v>
      </c>
      <c r="H51" s="176">
        <f t="shared" si="9"/>
        <v>9.6726786589465721E-7</v>
      </c>
      <c r="I51" s="176">
        <f t="shared" si="9"/>
        <v>7.1774924819888233E-7</v>
      </c>
      <c r="J51" s="176">
        <f t="shared" si="9"/>
        <v>-3.1628681864341653E-9</v>
      </c>
      <c r="K51" s="176">
        <f t="shared" si="9"/>
        <v>-3.1628681864341653E-9</v>
      </c>
      <c r="L51" s="176">
        <f t="shared" si="9"/>
        <v>-3.1628681864341653E-9</v>
      </c>
      <c r="M51" s="176">
        <f t="shared" si="9"/>
        <v>-3.1628681864341653E-9</v>
      </c>
      <c r="P51" s="139"/>
      <c r="Q51" s="139"/>
      <c r="R51" s="139"/>
      <c r="S51" s="139"/>
      <c r="T51" s="139"/>
      <c r="U51" s="139"/>
      <c r="V51" s="139"/>
      <c r="W51" s="139"/>
    </row>
    <row r="52" spans="1:23">
      <c r="A52">
        <f t="shared" si="8"/>
        <v>3</v>
      </c>
      <c r="B52" s="176" t="str">
        <f t="shared" si="8"/>
        <v>Wyatt</v>
      </c>
      <c r="C52" s="176">
        <f t="shared" si="8"/>
        <v>32</v>
      </c>
      <c r="D52" s="176">
        <f t="shared" si="8"/>
        <v>75595.955426216213</v>
      </c>
      <c r="E52" s="176">
        <f t="shared" si="8"/>
        <v>5714748476.8024683</v>
      </c>
      <c r="F52" s="176">
        <f t="shared" si="9"/>
        <v>7.1214500024616271E-7</v>
      </c>
      <c r="G52" s="176">
        <f t="shared" si="9"/>
        <v>9.3161776067061012E-7</v>
      </c>
      <c r="H52" s="176">
        <f t="shared" si="9"/>
        <v>9.5203174868404774E-7</v>
      </c>
      <c r="I52" s="176">
        <f t="shared" si="9"/>
        <v>9.8748009325431801E-7</v>
      </c>
      <c r="J52" s="176">
        <f t="shared" si="9"/>
        <v>-6.7536498805864463E-9</v>
      </c>
      <c r="K52" s="176">
        <f t="shared" si="9"/>
        <v>-6.7536498805864463E-9</v>
      </c>
      <c r="L52" s="176">
        <f t="shared" si="9"/>
        <v>-6.7536498805864463E-9</v>
      </c>
      <c r="M52" s="176">
        <f t="shared" si="9"/>
        <v>-6.7536498805864463E-9</v>
      </c>
      <c r="O52" s="39"/>
      <c r="P52" s="139"/>
      <c r="Q52" s="139"/>
      <c r="R52" s="139"/>
      <c r="S52" s="139"/>
      <c r="T52" s="139"/>
      <c r="U52" s="139"/>
      <c r="V52" s="139"/>
      <c r="W52" s="139"/>
    </row>
    <row r="53" spans="1:23">
      <c r="A53">
        <f t="shared" si="8"/>
        <v>4</v>
      </c>
      <c r="B53" s="54" t="str">
        <f t="shared" si="8"/>
        <v>Blank</v>
      </c>
      <c r="C53" s="54">
        <f t="shared" si="8"/>
        <v>38</v>
      </c>
      <c r="D53" s="54">
        <f t="shared" si="8"/>
        <v>89289.913624330453</v>
      </c>
      <c r="E53" s="54">
        <f t="shared" si="8"/>
        <v>7972688675.0403929</v>
      </c>
      <c r="F53" s="54"/>
      <c r="G53" s="54"/>
      <c r="H53" s="54"/>
      <c r="I53" s="54"/>
      <c r="J53" s="54"/>
      <c r="K53" s="54"/>
      <c r="L53" s="54"/>
      <c r="M53" s="54"/>
      <c r="P53" s="139"/>
      <c r="Q53" s="139"/>
      <c r="R53" s="139"/>
      <c r="S53" s="139"/>
      <c r="T53" s="139"/>
      <c r="U53" s="139"/>
      <c r="V53" s="139"/>
      <c r="W53" s="139"/>
    </row>
    <row r="54" spans="1:23">
      <c r="A54">
        <f t="shared" si="8"/>
        <v>5</v>
      </c>
      <c r="B54" s="177" t="str">
        <f t="shared" si="8"/>
        <v>Fiber/APD</v>
      </c>
      <c r="C54" s="177">
        <f t="shared" si="8"/>
        <v>44</v>
      </c>
      <c r="D54" s="177">
        <f t="shared" si="8"/>
        <v>102739.13437566617</v>
      </c>
      <c r="E54" s="177">
        <f t="shared" si="8"/>
        <v>10555329732.261189</v>
      </c>
      <c r="F54" s="177">
        <f t="shared" ref="F54:M61" si="10">Koptical*F$5/F32</f>
        <v>1.0073693448772985E-6</v>
      </c>
      <c r="G54" s="177">
        <f t="shared" si="10"/>
        <v>6.5327936500448436E-7</v>
      </c>
      <c r="H54" s="177">
        <f t="shared" si="10"/>
        <v>8.0958407125170481E-7</v>
      </c>
      <c r="I54" s="177">
        <f t="shared" si="10"/>
        <v>9.9575062919074696E-7</v>
      </c>
      <c r="J54" s="177">
        <f t="shared" si="10"/>
        <v>-4.4631343432063555E-9</v>
      </c>
      <c r="K54" s="177">
        <f t="shared" si="10"/>
        <v>-4.4631343432063555E-9</v>
      </c>
      <c r="L54" s="177">
        <f t="shared" si="10"/>
        <v>-4.4631343432063555E-9</v>
      </c>
      <c r="M54" s="177">
        <f t="shared" si="10"/>
        <v>-4.4631343432063555E-9</v>
      </c>
      <c r="P54" s="139"/>
      <c r="Q54" s="139"/>
      <c r="R54" s="139"/>
      <c r="S54" s="139"/>
      <c r="T54" s="139"/>
      <c r="U54" s="139"/>
      <c r="V54" s="139"/>
      <c r="W54" s="139"/>
    </row>
    <row r="55" spans="1:23">
      <c r="A55">
        <f t="shared" si="8"/>
        <v>6</v>
      </c>
      <c r="B55" s="177" t="str">
        <f t="shared" si="8"/>
        <v>Fiber/APD</v>
      </c>
      <c r="C55" s="177">
        <f t="shared" si="8"/>
        <v>50</v>
      </c>
      <c r="D55" s="177">
        <f t="shared" si="8"/>
        <v>115906.75430098787</v>
      </c>
      <c r="E55" s="177">
        <f t="shared" si="8"/>
        <v>13434375692.589571</v>
      </c>
      <c r="F55" s="177">
        <f t="shared" si="10"/>
        <v>7.5490735710766103E-7</v>
      </c>
      <c r="G55" s="177">
        <f t="shared" si="10"/>
        <v>1.2583226476369954E-6</v>
      </c>
      <c r="H55" s="177">
        <f t="shared" si="10"/>
        <v>1.6439987302200593E-6</v>
      </c>
      <c r="I55" s="177">
        <f t="shared" si="10"/>
        <v>2.1153514078562755E-6</v>
      </c>
      <c r="J55" s="177">
        <f t="shared" si="10"/>
        <v>-1.0055482219790026E-8</v>
      </c>
      <c r="K55" s="177">
        <f t="shared" si="10"/>
        <v>-1.0055482219790026E-8</v>
      </c>
      <c r="L55" s="177">
        <f t="shared" si="10"/>
        <v>-1.0055482219790026E-8</v>
      </c>
      <c r="M55" s="177">
        <f t="shared" si="10"/>
        <v>-1.0055482219790026E-8</v>
      </c>
      <c r="P55" s="139"/>
      <c r="Q55" s="139"/>
      <c r="R55" s="139"/>
      <c r="S55" s="139"/>
      <c r="T55" s="139"/>
      <c r="U55" s="139"/>
      <c r="V55" s="139"/>
      <c r="W55" s="139"/>
    </row>
    <row r="56" spans="1:23">
      <c r="A56">
        <f t="shared" si="8"/>
        <v>7</v>
      </c>
      <c r="B56" s="176" t="str">
        <f t="shared" si="8"/>
        <v>Wyatt</v>
      </c>
      <c r="C56" s="176">
        <f t="shared" si="8"/>
        <v>57</v>
      </c>
      <c r="D56" s="176">
        <f t="shared" si="8"/>
        <v>130864.96300509552</v>
      </c>
      <c r="E56" s="176">
        <f t="shared" si="8"/>
        <v>17125638542.325018</v>
      </c>
      <c r="F56" s="176">
        <f t="shared" si="10"/>
        <v>9.0646408799245959E-7</v>
      </c>
      <c r="G56" s="176">
        <f t="shared" si="10"/>
        <v>1.1975168273095932E-6</v>
      </c>
      <c r="H56" s="176">
        <f t="shared" si="10"/>
        <v>1.5524235513945077E-6</v>
      </c>
      <c r="I56" s="176">
        <f t="shared" si="10"/>
        <v>1.6010781152957406E-6</v>
      </c>
      <c r="J56" s="176">
        <f t="shared" si="10"/>
        <v>-5.39842616726631E-9</v>
      </c>
      <c r="K56" s="176">
        <f t="shared" si="10"/>
        <v>-5.39842616726631E-9</v>
      </c>
      <c r="L56" s="176">
        <f t="shared" si="10"/>
        <v>-5.39842616726631E-9</v>
      </c>
      <c r="M56" s="176">
        <f t="shared" si="10"/>
        <v>-5.39842616726631E-9</v>
      </c>
      <c r="P56" s="139"/>
      <c r="Q56" s="139"/>
      <c r="R56" s="139"/>
      <c r="S56" s="139"/>
      <c r="T56" s="139"/>
      <c r="U56" s="139"/>
      <c r="V56" s="139"/>
      <c r="W56" s="139"/>
    </row>
    <row r="57" spans="1:23">
      <c r="A57">
        <f t="shared" si="8"/>
        <v>8</v>
      </c>
      <c r="B57" s="177" t="str">
        <f t="shared" si="8"/>
        <v>Fiber/APD</v>
      </c>
      <c r="C57" s="177">
        <f t="shared" si="8"/>
        <v>64</v>
      </c>
      <c r="D57" s="177">
        <f t="shared" si="8"/>
        <v>145334.99263816432</v>
      </c>
      <c r="E57" s="177">
        <f t="shared" si="8"/>
        <v>21122260085.135277</v>
      </c>
      <c r="F57" s="177">
        <f t="shared" si="10"/>
        <v>8.7646757945908118E-7</v>
      </c>
      <c r="G57" s="177">
        <f t="shared" si="10"/>
        <v>1.4845906395913994E-6</v>
      </c>
      <c r="H57" s="177">
        <f t="shared" si="10"/>
        <v>2.0673490251375933E-6</v>
      </c>
      <c r="I57" s="177">
        <f t="shared" si="10"/>
        <v>2.2920289191476669E-6</v>
      </c>
      <c r="J57" s="177">
        <f t="shared" si="10"/>
        <v>-7.6915951072779142E-9</v>
      </c>
      <c r="K57" s="177">
        <f t="shared" si="10"/>
        <v>-7.6915951072779142E-9</v>
      </c>
      <c r="L57" s="177">
        <f t="shared" si="10"/>
        <v>-7.6915951072779142E-9</v>
      </c>
      <c r="M57" s="177">
        <f t="shared" si="10"/>
        <v>-7.6915951072779142E-9</v>
      </c>
      <c r="P57" s="139"/>
      <c r="Q57" s="139"/>
      <c r="R57" s="139"/>
      <c r="S57" s="139"/>
      <c r="T57" s="139"/>
      <c r="U57" s="139"/>
      <c r="V57" s="139"/>
      <c r="W57" s="139"/>
    </row>
    <row r="58" spans="1:23">
      <c r="A58">
        <f t="shared" si="8"/>
        <v>9</v>
      </c>
      <c r="B58" s="176" t="str">
        <f t="shared" si="8"/>
        <v>Wyatt</v>
      </c>
      <c r="C58" s="176">
        <f t="shared" si="8"/>
        <v>72</v>
      </c>
      <c r="D58" s="176">
        <f t="shared" si="8"/>
        <v>161205.2459318676</v>
      </c>
      <c r="E58" s="176">
        <f t="shared" si="8"/>
        <v>25987131315.953915</v>
      </c>
      <c r="F58" s="176">
        <f t="shared" si="10"/>
        <v>8.0670703213538152E-7</v>
      </c>
      <c r="G58" s="176">
        <f t="shared" si="10"/>
        <v>1.136927702999804E-6</v>
      </c>
      <c r="H58" s="176">
        <f t="shared" si="10"/>
        <v>1.5872996849966335E-6</v>
      </c>
      <c r="I58" s="176">
        <f t="shared" si="10"/>
        <v>1.795184904639493E-6</v>
      </c>
      <c r="J58" s="176">
        <f t="shared" si="10"/>
        <v>-7.4801520495625285E-9</v>
      </c>
      <c r="K58" s="176">
        <f t="shared" si="10"/>
        <v>-7.4801520495625285E-9</v>
      </c>
      <c r="L58" s="176">
        <f t="shared" si="10"/>
        <v>-7.4801520495625285E-9</v>
      </c>
      <c r="M58" s="176">
        <f t="shared" si="10"/>
        <v>-7.4801520495625285E-9</v>
      </c>
      <c r="P58" s="139"/>
      <c r="Q58" s="139"/>
      <c r="R58" s="139"/>
      <c r="S58" s="139"/>
      <c r="T58" s="139"/>
      <c r="U58" s="139"/>
      <c r="V58" s="139"/>
      <c r="W58" s="139"/>
    </row>
    <row r="59" spans="1:23">
      <c r="A59">
        <f t="shared" si="8"/>
        <v>10</v>
      </c>
      <c r="B59" s="177" t="str">
        <f t="shared" si="8"/>
        <v>Fiber/APD</v>
      </c>
      <c r="C59" s="177">
        <f t="shared" si="8"/>
        <v>81</v>
      </c>
      <c r="D59" s="177">
        <f t="shared" si="8"/>
        <v>178116.80701873807</v>
      </c>
      <c r="E59" s="177">
        <f t="shared" si="8"/>
        <v>31725596942.550377</v>
      </c>
      <c r="F59" s="177">
        <f t="shared" si="10"/>
        <v>9.6944579368971646E-7</v>
      </c>
      <c r="G59" s="177">
        <f t="shared" si="10"/>
        <v>2.0574298680161101E-6</v>
      </c>
      <c r="H59" s="177">
        <f t="shared" si="10"/>
        <v>3.1118514640680294E-6</v>
      </c>
      <c r="I59" s="177">
        <f t="shared" si="10"/>
        <v>3.3617056526655457E-6</v>
      </c>
      <c r="J59" s="177">
        <f t="shared" si="10"/>
        <v>-4.5414464317150782E-9</v>
      </c>
      <c r="K59" s="177">
        <f t="shared" si="10"/>
        <v>-4.5414464317150782E-9</v>
      </c>
      <c r="L59" s="177">
        <f t="shared" si="10"/>
        <v>-4.5414464317150782E-9</v>
      </c>
      <c r="M59" s="177">
        <f t="shared" si="10"/>
        <v>-4.5414464317150782E-9</v>
      </c>
      <c r="P59" s="139"/>
      <c r="Q59" s="139"/>
      <c r="R59" s="139"/>
      <c r="S59" s="139"/>
      <c r="T59" s="139"/>
      <c r="U59" s="139"/>
      <c r="V59" s="139"/>
      <c r="W59" s="139"/>
    </row>
    <row r="60" spans="1:23">
      <c r="A60">
        <f t="shared" ref="A60:E67" si="11">A38</f>
        <v>11</v>
      </c>
      <c r="B60" s="176" t="str">
        <f t="shared" si="11"/>
        <v>Wyatt</v>
      </c>
      <c r="C60" s="176">
        <f t="shared" si="11"/>
        <v>90</v>
      </c>
      <c r="D60" s="176">
        <f t="shared" si="11"/>
        <v>193930.21876048925</v>
      </c>
      <c r="E60" s="176">
        <f t="shared" si="11"/>
        <v>37608929748.491219</v>
      </c>
      <c r="F60" s="176">
        <f t="shared" si="10"/>
        <v>8.3799915302875726E-7</v>
      </c>
      <c r="G60" s="176">
        <f t="shared" si="10"/>
        <v>1.1625328463482538E-6</v>
      </c>
      <c r="H60" s="176">
        <f t="shared" si="10"/>
        <v>1.5985145632238147E-6</v>
      </c>
      <c r="I60" s="176">
        <f t="shared" si="10"/>
        <v>1.8291084394184406E-6</v>
      </c>
      <c r="J60" s="176">
        <f t="shared" si="10"/>
        <v>-7.625008312833755E-9</v>
      </c>
      <c r="K60" s="176">
        <f t="shared" si="10"/>
        <v>-7.625008312833755E-9</v>
      </c>
      <c r="L60" s="176">
        <f t="shared" si="10"/>
        <v>-7.625008312833755E-9</v>
      </c>
      <c r="M60" s="176">
        <f t="shared" si="10"/>
        <v>-7.625008312833755E-9</v>
      </c>
      <c r="P60" s="139"/>
      <c r="Q60" s="139"/>
      <c r="R60" s="139"/>
      <c r="S60" s="139"/>
      <c r="T60" s="139"/>
      <c r="U60" s="139"/>
      <c r="V60" s="139"/>
      <c r="W60" s="139"/>
    </row>
    <row r="61" spans="1:23">
      <c r="A61">
        <f t="shared" si="11"/>
        <v>12</v>
      </c>
      <c r="B61" s="177" t="str">
        <f t="shared" si="11"/>
        <v>Fiber/APD</v>
      </c>
      <c r="C61" s="177">
        <f t="shared" si="11"/>
        <v>99</v>
      </c>
      <c r="D61" s="177">
        <f t="shared" si="11"/>
        <v>208547.98621524032</v>
      </c>
      <c r="E61" s="177">
        <f t="shared" si="11"/>
        <v>43492262554.432068</v>
      </c>
      <c r="F61" s="177">
        <f t="shared" si="10"/>
        <v>6.5927951324528178E-7</v>
      </c>
      <c r="G61" s="177">
        <f t="shared" si="10"/>
        <v>2.2111809585574598E-6</v>
      </c>
      <c r="H61" s="177">
        <f t="shared" si="10"/>
        <v>3.5998685394357052E-6</v>
      </c>
      <c r="I61" s="177">
        <f t="shared" si="10"/>
        <v>4.0925047699564214E-6</v>
      </c>
      <c r="J61" s="177">
        <f t="shared" si="10"/>
        <v>-2.6841444378241068E-8</v>
      </c>
      <c r="K61" s="177">
        <f t="shared" si="10"/>
        <v>-2.6841444378241068E-8</v>
      </c>
      <c r="L61" s="177">
        <f t="shared" si="10"/>
        <v>-2.6841444378241068E-8</v>
      </c>
      <c r="M61" s="177">
        <f t="shared" si="10"/>
        <v>-2.6841444378241068E-8</v>
      </c>
      <c r="P61" s="139"/>
      <c r="Q61" s="139"/>
      <c r="R61" s="139"/>
      <c r="S61" s="139"/>
      <c r="T61" s="139"/>
      <c r="U61" s="139"/>
      <c r="V61" s="139"/>
      <c r="W61" s="139"/>
    </row>
    <row r="62" spans="1:23">
      <c r="A62">
        <f t="shared" si="11"/>
        <v>13</v>
      </c>
      <c r="B62" s="54" t="str">
        <f t="shared" si="11"/>
        <v>Blank</v>
      </c>
      <c r="C62" s="54">
        <f t="shared" si="11"/>
        <v>108</v>
      </c>
      <c r="D62" s="54">
        <f t="shared" si="11"/>
        <v>221879.98598573179</v>
      </c>
      <c r="E62" s="54">
        <f t="shared" si="11"/>
        <v>49230728181.028534</v>
      </c>
      <c r="F62" s="54"/>
      <c r="G62" s="54"/>
      <c r="H62" s="54"/>
      <c r="I62" s="54"/>
      <c r="J62" s="54"/>
      <c r="K62" s="54"/>
      <c r="L62" s="54"/>
      <c r="M62" s="54"/>
      <c r="P62" s="139"/>
      <c r="Q62" s="139"/>
      <c r="R62" s="139"/>
      <c r="S62" s="139"/>
      <c r="T62" s="139"/>
      <c r="U62" s="139"/>
      <c r="V62" s="139"/>
      <c r="W62" s="139"/>
    </row>
    <row r="63" spans="1:23">
      <c r="A63">
        <f t="shared" si="11"/>
        <v>14</v>
      </c>
      <c r="B63" s="177" t="str">
        <f t="shared" si="11"/>
        <v>Fiber/APD</v>
      </c>
      <c r="C63" s="177">
        <f t="shared" si="11"/>
        <v>117</v>
      </c>
      <c r="D63" s="177">
        <f t="shared" si="11"/>
        <v>233844.02186003872</v>
      </c>
      <c r="E63" s="177">
        <f t="shared" si="11"/>
        <v>54683026559.678268</v>
      </c>
      <c r="F63" s="177">
        <f t="shared" ref="F63:M67" si="12">Koptical*F$5/F41</f>
        <v>6.3508371687251908E-7</v>
      </c>
      <c r="G63" s="177">
        <f t="shared" si="12"/>
        <v>1.1358081931753252E-6</v>
      </c>
      <c r="H63" s="177">
        <f t="shared" si="12"/>
        <v>1.7362116118884604E-6</v>
      </c>
      <c r="I63" s="177">
        <f t="shared" si="12"/>
        <v>2.0197388731324503E-6</v>
      </c>
      <c r="J63" s="177">
        <f t="shared" si="12"/>
        <v>-1.5282932516526842E-8</v>
      </c>
      <c r="K63" s="177">
        <f t="shared" si="12"/>
        <v>-1.5282932516526842E-8</v>
      </c>
      <c r="L63" s="177">
        <f t="shared" si="12"/>
        <v>-1.5282932516526842E-8</v>
      </c>
      <c r="M63" s="177">
        <f t="shared" si="12"/>
        <v>-1.5282932516526842E-8</v>
      </c>
      <c r="P63" s="139"/>
      <c r="Q63" s="139"/>
      <c r="R63" s="139"/>
      <c r="S63" s="139"/>
      <c r="T63" s="139"/>
      <c r="U63" s="139"/>
      <c r="V63" s="139"/>
      <c r="W63" s="139"/>
    </row>
    <row r="64" spans="1:23">
      <c r="A64">
        <f t="shared" si="11"/>
        <v>15</v>
      </c>
      <c r="B64" s="176" t="str">
        <f t="shared" si="11"/>
        <v>Wyatt</v>
      </c>
      <c r="C64" s="176">
        <f t="shared" si="11"/>
        <v>126</v>
      </c>
      <c r="D64" s="176">
        <f t="shared" si="11"/>
        <v>244366.33157855037</v>
      </c>
      <c r="E64" s="176">
        <f t="shared" si="11"/>
        <v>59714904009.15802</v>
      </c>
      <c r="F64" s="176">
        <f t="shared" si="12"/>
        <v>9.7390415396671408E-7</v>
      </c>
      <c r="G64" s="176">
        <f t="shared" si="12"/>
        <v>1.2818731324224987E-6</v>
      </c>
      <c r="H64" s="176">
        <f t="shared" si="12"/>
        <v>1.7429735006493419E-6</v>
      </c>
      <c r="I64" s="176">
        <f t="shared" si="12"/>
        <v>1.8800144676726827E-6</v>
      </c>
      <c r="J64" s="176">
        <f t="shared" si="12"/>
        <v>-5.9603860375054897E-9</v>
      </c>
      <c r="K64" s="176">
        <f t="shared" si="12"/>
        <v>-5.9603860375054897E-9</v>
      </c>
      <c r="L64" s="176">
        <f t="shared" si="12"/>
        <v>-5.9603860375054897E-9</v>
      </c>
      <c r="M64" s="176">
        <f t="shared" si="12"/>
        <v>-5.9603860375054897E-9</v>
      </c>
      <c r="P64" s="139"/>
      <c r="Q64" s="139"/>
      <c r="R64" s="139"/>
      <c r="S64" s="139"/>
      <c r="T64" s="139"/>
      <c r="U64" s="139"/>
      <c r="V64" s="139"/>
      <c r="W64" s="139"/>
    </row>
    <row r="65" spans="1:23">
      <c r="A65">
        <f t="shared" si="11"/>
        <v>16</v>
      </c>
      <c r="B65" s="177" t="str">
        <f t="shared" si="11"/>
        <v>Fiber/APD</v>
      </c>
      <c r="C65" s="177">
        <f t="shared" si="11"/>
        <v>134</v>
      </c>
      <c r="D65" s="177">
        <f t="shared" si="11"/>
        <v>252456.50635760027</v>
      </c>
      <c r="E65" s="177">
        <f t="shared" si="11"/>
        <v>63734287602.285065</v>
      </c>
      <c r="F65" s="177">
        <f t="shared" si="12"/>
        <v>8.5589876105553125E-7</v>
      </c>
      <c r="G65" s="177">
        <f t="shared" si="12"/>
        <v>7.7932871813475499E-7</v>
      </c>
      <c r="H65" s="177">
        <f t="shared" si="12"/>
        <v>1.1866774583964995E-6</v>
      </c>
      <c r="I65" s="177">
        <f t="shared" si="12"/>
        <v>1.3335906243034321E-6</v>
      </c>
      <c r="J65" s="177">
        <f t="shared" si="12"/>
        <v>-8.235265501982857E-9</v>
      </c>
      <c r="K65" s="177">
        <f t="shared" si="12"/>
        <v>-8.235265501982857E-9</v>
      </c>
      <c r="L65" s="177">
        <f t="shared" si="12"/>
        <v>-8.235265501982857E-9</v>
      </c>
      <c r="M65" s="177">
        <f t="shared" si="12"/>
        <v>-8.235265501982857E-9</v>
      </c>
      <c r="P65" s="139"/>
      <c r="Q65" s="139"/>
      <c r="R65" s="139"/>
      <c r="S65" s="139"/>
      <c r="T65" s="139"/>
      <c r="U65" s="139"/>
      <c r="V65" s="139"/>
      <c r="W65" s="139"/>
    </row>
    <row r="66" spans="1:23">
      <c r="A66">
        <f t="shared" si="11"/>
        <v>17</v>
      </c>
      <c r="B66" s="176" t="str">
        <f t="shared" si="11"/>
        <v>Wyatt</v>
      </c>
      <c r="C66" s="176">
        <f t="shared" si="11"/>
        <v>141</v>
      </c>
      <c r="D66" s="176">
        <f t="shared" si="11"/>
        <v>258527.67282681772</v>
      </c>
      <c r="E66" s="176">
        <f t="shared" si="11"/>
        <v>66836557617.250107</v>
      </c>
      <c r="F66" s="176">
        <f t="shared" si="12"/>
        <v>9.2315370378231284E-7</v>
      </c>
      <c r="G66" s="176">
        <f t="shared" si="12"/>
        <v>1.2437175136346152E-6</v>
      </c>
      <c r="H66" s="176">
        <f t="shared" si="12"/>
        <v>1.6529509618773137E-6</v>
      </c>
      <c r="I66" s="176">
        <f t="shared" si="12"/>
        <v>1.7577255940417407E-6</v>
      </c>
      <c r="J66" s="176">
        <f t="shared" si="12"/>
        <v>-6.3886069465904018E-9</v>
      </c>
      <c r="K66" s="176">
        <f t="shared" si="12"/>
        <v>-6.3886069465904018E-9</v>
      </c>
      <c r="L66" s="176">
        <f t="shared" si="12"/>
        <v>-6.3886069465904018E-9</v>
      </c>
      <c r="M66" s="176">
        <f t="shared" si="12"/>
        <v>-6.3886069465904018E-9</v>
      </c>
      <c r="P66" s="139"/>
      <c r="Q66" s="139"/>
      <c r="R66" s="139"/>
      <c r="S66" s="139"/>
      <c r="T66" s="139"/>
      <c r="U66" s="139"/>
      <c r="V66" s="139"/>
      <c r="W66" s="139"/>
    </row>
    <row r="67" spans="1:23">
      <c r="A67">
        <f t="shared" si="11"/>
        <v>18</v>
      </c>
      <c r="B67" s="177" t="str">
        <f t="shared" si="11"/>
        <v>Fiber/APD</v>
      </c>
      <c r="C67" s="177">
        <f t="shared" si="11"/>
        <v>147</v>
      </c>
      <c r="D67" s="177">
        <f t="shared" si="11"/>
        <v>262964.69766962621</v>
      </c>
      <c r="E67" s="177">
        <f t="shared" si="11"/>
        <v>69150432220.477921</v>
      </c>
      <c r="F67" s="177">
        <f t="shared" si="12"/>
        <v>6.7797559905473115E-7</v>
      </c>
      <c r="G67" s="177">
        <f t="shared" si="12"/>
        <v>1.3679405959316914E-6</v>
      </c>
      <c r="H67" s="177">
        <f t="shared" si="12"/>
        <v>1.9711311450078154E-6</v>
      </c>
      <c r="I67" s="177">
        <f t="shared" si="12"/>
        <v>2.1281873869691094E-6</v>
      </c>
      <c r="J67" s="177">
        <f t="shared" si="12"/>
        <v>-1.0245790904654986E-8</v>
      </c>
      <c r="K67" s="177">
        <f t="shared" si="12"/>
        <v>-1.0245790904654986E-8</v>
      </c>
      <c r="L67" s="177">
        <f t="shared" si="12"/>
        <v>-1.0245790904654986E-8</v>
      </c>
      <c r="M67" s="177">
        <f t="shared" si="12"/>
        <v>-1.0245790904654986E-8</v>
      </c>
      <c r="P67" s="139"/>
      <c r="Q67" s="139"/>
      <c r="R67" s="139"/>
      <c r="S67" s="139"/>
      <c r="T67" s="139"/>
      <c r="U67" s="139"/>
      <c r="V67" s="139"/>
      <c r="W67" s="139"/>
    </row>
    <row r="68" spans="1:23">
      <c r="B68" s="139"/>
      <c r="C68" s="139"/>
      <c r="D68" s="139"/>
      <c r="E68" s="139"/>
      <c r="F68" s="139"/>
      <c r="G68" s="139"/>
      <c r="H68" s="139"/>
      <c r="I68" s="139"/>
      <c r="J68" s="139"/>
      <c r="K68" s="139"/>
      <c r="L68" s="139"/>
      <c r="M68" s="139"/>
      <c r="N68" s="139"/>
      <c r="P68" s="139"/>
      <c r="Q68" s="139"/>
      <c r="R68" s="139"/>
      <c r="S68" s="139"/>
      <c r="T68" s="139"/>
      <c r="U68" s="139"/>
      <c r="V68" s="139"/>
      <c r="W68" s="139"/>
    </row>
    <row r="69" spans="1:23" ht="15.75">
      <c r="B69" s="139"/>
      <c r="C69" s="139"/>
      <c r="D69" s="139"/>
      <c r="E69" s="241" t="s">
        <v>324</v>
      </c>
      <c r="F69" s="139"/>
      <c r="G69" s="139"/>
      <c r="H69" s="139"/>
      <c r="I69" s="139"/>
      <c r="J69" s="139"/>
      <c r="K69" s="139"/>
      <c r="L69" s="139"/>
      <c r="M69" s="139"/>
      <c r="P69" s="139"/>
      <c r="Q69" s="139"/>
      <c r="R69" s="139"/>
      <c r="S69" s="139"/>
      <c r="T69" s="139"/>
      <c r="U69" s="139"/>
      <c r="V69" s="139"/>
      <c r="W69" s="139"/>
    </row>
    <row r="70" spans="1:23" ht="16.5">
      <c r="A70" s="65" t="s">
        <v>137</v>
      </c>
      <c r="B70" s="65" t="s">
        <v>138</v>
      </c>
      <c r="C70" s="65" t="s">
        <v>136</v>
      </c>
      <c r="E70" s="67" t="s">
        <v>317</v>
      </c>
      <c r="F70" s="67" t="s">
        <v>318</v>
      </c>
    </row>
    <row r="71" spans="1:23">
      <c r="A71">
        <f>A28</f>
        <v>1</v>
      </c>
      <c r="B71" s="176" t="str">
        <f>B28</f>
        <v>Wyatt</v>
      </c>
      <c r="C71" s="176">
        <f>C28</f>
        <v>22.5</v>
      </c>
      <c r="D71" s="176"/>
      <c r="E71" s="176">
        <f>E50/10000000000</f>
        <v>0.28628093142053257</v>
      </c>
      <c r="F71" s="176">
        <f t="shared" ref="F71:M73" si="13">$E71+kscale*F$49</f>
        <v>13.291280931420534</v>
      </c>
      <c r="G71" s="176">
        <f t="shared" si="13"/>
        <v>24.426280931420532</v>
      </c>
      <c r="H71" s="176">
        <f t="shared" si="13"/>
        <v>41.16628093142053</v>
      </c>
      <c r="I71" s="176">
        <f t="shared" si="13"/>
        <v>51.461280931420532</v>
      </c>
      <c r="J71" s="176">
        <f t="shared" si="13"/>
        <v>0.33628093142053256</v>
      </c>
      <c r="K71" s="176">
        <f t="shared" si="13"/>
        <v>0.33628093142053256</v>
      </c>
      <c r="L71" s="176">
        <f t="shared" si="13"/>
        <v>0.33628093142053256</v>
      </c>
      <c r="M71" s="176">
        <f t="shared" si="13"/>
        <v>0.33628093142053256</v>
      </c>
    </row>
    <row r="72" spans="1:23">
      <c r="A72">
        <f t="shared" ref="A72:A87" si="14">A29</f>
        <v>2</v>
      </c>
      <c r="B72" s="176" t="str">
        <f>B29</f>
        <v>Wyatt</v>
      </c>
      <c r="C72" s="176">
        <f>C29</f>
        <v>28</v>
      </c>
      <c r="D72" s="176"/>
      <c r="E72" s="176">
        <f>E51/10000000000</f>
        <v>0.44022157570604104</v>
      </c>
      <c r="F72" s="176">
        <f t="shared" si="13"/>
        <v>13.445221575706041</v>
      </c>
      <c r="G72" s="176">
        <f t="shared" si="13"/>
        <v>24.580221575706041</v>
      </c>
      <c r="H72" s="176">
        <f t="shared" si="13"/>
        <v>41.320221575706036</v>
      </c>
      <c r="I72" s="176">
        <f t="shared" si="13"/>
        <v>51.615221575706038</v>
      </c>
      <c r="J72" s="176">
        <f t="shared" si="13"/>
        <v>0.49022157570604102</v>
      </c>
      <c r="K72" s="176">
        <f t="shared" si="13"/>
        <v>0.49022157570604102</v>
      </c>
      <c r="L72" s="176">
        <f t="shared" si="13"/>
        <v>0.49022157570604102</v>
      </c>
      <c r="M72" s="176">
        <f t="shared" si="13"/>
        <v>0.49022157570604102</v>
      </c>
    </row>
    <row r="73" spans="1:23">
      <c r="A73">
        <f t="shared" si="14"/>
        <v>3</v>
      </c>
      <c r="B73" s="176" t="str">
        <f t="shared" ref="B73:C88" si="15">B30</f>
        <v>Wyatt</v>
      </c>
      <c r="C73" s="176">
        <f t="shared" si="15"/>
        <v>32</v>
      </c>
      <c r="D73" s="176"/>
      <c r="E73" s="176">
        <f>E52/10000000000</f>
        <v>0.57147484768024681</v>
      </c>
      <c r="F73" s="176">
        <f t="shared" si="13"/>
        <v>13.576474847680247</v>
      </c>
      <c r="G73" s="176">
        <f t="shared" si="13"/>
        <v>24.711474847680247</v>
      </c>
      <c r="H73" s="176">
        <f t="shared" si="13"/>
        <v>41.451474847680245</v>
      </c>
      <c r="I73" s="176">
        <f t="shared" si="13"/>
        <v>51.746474847680247</v>
      </c>
      <c r="J73" s="176">
        <f t="shared" si="13"/>
        <v>0.62147484768024686</v>
      </c>
      <c r="K73" s="176">
        <f t="shared" si="13"/>
        <v>0.62147484768024686</v>
      </c>
      <c r="L73" s="176">
        <f t="shared" si="13"/>
        <v>0.62147484768024686</v>
      </c>
      <c r="M73" s="176">
        <f t="shared" si="13"/>
        <v>0.62147484768024686</v>
      </c>
    </row>
    <row r="74" spans="1:23">
      <c r="A74">
        <f t="shared" si="14"/>
        <v>4</v>
      </c>
      <c r="B74" s="54" t="str">
        <f t="shared" si="15"/>
        <v>Blank</v>
      </c>
      <c r="C74" s="54">
        <f t="shared" si="15"/>
        <v>38</v>
      </c>
      <c r="D74" s="54"/>
      <c r="E74" s="54">
        <f>E53/10000000000</f>
        <v>0.79726886750403925</v>
      </c>
      <c r="F74" s="54"/>
      <c r="G74" s="54"/>
      <c r="H74" s="54"/>
      <c r="I74" s="54"/>
      <c r="J74" s="54"/>
      <c r="K74" s="54"/>
      <c r="L74" s="54"/>
      <c r="M74" s="54"/>
    </row>
    <row r="75" spans="1:23">
      <c r="A75">
        <f t="shared" si="14"/>
        <v>5</v>
      </c>
      <c r="B75" s="177" t="str">
        <f t="shared" si="15"/>
        <v>Fiber/APD</v>
      </c>
      <c r="C75" s="177">
        <f t="shared" si="15"/>
        <v>44</v>
      </c>
      <c r="D75" s="177"/>
      <c r="E75" s="177">
        <f t="shared" ref="E75:E82" si="16">E54/10000000000</f>
        <v>1.0555329732261189</v>
      </c>
      <c r="F75" s="177">
        <f t="shared" ref="F75:M82" si="17">$E75+kscale*F$49</f>
        <v>14.06053297322612</v>
      </c>
      <c r="G75" s="177">
        <f t="shared" si="17"/>
        <v>25.195532973226118</v>
      </c>
      <c r="H75" s="177">
        <f t="shared" si="17"/>
        <v>41.935532973226117</v>
      </c>
      <c r="I75" s="177">
        <f t="shared" si="17"/>
        <v>52.230532973226119</v>
      </c>
      <c r="J75" s="177">
        <f t="shared" si="17"/>
        <v>1.105532973226119</v>
      </c>
      <c r="K75" s="177">
        <f t="shared" si="17"/>
        <v>1.105532973226119</v>
      </c>
      <c r="L75" s="177">
        <f t="shared" si="17"/>
        <v>1.105532973226119</v>
      </c>
      <c r="M75" s="177">
        <f t="shared" si="17"/>
        <v>1.105532973226119</v>
      </c>
    </row>
    <row r="76" spans="1:23">
      <c r="A76">
        <f t="shared" si="14"/>
        <v>6</v>
      </c>
      <c r="B76" s="177" t="str">
        <f t="shared" si="15"/>
        <v>Fiber/APD</v>
      </c>
      <c r="C76" s="177">
        <f t="shared" si="15"/>
        <v>50</v>
      </c>
      <c r="D76" s="177"/>
      <c r="E76" s="177">
        <f t="shared" si="16"/>
        <v>1.3434375692589571</v>
      </c>
      <c r="F76" s="177">
        <f t="shared" si="17"/>
        <v>14.348437569258959</v>
      </c>
      <c r="G76" s="177">
        <f t="shared" si="17"/>
        <v>25.483437569258957</v>
      </c>
      <c r="H76" s="177">
        <f t="shared" si="17"/>
        <v>42.223437569258955</v>
      </c>
      <c r="I76" s="177">
        <f t="shared" si="17"/>
        <v>52.518437569258957</v>
      </c>
      <c r="J76" s="177">
        <f t="shared" si="17"/>
        <v>1.3934375692589571</v>
      </c>
      <c r="K76" s="177">
        <f t="shared" si="17"/>
        <v>1.3934375692589571</v>
      </c>
      <c r="L76" s="177">
        <f t="shared" si="17"/>
        <v>1.3934375692589571</v>
      </c>
      <c r="M76" s="177">
        <f t="shared" si="17"/>
        <v>1.3934375692589571</v>
      </c>
    </row>
    <row r="77" spans="1:23">
      <c r="A77">
        <f t="shared" si="14"/>
        <v>7</v>
      </c>
      <c r="B77" s="176" t="str">
        <f t="shared" si="15"/>
        <v>Wyatt</v>
      </c>
      <c r="C77" s="176">
        <f t="shared" si="15"/>
        <v>57</v>
      </c>
      <c r="D77" s="176"/>
      <c r="E77" s="176">
        <f t="shared" si="16"/>
        <v>1.7125638542325019</v>
      </c>
      <c r="F77" s="176">
        <f t="shared" si="17"/>
        <v>14.717563854232502</v>
      </c>
      <c r="G77" s="176">
        <f t="shared" si="17"/>
        <v>25.852563854232503</v>
      </c>
      <c r="H77" s="176">
        <f t="shared" si="17"/>
        <v>42.592563854232495</v>
      </c>
      <c r="I77" s="176">
        <f t="shared" si="17"/>
        <v>52.887563854232496</v>
      </c>
      <c r="J77" s="176">
        <f t="shared" si="17"/>
        <v>1.7625638542325019</v>
      </c>
      <c r="K77" s="176">
        <f t="shared" si="17"/>
        <v>1.7625638542325019</v>
      </c>
      <c r="L77" s="176">
        <f t="shared" si="17"/>
        <v>1.7625638542325019</v>
      </c>
      <c r="M77" s="176">
        <f t="shared" si="17"/>
        <v>1.7625638542325019</v>
      </c>
    </row>
    <row r="78" spans="1:23">
      <c r="A78">
        <f t="shared" si="14"/>
        <v>8</v>
      </c>
      <c r="B78" s="177" t="str">
        <f t="shared" si="15"/>
        <v>Fiber/APD</v>
      </c>
      <c r="C78" s="177">
        <f t="shared" si="15"/>
        <v>64</v>
      </c>
      <c r="D78" s="177"/>
      <c r="E78" s="177">
        <f t="shared" si="16"/>
        <v>2.1122260085135278</v>
      </c>
      <c r="F78" s="177">
        <f t="shared" si="17"/>
        <v>15.117226008513528</v>
      </c>
      <c r="G78" s="177">
        <f t="shared" si="17"/>
        <v>26.252226008513528</v>
      </c>
      <c r="H78" s="177">
        <f t="shared" si="17"/>
        <v>42.992226008513526</v>
      </c>
      <c r="I78" s="177">
        <f t="shared" si="17"/>
        <v>53.287226008513528</v>
      </c>
      <c r="J78" s="177">
        <f t="shared" si="17"/>
        <v>2.1622260085135276</v>
      </c>
      <c r="K78" s="177">
        <f t="shared" si="17"/>
        <v>2.1622260085135276</v>
      </c>
      <c r="L78" s="177">
        <f t="shared" si="17"/>
        <v>2.1622260085135276</v>
      </c>
      <c r="M78" s="177">
        <f t="shared" si="17"/>
        <v>2.1622260085135276</v>
      </c>
    </row>
    <row r="79" spans="1:23">
      <c r="A79">
        <f t="shared" si="14"/>
        <v>9</v>
      </c>
      <c r="B79" s="176" t="str">
        <f t="shared" si="15"/>
        <v>Wyatt</v>
      </c>
      <c r="C79" s="176">
        <f t="shared" si="15"/>
        <v>72</v>
      </c>
      <c r="D79" s="176"/>
      <c r="E79" s="176">
        <f t="shared" si="16"/>
        <v>2.5987131315953915</v>
      </c>
      <c r="F79" s="176">
        <f t="shared" si="17"/>
        <v>15.603713131595391</v>
      </c>
      <c r="G79" s="176">
        <f t="shared" si="17"/>
        <v>26.738713131595393</v>
      </c>
      <c r="H79" s="176">
        <f t="shared" si="17"/>
        <v>43.478713131595384</v>
      </c>
      <c r="I79" s="176">
        <f t="shared" si="17"/>
        <v>53.773713131595386</v>
      </c>
      <c r="J79" s="176">
        <f t="shared" si="17"/>
        <v>2.6487131315953913</v>
      </c>
      <c r="K79" s="176">
        <f t="shared" si="17"/>
        <v>2.6487131315953913</v>
      </c>
      <c r="L79" s="176">
        <f t="shared" si="17"/>
        <v>2.6487131315953913</v>
      </c>
      <c r="M79" s="176">
        <f t="shared" si="17"/>
        <v>2.6487131315953913</v>
      </c>
    </row>
    <row r="80" spans="1:23">
      <c r="A80">
        <f t="shared" si="14"/>
        <v>10</v>
      </c>
      <c r="B80" s="177" t="str">
        <f t="shared" si="15"/>
        <v>Fiber/APD</v>
      </c>
      <c r="C80" s="177">
        <f t="shared" si="15"/>
        <v>81</v>
      </c>
      <c r="D80" s="177"/>
      <c r="E80" s="177">
        <f t="shared" si="16"/>
        <v>3.1725596942550376</v>
      </c>
      <c r="F80" s="177">
        <f t="shared" si="17"/>
        <v>16.177559694255038</v>
      </c>
      <c r="G80" s="177">
        <f t="shared" si="17"/>
        <v>27.312559694255039</v>
      </c>
      <c r="H80" s="177">
        <f t="shared" si="17"/>
        <v>44.052559694255031</v>
      </c>
      <c r="I80" s="177">
        <f t="shared" si="17"/>
        <v>54.347559694255033</v>
      </c>
      <c r="J80" s="177">
        <f t="shared" si="17"/>
        <v>3.2225596942550374</v>
      </c>
      <c r="K80" s="177">
        <f t="shared" si="17"/>
        <v>3.2225596942550374</v>
      </c>
      <c r="L80" s="177">
        <f t="shared" si="17"/>
        <v>3.2225596942550374</v>
      </c>
      <c r="M80" s="177">
        <f t="shared" si="17"/>
        <v>3.2225596942550374</v>
      </c>
    </row>
    <row r="81" spans="1:18">
      <c r="A81">
        <f t="shared" si="14"/>
        <v>11</v>
      </c>
      <c r="B81" s="176" t="str">
        <f t="shared" si="15"/>
        <v>Wyatt</v>
      </c>
      <c r="C81" s="176">
        <f t="shared" si="15"/>
        <v>90</v>
      </c>
      <c r="D81" s="176"/>
      <c r="E81" s="176">
        <f t="shared" si="16"/>
        <v>3.760892974849122</v>
      </c>
      <c r="F81" s="176">
        <f t="shared" si="17"/>
        <v>16.765892974849123</v>
      </c>
      <c r="G81" s="176">
        <f t="shared" si="17"/>
        <v>27.900892974849121</v>
      </c>
      <c r="H81" s="176">
        <f t="shared" si="17"/>
        <v>44.640892974849116</v>
      </c>
      <c r="I81" s="176">
        <f t="shared" si="17"/>
        <v>54.935892974849118</v>
      </c>
      <c r="J81" s="176">
        <f t="shared" si="17"/>
        <v>3.8108929748491218</v>
      </c>
      <c r="K81" s="176">
        <f t="shared" si="17"/>
        <v>3.8108929748491218</v>
      </c>
      <c r="L81" s="176">
        <f t="shared" si="17"/>
        <v>3.8108929748491218</v>
      </c>
      <c r="M81" s="176">
        <f t="shared" si="17"/>
        <v>3.8108929748491218</v>
      </c>
    </row>
    <row r="82" spans="1:18">
      <c r="A82">
        <f t="shared" si="14"/>
        <v>12</v>
      </c>
      <c r="B82" s="177" t="str">
        <f t="shared" si="15"/>
        <v>Fiber/APD</v>
      </c>
      <c r="C82" s="177">
        <f t="shared" si="15"/>
        <v>99</v>
      </c>
      <c r="D82" s="177"/>
      <c r="E82" s="177">
        <f t="shared" si="16"/>
        <v>4.3492262554432068</v>
      </c>
      <c r="F82" s="177">
        <f t="shared" si="17"/>
        <v>17.354226255443209</v>
      </c>
      <c r="G82" s="177">
        <f t="shared" si="17"/>
        <v>28.489226255443207</v>
      </c>
      <c r="H82" s="177">
        <f t="shared" si="17"/>
        <v>45.229226255443201</v>
      </c>
      <c r="I82" s="177">
        <f t="shared" si="17"/>
        <v>55.524226255443203</v>
      </c>
      <c r="J82" s="177">
        <f t="shared" si="17"/>
        <v>4.3992262554432067</v>
      </c>
      <c r="K82" s="177">
        <f t="shared" si="17"/>
        <v>4.3992262554432067</v>
      </c>
      <c r="L82" s="177">
        <f t="shared" si="17"/>
        <v>4.3992262554432067</v>
      </c>
      <c r="M82" s="177">
        <f t="shared" si="17"/>
        <v>4.3992262554432067</v>
      </c>
    </row>
    <row r="83" spans="1:18">
      <c r="A83">
        <f t="shared" si="14"/>
        <v>13</v>
      </c>
      <c r="B83" s="54" t="str">
        <f t="shared" si="15"/>
        <v>Blank</v>
      </c>
      <c r="C83" s="54">
        <f t="shared" si="15"/>
        <v>108</v>
      </c>
      <c r="D83" s="54"/>
      <c r="E83" s="54">
        <f t="shared" ref="E83:E88" si="18">E62/10000000000</f>
        <v>4.9230728181028534</v>
      </c>
      <c r="F83" s="54"/>
      <c r="G83" s="54"/>
      <c r="H83" s="54"/>
      <c r="I83" s="54"/>
      <c r="J83" s="54"/>
      <c r="K83" s="54"/>
      <c r="L83" s="54"/>
      <c r="M83" s="54"/>
    </row>
    <row r="84" spans="1:18">
      <c r="A84">
        <f t="shared" si="14"/>
        <v>14</v>
      </c>
      <c r="B84" s="177" t="str">
        <f t="shared" si="15"/>
        <v>Fiber/APD</v>
      </c>
      <c r="C84" s="177">
        <f t="shared" si="15"/>
        <v>117</v>
      </c>
      <c r="D84" s="177"/>
      <c r="E84" s="177">
        <f t="shared" si="18"/>
        <v>5.4683026559678272</v>
      </c>
      <c r="F84" s="177">
        <f t="shared" ref="F84:M88" si="19">$E84+kscale*F$49</f>
        <v>18.473302655967828</v>
      </c>
      <c r="G84" s="177">
        <f t="shared" si="19"/>
        <v>29.608302655967826</v>
      </c>
      <c r="H84" s="177">
        <f t="shared" si="19"/>
        <v>46.348302655967821</v>
      </c>
      <c r="I84" s="177">
        <f t="shared" si="19"/>
        <v>56.643302655967823</v>
      </c>
      <c r="J84" s="177">
        <f t="shared" si="19"/>
        <v>5.518302655967827</v>
      </c>
      <c r="K84" s="177">
        <f t="shared" si="19"/>
        <v>5.518302655967827</v>
      </c>
      <c r="L84" s="177">
        <f t="shared" si="19"/>
        <v>5.518302655967827</v>
      </c>
      <c r="M84" s="177">
        <f t="shared" si="19"/>
        <v>5.518302655967827</v>
      </c>
    </row>
    <row r="85" spans="1:18">
      <c r="A85">
        <f t="shared" si="14"/>
        <v>15</v>
      </c>
      <c r="B85" s="176" t="str">
        <f t="shared" si="15"/>
        <v>Wyatt</v>
      </c>
      <c r="C85" s="176">
        <f t="shared" si="15"/>
        <v>126</v>
      </c>
      <c r="D85" s="176"/>
      <c r="E85" s="176">
        <f t="shared" si="18"/>
        <v>5.9714904009158021</v>
      </c>
      <c r="F85" s="176">
        <f t="shared" si="19"/>
        <v>18.976490400915804</v>
      </c>
      <c r="G85" s="176">
        <f t="shared" si="19"/>
        <v>30.111490400915802</v>
      </c>
      <c r="H85" s="176">
        <f t="shared" si="19"/>
        <v>46.8514904009158</v>
      </c>
      <c r="I85" s="176">
        <f t="shared" si="19"/>
        <v>57.146490400915802</v>
      </c>
      <c r="J85" s="176">
        <f t="shared" si="19"/>
        <v>6.0214904009158019</v>
      </c>
      <c r="K85" s="176">
        <f t="shared" si="19"/>
        <v>6.0214904009158019</v>
      </c>
      <c r="L85" s="176">
        <f t="shared" si="19"/>
        <v>6.0214904009158019</v>
      </c>
      <c r="M85" s="176">
        <f t="shared" si="19"/>
        <v>6.0214904009158019</v>
      </c>
    </row>
    <row r="86" spans="1:18">
      <c r="A86">
        <f t="shared" si="14"/>
        <v>16</v>
      </c>
      <c r="B86" s="177" t="str">
        <f t="shared" si="15"/>
        <v>Fiber/APD</v>
      </c>
      <c r="C86" s="177">
        <f t="shared" si="15"/>
        <v>134</v>
      </c>
      <c r="D86" s="177"/>
      <c r="E86" s="177">
        <f t="shared" si="18"/>
        <v>6.3734287602285065</v>
      </c>
      <c r="F86" s="177">
        <f t="shared" si="19"/>
        <v>19.378428760228509</v>
      </c>
      <c r="G86" s="177">
        <f t="shared" si="19"/>
        <v>30.513428760228507</v>
      </c>
      <c r="H86" s="177">
        <f t="shared" si="19"/>
        <v>47.253428760228502</v>
      </c>
      <c r="I86" s="177">
        <f t="shared" si="19"/>
        <v>57.548428760228504</v>
      </c>
      <c r="J86" s="177">
        <f t="shared" si="19"/>
        <v>6.4234287602285063</v>
      </c>
      <c r="K86" s="177">
        <f t="shared" si="19"/>
        <v>6.4234287602285063</v>
      </c>
      <c r="L86" s="177">
        <f t="shared" si="19"/>
        <v>6.4234287602285063</v>
      </c>
      <c r="M86" s="177">
        <f t="shared" si="19"/>
        <v>6.4234287602285063</v>
      </c>
    </row>
    <row r="87" spans="1:18">
      <c r="A87">
        <f t="shared" si="14"/>
        <v>17</v>
      </c>
      <c r="B87" s="176" t="str">
        <f t="shared" si="15"/>
        <v>Wyatt</v>
      </c>
      <c r="C87" s="176">
        <f t="shared" si="15"/>
        <v>141</v>
      </c>
      <c r="D87" s="176"/>
      <c r="E87" s="176">
        <f t="shared" si="18"/>
        <v>6.683655761725011</v>
      </c>
      <c r="F87" s="176">
        <f t="shared" si="19"/>
        <v>19.688655761725013</v>
      </c>
      <c r="G87" s="176">
        <f t="shared" si="19"/>
        <v>30.823655761725011</v>
      </c>
      <c r="H87" s="176">
        <f t="shared" si="19"/>
        <v>47.563655761725009</v>
      </c>
      <c r="I87" s="176">
        <f t="shared" si="19"/>
        <v>57.858655761725011</v>
      </c>
      <c r="J87" s="176">
        <f t="shared" si="19"/>
        <v>6.7336557617250108</v>
      </c>
      <c r="K87" s="176">
        <f t="shared" si="19"/>
        <v>6.7336557617250108</v>
      </c>
      <c r="L87" s="176">
        <f t="shared" si="19"/>
        <v>6.7336557617250108</v>
      </c>
      <c r="M87" s="176">
        <f t="shared" si="19"/>
        <v>6.7336557617250108</v>
      </c>
    </row>
    <row r="88" spans="1:18">
      <c r="A88">
        <v>18</v>
      </c>
      <c r="B88" s="177" t="str">
        <f t="shared" si="15"/>
        <v>Fiber/APD</v>
      </c>
      <c r="C88" s="177">
        <f t="shared" si="15"/>
        <v>147</v>
      </c>
      <c r="D88" s="177"/>
      <c r="E88" s="177">
        <f t="shared" si="18"/>
        <v>6.9150432220477924</v>
      </c>
      <c r="F88" s="177">
        <f t="shared" si="19"/>
        <v>19.920043222047795</v>
      </c>
      <c r="G88" s="177">
        <f t="shared" si="19"/>
        <v>31.055043222047793</v>
      </c>
      <c r="H88" s="177">
        <f t="shared" si="19"/>
        <v>47.795043222047788</v>
      </c>
      <c r="I88" s="177">
        <f t="shared" si="19"/>
        <v>58.09004322204779</v>
      </c>
      <c r="J88" s="177">
        <f t="shared" si="19"/>
        <v>6.9650432220477922</v>
      </c>
      <c r="K88" s="177">
        <f t="shared" si="19"/>
        <v>6.9650432220477922</v>
      </c>
      <c r="L88" s="177">
        <f t="shared" si="19"/>
        <v>6.9650432220477922</v>
      </c>
      <c r="M88" s="177">
        <f t="shared" si="19"/>
        <v>6.9650432220477922</v>
      </c>
    </row>
    <row r="90" spans="1:18" ht="14.65" thickBot="1"/>
    <row r="91" spans="1:18" ht="15.75">
      <c r="F91" s="67" t="s">
        <v>367</v>
      </c>
      <c r="P91" s="266" t="s">
        <v>368</v>
      </c>
      <c r="Q91" s="219"/>
      <c r="R91" s="220"/>
    </row>
    <row r="92" spans="1:18" ht="15.75">
      <c r="F92" s="65" t="s">
        <v>255</v>
      </c>
      <c r="G92" s="65" t="s">
        <v>256</v>
      </c>
      <c r="H92" s="65" t="s">
        <v>257</v>
      </c>
      <c r="I92" s="65" t="s">
        <v>258</v>
      </c>
      <c r="J92" s="65" t="s">
        <v>259</v>
      </c>
      <c r="K92" s="65" t="s">
        <v>260</v>
      </c>
      <c r="L92" s="65" t="s">
        <v>261</v>
      </c>
      <c r="M92" s="65" t="s">
        <v>262</v>
      </c>
      <c r="P92" s="268" t="s">
        <v>369</v>
      </c>
      <c r="Q92" s="47">
        <v>13429915.332378406</v>
      </c>
      <c r="R92" s="269" t="s">
        <v>370</v>
      </c>
    </row>
    <row r="93" spans="1:18" ht="16.5">
      <c r="A93" s="65" t="s">
        <v>137</v>
      </c>
      <c r="B93" s="175" t="s">
        <v>138</v>
      </c>
      <c r="C93" s="65" t="s">
        <v>136</v>
      </c>
      <c r="D93" s="65"/>
      <c r="E93" s="65" t="s">
        <v>254</v>
      </c>
      <c r="F93" s="183">
        <f>F49</f>
        <v>2.601E-3</v>
      </c>
      <c r="G93" s="183">
        <f t="shared" ref="G93:M93" si="20">G49</f>
        <v>4.8279999999999998E-3</v>
      </c>
      <c r="H93" s="183">
        <f t="shared" si="20"/>
        <v>8.1759999999999992E-3</v>
      </c>
      <c r="I93" s="183">
        <f t="shared" si="20"/>
        <v>1.0234999999999999E-2</v>
      </c>
      <c r="J93" s="183">
        <f t="shared" si="20"/>
        <v>1.0000000000000001E-5</v>
      </c>
      <c r="K93" s="183">
        <f t="shared" si="20"/>
        <v>1.0000000000000001E-5</v>
      </c>
      <c r="L93" s="183">
        <f t="shared" si="20"/>
        <v>1.0000000000000001E-5</v>
      </c>
      <c r="M93" s="183">
        <f t="shared" si="20"/>
        <v>1.0000000000000001E-5</v>
      </c>
      <c r="O93" s="277"/>
      <c r="P93" s="270" t="s">
        <v>372</v>
      </c>
      <c r="Q93" s="267">
        <v>9.5954629520824219E-5</v>
      </c>
      <c r="R93" s="271" t="s">
        <v>371</v>
      </c>
    </row>
    <row r="94" spans="1:18" ht="15.75">
      <c r="A94">
        <v>1</v>
      </c>
      <c r="B94" s="176" t="str">
        <f>B28</f>
        <v>Wyatt</v>
      </c>
      <c r="C94" s="176">
        <f>C28</f>
        <v>22.5</v>
      </c>
      <c r="D94" s="176"/>
      <c r="E94" s="176">
        <f>E50</f>
        <v>2862809314.2053256</v>
      </c>
      <c r="F94" s="176">
        <f t="shared" ref="F94:M96" si="21">(1+($E94*Rgcm^2)/3)/MolWt+2*Virial2*F$93</f>
        <v>5.7361732656201066E-7</v>
      </c>
      <c r="G94" s="176">
        <f t="shared" si="21"/>
        <v>1.0009992464477618E-6</v>
      </c>
      <c r="H94" s="176">
        <f t="shared" si="21"/>
        <v>1.6435114457192006E-6</v>
      </c>
      <c r="I94" s="176">
        <f t="shared" si="21"/>
        <v>2.0386526100859551E-6</v>
      </c>
      <c r="J94" s="176">
        <f t="shared" si="21"/>
        <v>7.6380436385099579E-8</v>
      </c>
      <c r="K94" s="176">
        <f t="shared" si="21"/>
        <v>7.6380436385099579E-8</v>
      </c>
      <c r="L94" s="176">
        <f t="shared" si="21"/>
        <v>7.6380436385099579E-8</v>
      </c>
      <c r="M94" s="176">
        <f t="shared" si="21"/>
        <v>7.6380436385099579E-8</v>
      </c>
      <c r="P94" s="270" t="s">
        <v>373</v>
      </c>
      <c r="Q94" s="47">
        <v>1.0000000000000013</v>
      </c>
      <c r="R94" s="271" t="s">
        <v>19</v>
      </c>
    </row>
    <row r="95" spans="1:18" ht="15.75">
      <c r="A95">
        <v>2</v>
      </c>
      <c r="B95" s="176" t="str">
        <f t="shared" ref="B95:B111" si="22">B29</f>
        <v>Wyatt</v>
      </c>
      <c r="C95" s="176">
        <f t="shared" ref="C95:C111" si="23">C29</f>
        <v>28</v>
      </c>
      <c r="D95" s="176"/>
      <c r="E95" s="176">
        <f t="shared" ref="E95:E111" si="24">E51</f>
        <v>4402215757.0604105</v>
      </c>
      <c r="F95" s="176">
        <f t="shared" si="21"/>
        <v>5.7361770864593914E-7</v>
      </c>
      <c r="G95" s="176">
        <f t="shared" si="21"/>
        <v>1.0009996285316902E-6</v>
      </c>
      <c r="H95" s="176">
        <f t="shared" si="21"/>
        <v>1.6435118278031292E-6</v>
      </c>
      <c r="I95" s="176">
        <f t="shared" si="21"/>
        <v>2.0386529921698833E-6</v>
      </c>
      <c r="J95" s="176">
        <f t="shared" si="21"/>
        <v>7.6380818469028059E-8</v>
      </c>
      <c r="K95" s="176">
        <f t="shared" si="21"/>
        <v>7.6380818469028059E-8</v>
      </c>
      <c r="L95" s="176">
        <f t="shared" si="21"/>
        <v>7.6380818469028059E-8</v>
      </c>
      <c r="M95" s="176">
        <f t="shared" si="21"/>
        <v>7.6380818469028059E-8</v>
      </c>
      <c r="P95" s="270" t="s">
        <v>373</v>
      </c>
      <c r="Q95" s="248">
        <f>RadGy/10000000</f>
        <v>1.0000000000000013E-7</v>
      </c>
      <c r="R95" s="273" t="s">
        <v>374</v>
      </c>
    </row>
    <row r="96" spans="1:18">
      <c r="A96">
        <v>3</v>
      </c>
      <c r="B96" s="176" t="str">
        <f t="shared" si="22"/>
        <v>Wyatt</v>
      </c>
      <c r="C96" s="176">
        <f t="shared" si="23"/>
        <v>32</v>
      </c>
      <c r="D96" s="176"/>
      <c r="E96" s="176">
        <f t="shared" si="24"/>
        <v>5714748476.8024683</v>
      </c>
      <c r="F96" s="176">
        <f t="shared" si="21"/>
        <v>5.7361803441933074E-7</v>
      </c>
      <c r="G96" s="176">
        <f t="shared" si="21"/>
        <v>1.0009999543050816E-6</v>
      </c>
      <c r="H96" s="176">
        <f t="shared" si="21"/>
        <v>1.6435121535765206E-6</v>
      </c>
      <c r="I96" s="176">
        <f t="shared" si="21"/>
        <v>2.038653317943275E-6</v>
      </c>
      <c r="J96" s="176">
        <f t="shared" si="21"/>
        <v>7.6381144242419592E-8</v>
      </c>
      <c r="K96" s="176">
        <f t="shared" si="21"/>
        <v>7.6381144242419592E-8</v>
      </c>
      <c r="L96" s="176">
        <f t="shared" si="21"/>
        <v>7.6381144242419592E-8</v>
      </c>
      <c r="M96" s="176">
        <f t="shared" si="21"/>
        <v>7.6381144242419592E-8</v>
      </c>
      <c r="P96" s="272"/>
      <c r="Q96" s="1"/>
      <c r="R96" s="273"/>
    </row>
    <row r="97" spans="1:18" ht="14.65" thickBot="1">
      <c r="A97">
        <v>4</v>
      </c>
      <c r="B97" s="54" t="str">
        <f t="shared" si="22"/>
        <v>Blank</v>
      </c>
      <c r="C97" s="54">
        <f t="shared" si="23"/>
        <v>38</v>
      </c>
      <c r="D97" s="54"/>
      <c r="E97" s="54">
        <f t="shared" si="24"/>
        <v>7972688675.0403929</v>
      </c>
      <c r="F97" s="54"/>
      <c r="G97" s="54"/>
      <c r="H97" s="54"/>
      <c r="I97" s="54"/>
      <c r="J97" s="54"/>
      <c r="K97" s="54"/>
      <c r="L97" s="54"/>
      <c r="M97" s="54"/>
      <c r="P97" s="274"/>
      <c r="Q97" s="275"/>
      <c r="R97" s="276"/>
    </row>
    <row r="98" spans="1:18">
      <c r="A98">
        <v>5</v>
      </c>
      <c r="B98" s="177" t="str">
        <f t="shared" si="22"/>
        <v>Fiber/APD</v>
      </c>
      <c r="C98" s="177">
        <f t="shared" si="23"/>
        <v>44</v>
      </c>
      <c r="D98" s="177"/>
      <c r="E98" s="177">
        <f t="shared" si="24"/>
        <v>10555329732.261189</v>
      </c>
      <c r="F98" s="177">
        <f t="shared" ref="F98:M105" si="25">(1+($E98*Rgcm^2)/3)/MolWt+2*Virial2*F$93</f>
        <v>5.7361923586181579E-7</v>
      </c>
      <c r="G98" s="177">
        <f t="shared" si="25"/>
        <v>1.0010011557475668E-6</v>
      </c>
      <c r="H98" s="177">
        <f t="shared" si="25"/>
        <v>1.6435133550190056E-6</v>
      </c>
      <c r="I98" s="177">
        <f t="shared" si="25"/>
        <v>2.0386545193857599E-6</v>
      </c>
      <c r="J98" s="177">
        <f t="shared" si="25"/>
        <v>7.6382345684904696E-8</v>
      </c>
      <c r="K98" s="177">
        <f t="shared" si="25"/>
        <v>7.6382345684904696E-8</v>
      </c>
      <c r="L98" s="177">
        <f t="shared" si="25"/>
        <v>7.6382345684904696E-8</v>
      </c>
      <c r="M98" s="177">
        <f t="shared" si="25"/>
        <v>7.6382345684904696E-8</v>
      </c>
    </row>
    <row r="99" spans="1:18">
      <c r="A99">
        <v>6</v>
      </c>
      <c r="B99" s="177" t="str">
        <f t="shared" si="22"/>
        <v>Fiber/APD</v>
      </c>
      <c r="C99" s="177">
        <f t="shared" si="23"/>
        <v>50</v>
      </c>
      <c r="D99" s="177"/>
      <c r="E99" s="177">
        <f t="shared" si="24"/>
        <v>13434375692.589571</v>
      </c>
      <c r="F99" s="177">
        <f t="shared" si="25"/>
        <v>5.7361995044710025E-7</v>
      </c>
      <c r="G99" s="177">
        <f t="shared" si="25"/>
        <v>1.0010018703328512E-6</v>
      </c>
      <c r="H99" s="177">
        <f t="shared" si="25"/>
        <v>1.6435140696042902E-6</v>
      </c>
      <c r="I99" s="177">
        <f t="shared" si="25"/>
        <v>2.0386552339710443E-6</v>
      </c>
      <c r="J99" s="177">
        <f t="shared" si="25"/>
        <v>7.638306027018912E-8</v>
      </c>
      <c r="K99" s="177">
        <f t="shared" si="25"/>
        <v>7.638306027018912E-8</v>
      </c>
      <c r="L99" s="177">
        <f t="shared" si="25"/>
        <v>7.638306027018912E-8</v>
      </c>
      <c r="M99" s="177">
        <f t="shared" si="25"/>
        <v>7.638306027018912E-8</v>
      </c>
      <c r="P99" s="67" t="s">
        <v>376</v>
      </c>
      <c r="Q99">
        <f>SUM(F113:M130)</f>
        <v>0.28240143758325825</v>
      </c>
    </row>
    <row r="100" spans="1:18">
      <c r="A100">
        <v>7</v>
      </c>
      <c r="B100" s="176" t="str">
        <f t="shared" si="22"/>
        <v>Wyatt</v>
      </c>
      <c r="C100" s="176">
        <f t="shared" si="23"/>
        <v>57</v>
      </c>
      <c r="D100" s="176"/>
      <c r="E100" s="176">
        <f t="shared" si="24"/>
        <v>17125638542.325018</v>
      </c>
      <c r="F100" s="176">
        <f t="shared" si="25"/>
        <v>5.7362086662633109E-7</v>
      </c>
      <c r="G100" s="176">
        <f t="shared" si="25"/>
        <v>1.001002786512082E-6</v>
      </c>
      <c r="H100" s="176">
        <f t="shared" si="25"/>
        <v>1.643514985783521E-6</v>
      </c>
      <c r="I100" s="176">
        <f t="shared" si="25"/>
        <v>2.0386561501502751E-6</v>
      </c>
      <c r="J100" s="176">
        <f t="shared" si="25"/>
        <v>7.6383976449419942E-8</v>
      </c>
      <c r="K100" s="176">
        <f t="shared" si="25"/>
        <v>7.6383976449419942E-8</v>
      </c>
      <c r="L100" s="176">
        <f t="shared" si="25"/>
        <v>7.6383976449419942E-8</v>
      </c>
      <c r="M100" s="176">
        <f t="shared" si="25"/>
        <v>7.6383976449419942E-8</v>
      </c>
    </row>
    <row r="101" spans="1:18">
      <c r="A101">
        <v>8</v>
      </c>
      <c r="B101" s="177" t="str">
        <f t="shared" si="22"/>
        <v>Fiber/APD</v>
      </c>
      <c r="C101" s="177">
        <f t="shared" si="23"/>
        <v>64</v>
      </c>
      <c r="D101" s="177"/>
      <c r="E101" s="177">
        <f t="shared" si="24"/>
        <v>21122260085.135277</v>
      </c>
      <c r="F101" s="177">
        <f t="shared" si="25"/>
        <v>5.73621858596234E-7</v>
      </c>
      <c r="G101" s="177">
        <f t="shared" si="25"/>
        <v>1.001003778481985E-6</v>
      </c>
      <c r="H101" s="177">
        <f t="shared" si="25"/>
        <v>1.643515977753424E-6</v>
      </c>
      <c r="I101" s="177">
        <f t="shared" si="25"/>
        <v>2.0386571421201781E-6</v>
      </c>
      <c r="J101" s="177">
        <f t="shared" si="25"/>
        <v>7.6384968419322928E-8</v>
      </c>
      <c r="K101" s="177">
        <f t="shared" si="25"/>
        <v>7.6384968419322928E-8</v>
      </c>
      <c r="L101" s="177">
        <f t="shared" si="25"/>
        <v>7.6384968419322928E-8</v>
      </c>
      <c r="M101" s="177">
        <f t="shared" si="25"/>
        <v>7.6384968419322928E-8</v>
      </c>
    </row>
    <row r="102" spans="1:18">
      <c r="A102">
        <v>9</v>
      </c>
      <c r="B102" s="176" t="str">
        <f t="shared" si="22"/>
        <v>Wyatt</v>
      </c>
      <c r="C102" s="176">
        <f t="shared" si="23"/>
        <v>72</v>
      </c>
      <c r="D102" s="176"/>
      <c r="E102" s="176">
        <f t="shared" si="24"/>
        <v>25987131315.953915</v>
      </c>
      <c r="F102" s="176">
        <f t="shared" si="25"/>
        <v>5.7362306606754233E-7</v>
      </c>
      <c r="G102" s="176">
        <f t="shared" si="25"/>
        <v>1.0010049859532932E-6</v>
      </c>
      <c r="H102" s="176">
        <f t="shared" si="25"/>
        <v>1.6435171852247322E-6</v>
      </c>
      <c r="I102" s="176">
        <f t="shared" si="25"/>
        <v>2.0386583495914866E-6</v>
      </c>
      <c r="J102" s="176">
        <f t="shared" si="25"/>
        <v>7.6386175890631182E-8</v>
      </c>
      <c r="K102" s="176">
        <f t="shared" si="25"/>
        <v>7.6386175890631182E-8</v>
      </c>
      <c r="L102" s="176">
        <f t="shared" si="25"/>
        <v>7.6386175890631182E-8</v>
      </c>
      <c r="M102" s="176">
        <f t="shared" si="25"/>
        <v>7.6386175890631182E-8</v>
      </c>
    </row>
    <row r="103" spans="1:18">
      <c r="A103">
        <v>10</v>
      </c>
      <c r="B103" s="177" t="str">
        <f t="shared" si="22"/>
        <v>Fiber/APD</v>
      </c>
      <c r="C103" s="177">
        <f t="shared" si="23"/>
        <v>81</v>
      </c>
      <c r="D103" s="177"/>
      <c r="E103" s="177">
        <f t="shared" si="24"/>
        <v>31725596942.550377</v>
      </c>
      <c r="F103" s="177">
        <f t="shared" si="25"/>
        <v>5.7362449036682351E-7</v>
      </c>
      <c r="G103" s="177">
        <f t="shared" si="25"/>
        <v>1.0010064102525746E-6</v>
      </c>
      <c r="H103" s="177">
        <f t="shared" si="25"/>
        <v>1.6435186095240134E-6</v>
      </c>
      <c r="I103" s="177">
        <f t="shared" si="25"/>
        <v>2.0386597738907679E-6</v>
      </c>
      <c r="J103" s="177">
        <f t="shared" si="25"/>
        <v>7.6387600189912437E-8</v>
      </c>
      <c r="K103" s="177">
        <f t="shared" si="25"/>
        <v>7.6387600189912437E-8</v>
      </c>
      <c r="L103" s="177">
        <f t="shared" si="25"/>
        <v>7.6387600189912437E-8</v>
      </c>
      <c r="M103" s="177">
        <f t="shared" si="25"/>
        <v>7.6387600189912437E-8</v>
      </c>
    </row>
    <row r="104" spans="1:18">
      <c r="A104">
        <v>11</v>
      </c>
      <c r="B104" s="176" t="str">
        <f t="shared" si="22"/>
        <v>Wyatt</v>
      </c>
      <c r="C104" s="176">
        <f t="shared" si="23"/>
        <v>90</v>
      </c>
      <c r="D104" s="176"/>
      <c r="E104" s="176">
        <f t="shared" si="24"/>
        <v>37608929748.491219</v>
      </c>
      <c r="F104" s="176">
        <f t="shared" si="25"/>
        <v>5.736259506224445E-7</v>
      </c>
      <c r="G104" s="176">
        <f t="shared" si="25"/>
        <v>1.0010078705081954E-6</v>
      </c>
      <c r="H104" s="176">
        <f t="shared" si="25"/>
        <v>1.6435200697796344E-6</v>
      </c>
      <c r="I104" s="176">
        <f t="shared" si="25"/>
        <v>2.0386612341463887E-6</v>
      </c>
      <c r="J104" s="176">
        <f t="shared" si="25"/>
        <v>7.638906044553339E-8</v>
      </c>
      <c r="K104" s="176">
        <f t="shared" si="25"/>
        <v>7.638906044553339E-8</v>
      </c>
      <c r="L104" s="176">
        <f t="shared" si="25"/>
        <v>7.638906044553339E-8</v>
      </c>
      <c r="M104" s="176">
        <f t="shared" si="25"/>
        <v>7.638906044553339E-8</v>
      </c>
    </row>
    <row r="105" spans="1:18">
      <c r="A105">
        <v>12</v>
      </c>
      <c r="B105" s="177" t="str">
        <f t="shared" si="22"/>
        <v>Fiber/APD</v>
      </c>
      <c r="C105" s="177">
        <f t="shared" si="23"/>
        <v>99</v>
      </c>
      <c r="D105" s="177"/>
      <c r="E105" s="177">
        <f t="shared" si="24"/>
        <v>43492262554.432068</v>
      </c>
      <c r="F105" s="177">
        <f t="shared" si="25"/>
        <v>5.7362741087806549E-7</v>
      </c>
      <c r="G105" s="177">
        <f t="shared" si="25"/>
        <v>1.0010093307638164E-6</v>
      </c>
      <c r="H105" s="177">
        <f t="shared" si="25"/>
        <v>1.6435215300352554E-6</v>
      </c>
      <c r="I105" s="177">
        <f t="shared" si="25"/>
        <v>2.0386626944020095E-6</v>
      </c>
      <c r="J105" s="177">
        <f t="shared" si="25"/>
        <v>7.6390520701154357E-8</v>
      </c>
      <c r="K105" s="177">
        <f t="shared" si="25"/>
        <v>7.6390520701154357E-8</v>
      </c>
      <c r="L105" s="177">
        <f t="shared" si="25"/>
        <v>7.6390520701154357E-8</v>
      </c>
      <c r="M105" s="177">
        <f t="shared" si="25"/>
        <v>7.6390520701154357E-8</v>
      </c>
    </row>
    <row r="106" spans="1:18">
      <c r="A106">
        <v>13</v>
      </c>
      <c r="B106" s="54" t="str">
        <f t="shared" si="22"/>
        <v>Blank</v>
      </c>
      <c r="C106" s="54">
        <f t="shared" si="23"/>
        <v>108</v>
      </c>
      <c r="D106" s="54"/>
      <c r="E106" s="54">
        <f t="shared" si="24"/>
        <v>49230728181.028534</v>
      </c>
      <c r="F106" s="54"/>
      <c r="G106" s="54"/>
      <c r="H106" s="54"/>
      <c r="I106" s="54"/>
      <c r="J106" s="54"/>
      <c r="K106" s="54"/>
      <c r="L106" s="54"/>
      <c r="M106" s="54"/>
    </row>
    <row r="107" spans="1:18">
      <c r="A107">
        <v>14</v>
      </c>
      <c r="B107" s="177" t="str">
        <f t="shared" si="22"/>
        <v>Fiber/APD</v>
      </c>
      <c r="C107" s="177">
        <f t="shared" si="23"/>
        <v>117</v>
      </c>
      <c r="D107" s="177"/>
      <c r="E107" s="177">
        <f t="shared" si="24"/>
        <v>54683026559.678268</v>
      </c>
      <c r="F107" s="177">
        <f t="shared" ref="F107:M111" si="26">(1+($E107*Rgcm^2)/3)/MolWt+2*Virial2*F$93</f>
        <v>5.73630188449313E-7</v>
      </c>
      <c r="G107" s="177">
        <f t="shared" si="26"/>
        <v>1.0010121083350639E-6</v>
      </c>
      <c r="H107" s="177">
        <f t="shared" si="26"/>
        <v>1.6435243076065029E-6</v>
      </c>
      <c r="I107" s="177">
        <f t="shared" si="26"/>
        <v>2.0386654719732572E-6</v>
      </c>
      <c r="J107" s="177">
        <f t="shared" si="26"/>
        <v>7.6393298272401902E-8</v>
      </c>
      <c r="K107" s="177">
        <f t="shared" si="26"/>
        <v>7.6393298272401902E-8</v>
      </c>
      <c r="L107" s="177">
        <f t="shared" si="26"/>
        <v>7.6393298272401902E-8</v>
      </c>
      <c r="M107" s="177">
        <f t="shared" si="26"/>
        <v>7.6393298272401902E-8</v>
      </c>
    </row>
    <row r="108" spans="1:18">
      <c r="A108">
        <v>15</v>
      </c>
      <c r="B108" s="176" t="str">
        <f t="shared" si="22"/>
        <v>Wyatt</v>
      </c>
      <c r="C108" s="176">
        <f t="shared" si="23"/>
        <v>126</v>
      </c>
      <c r="D108" s="176"/>
      <c r="E108" s="176">
        <f t="shared" si="24"/>
        <v>59714904009.15802</v>
      </c>
      <c r="F108" s="176">
        <f t="shared" si="26"/>
        <v>5.7363143737191725E-7</v>
      </c>
      <c r="G108" s="176">
        <f t="shared" si="26"/>
        <v>1.0010133572576682E-6</v>
      </c>
      <c r="H108" s="176">
        <f t="shared" si="26"/>
        <v>1.6435255565291072E-6</v>
      </c>
      <c r="I108" s="176">
        <f t="shared" si="26"/>
        <v>2.0386667208958615E-6</v>
      </c>
      <c r="J108" s="176">
        <f t="shared" si="26"/>
        <v>7.639454719500615E-8</v>
      </c>
      <c r="K108" s="176">
        <f t="shared" si="26"/>
        <v>7.639454719500615E-8</v>
      </c>
      <c r="L108" s="176">
        <f t="shared" si="26"/>
        <v>7.639454719500615E-8</v>
      </c>
      <c r="M108" s="176">
        <f t="shared" si="26"/>
        <v>7.639454719500615E-8</v>
      </c>
    </row>
    <row r="109" spans="1:18">
      <c r="A109">
        <v>16</v>
      </c>
      <c r="B109" s="177" t="str">
        <f t="shared" si="22"/>
        <v>Fiber/APD</v>
      </c>
      <c r="C109" s="177">
        <f t="shared" si="23"/>
        <v>134</v>
      </c>
      <c r="D109" s="177"/>
      <c r="E109" s="177">
        <f t="shared" si="24"/>
        <v>63734287602.285065</v>
      </c>
      <c r="F109" s="177">
        <f t="shared" si="26"/>
        <v>5.736324349914091E-7</v>
      </c>
      <c r="G109" s="177">
        <f t="shared" si="26"/>
        <v>1.0010143548771602E-6</v>
      </c>
      <c r="H109" s="177">
        <f t="shared" si="26"/>
        <v>1.643526554148599E-6</v>
      </c>
      <c r="I109" s="177">
        <f t="shared" si="26"/>
        <v>2.0386677185153535E-6</v>
      </c>
      <c r="J109" s="177">
        <f t="shared" si="26"/>
        <v>7.6395544814498059E-8</v>
      </c>
      <c r="K109" s="177">
        <f t="shared" si="26"/>
        <v>7.6395544814498059E-8</v>
      </c>
      <c r="L109" s="177">
        <f t="shared" si="26"/>
        <v>7.6395544814498059E-8</v>
      </c>
      <c r="M109" s="177">
        <f t="shared" si="26"/>
        <v>7.6395544814498059E-8</v>
      </c>
    </row>
    <row r="110" spans="1:18">
      <c r="A110">
        <v>17</v>
      </c>
      <c r="B110" s="176" t="str">
        <f t="shared" si="22"/>
        <v>Wyatt</v>
      </c>
      <c r="C110" s="176">
        <f t="shared" si="23"/>
        <v>141</v>
      </c>
      <c r="D110" s="176"/>
      <c r="E110" s="176">
        <f t="shared" si="24"/>
        <v>66836557617.250107</v>
      </c>
      <c r="F110" s="176">
        <f t="shared" si="26"/>
        <v>5.7363320498137519E-7</v>
      </c>
      <c r="G110" s="176">
        <f t="shared" si="26"/>
        <v>1.0010151248671261E-6</v>
      </c>
      <c r="H110" s="176">
        <f t="shared" si="26"/>
        <v>1.6435273241385651E-6</v>
      </c>
      <c r="I110" s="176">
        <f t="shared" si="26"/>
        <v>2.0386684885053192E-6</v>
      </c>
      <c r="J110" s="176">
        <f t="shared" si="26"/>
        <v>7.6396314804464041E-8</v>
      </c>
      <c r="K110" s="176">
        <f t="shared" si="26"/>
        <v>7.6396314804464041E-8</v>
      </c>
      <c r="L110" s="176">
        <f t="shared" si="26"/>
        <v>7.6396314804464041E-8</v>
      </c>
      <c r="M110" s="176">
        <f t="shared" si="26"/>
        <v>7.6396314804464041E-8</v>
      </c>
    </row>
    <row r="111" spans="1:18">
      <c r="A111">
        <v>18</v>
      </c>
      <c r="B111" s="177" t="str">
        <f t="shared" si="22"/>
        <v>Fiber/APD</v>
      </c>
      <c r="C111" s="177">
        <f t="shared" si="23"/>
        <v>147</v>
      </c>
      <c r="D111" s="177"/>
      <c r="E111" s="177">
        <f t="shared" si="24"/>
        <v>69150432220.477921</v>
      </c>
      <c r="F111" s="177">
        <f t="shared" si="26"/>
        <v>5.7363377928993581E-7</v>
      </c>
      <c r="G111" s="177">
        <f t="shared" si="26"/>
        <v>1.0010156991756868E-6</v>
      </c>
      <c r="H111" s="177">
        <f t="shared" si="26"/>
        <v>1.6435278984471256E-6</v>
      </c>
      <c r="I111" s="177">
        <f t="shared" si="26"/>
        <v>2.0386690628138799E-6</v>
      </c>
      <c r="J111" s="177">
        <f t="shared" si="26"/>
        <v>7.6396889113024675E-8</v>
      </c>
      <c r="K111" s="177">
        <f t="shared" si="26"/>
        <v>7.6396889113024675E-8</v>
      </c>
      <c r="L111" s="177">
        <f t="shared" si="26"/>
        <v>7.6396889113024675E-8</v>
      </c>
      <c r="M111" s="177">
        <f t="shared" si="26"/>
        <v>7.6396889113024675E-8</v>
      </c>
    </row>
    <row r="112" spans="1:18">
      <c r="O112" s="67"/>
    </row>
    <row r="113" spans="5:13">
      <c r="E113" s="67" t="s">
        <v>375</v>
      </c>
      <c r="F113">
        <f>10000000000*(F94-F50)^2</f>
        <v>2.2571515616322782E-3</v>
      </c>
      <c r="G113">
        <f t="shared" ref="G113:M113" si="27">10000000000*(G94-G50)^2</f>
        <v>1.0398039990209466E-3</v>
      </c>
      <c r="H113">
        <f t="shared" si="27"/>
        <v>1.244832824685883E-2</v>
      </c>
      <c r="I113">
        <f t="shared" si="27"/>
        <v>2.3902143142737187E-2</v>
      </c>
      <c r="J113">
        <f t="shared" si="27"/>
        <v>6.279027270006564E-5</v>
      </c>
      <c r="K113">
        <f t="shared" si="27"/>
        <v>6.279027270006564E-5</v>
      </c>
      <c r="L113">
        <f t="shared" si="27"/>
        <v>6.279027270006564E-5</v>
      </c>
      <c r="M113">
        <f t="shared" si="27"/>
        <v>6.279027270006564E-5</v>
      </c>
    </row>
    <row r="114" spans="5:13">
      <c r="F114">
        <f t="shared" ref="F114:M130" si="28">10000000000*(F95-F51)^2</f>
        <v>2.3734757858715708E-3</v>
      </c>
      <c r="G114">
        <f t="shared" si="28"/>
        <v>1.7611018266960526E-4</v>
      </c>
      <c r="H114">
        <f t="shared" si="28"/>
        <v>4.5730589601766678E-3</v>
      </c>
      <c r="I114">
        <f t="shared" si="28"/>
        <v>1.7447867008366074E-2</v>
      </c>
      <c r="J114">
        <f t="shared" si="28"/>
        <v>6.3271980867423577E-5</v>
      </c>
      <c r="K114">
        <f t="shared" si="28"/>
        <v>6.3271980867423577E-5</v>
      </c>
      <c r="L114">
        <f t="shared" si="28"/>
        <v>6.3271980867423577E-5</v>
      </c>
      <c r="M114">
        <f t="shared" si="28"/>
        <v>6.3271980867423577E-5</v>
      </c>
    </row>
    <row r="115" spans="5:13">
      <c r="F115">
        <f t="shared" si="28"/>
        <v>1.9189720261188271E-4</v>
      </c>
      <c r="G115">
        <f t="shared" si="28"/>
        <v>4.813888793531301E-5</v>
      </c>
      <c r="H115">
        <f t="shared" si="28"/>
        <v>4.7814515035025824E-3</v>
      </c>
      <c r="I115">
        <f t="shared" si="28"/>
        <v>1.1049651483029803E-2</v>
      </c>
      <c r="J115">
        <f t="shared" si="28"/>
        <v>6.9113939938745991E-5</v>
      </c>
      <c r="K115">
        <f t="shared" si="28"/>
        <v>6.9113939938745991E-5</v>
      </c>
      <c r="L115">
        <f t="shared" si="28"/>
        <v>6.9113939938745991E-5</v>
      </c>
      <c r="M115">
        <f t="shared" si="28"/>
        <v>6.9113939938745991E-5</v>
      </c>
    </row>
    <row r="116" spans="5:13">
      <c r="F116">
        <f t="shared" si="28"/>
        <v>0</v>
      </c>
      <c r="G116">
        <f t="shared" si="28"/>
        <v>0</v>
      </c>
      <c r="H116">
        <f t="shared" si="28"/>
        <v>0</v>
      </c>
      <c r="I116">
        <f t="shared" si="28"/>
        <v>0</v>
      </c>
      <c r="J116">
        <f t="shared" si="28"/>
        <v>0</v>
      </c>
      <c r="K116">
        <f t="shared" si="28"/>
        <v>0</v>
      </c>
      <c r="L116">
        <f t="shared" si="28"/>
        <v>0</v>
      </c>
      <c r="M116">
        <f t="shared" si="28"/>
        <v>0</v>
      </c>
    </row>
    <row r="117" spans="5:13">
      <c r="F117">
        <f t="shared" si="28"/>
        <v>1.8813915707094318E-3</v>
      </c>
      <c r="G117">
        <f t="shared" si="28"/>
        <v>1.20910443757576E-3</v>
      </c>
      <c r="H117">
        <f t="shared" si="28"/>
        <v>6.9543805032464328E-3</v>
      </c>
      <c r="I117">
        <f t="shared" si="28"/>
        <v>1.0876485241838917E-2</v>
      </c>
      <c r="J117">
        <f t="shared" si="28"/>
        <v>6.5359916409757035E-5</v>
      </c>
      <c r="K117">
        <f t="shared" si="28"/>
        <v>6.5359916409757035E-5</v>
      </c>
      <c r="L117">
        <f t="shared" si="28"/>
        <v>6.5359916409757035E-5</v>
      </c>
      <c r="M117">
        <f t="shared" si="28"/>
        <v>6.5359916409757035E-5</v>
      </c>
    </row>
    <row r="118" spans="5:13">
      <c r="F118">
        <f t="shared" si="28"/>
        <v>3.2865123813711534E-4</v>
      </c>
      <c r="G118">
        <f t="shared" si="28"/>
        <v>6.6213982432409006E-4</v>
      </c>
      <c r="H118">
        <f t="shared" si="28"/>
        <v>2.3489591247769113E-9</v>
      </c>
      <c r="I118">
        <f t="shared" si="28"/>
        <v>5.8823030886336209E-5</v>
      </c>
      <c r="J118">
        <f t="shared" si="28"/>
        <v>7.4716216277919301E-5</v>
      </c>
      <c r="K118">
        <f t="shared" si="28"/>
        <v>7.4716216277919301E-5</v>
      </c>
      <c r="L118">
        <f t="shared" si="28"/>
        <v>7.4716216277919301E-5</v>
      </c>
      <c r="M118">
        <f t="shared" si="28"/>
        <v>7.4716216277919301E-5</v>
      </c>
    </row>
    <row r="119" spans="5:13">
      <c r="F119">
        <f t="shared" si="28"/>
        <v>1.1078461000938163E-3</v>
      </c>
      <c r="G119">
        <f t="shared" si="28"/>
        <v>3.8617768230565899E-4</v>
      </c>
      <c r="H119">
        <f t="shared" si="28"/>
        <v>8.2976494190479229E-5</v>
      </c>
      <c r="I119">
        <f t="shared" si="28"/>
        <v>1.914745365871562E-3</v>
      </c>
      <c r="J119">
        <f t="shared" si="28"/>
        <v>6.6883613777577702E-5</v>
      </c>
      <c r="K119">
        <f t="shared" si="28"/>
        <v>6.6883613777577702E-5</v>
      </c>
      <c r="L119">
        <f t="shared" si="28"/>
        <v>6.6883613777577702E-5</v>
      </c>
      <c r="M119">
        <f t="shared" si="28"/>
        <v>6.6883613777577702E-5</v>
      </c>
    </row>
    <row r="120" spans="5:13">
      <c r="F120">
        <f t="shared" si="28"/>
        <v>9.1715530644937554E-4</v>
      </c>
      <c r="G120">
        <f t="shared" si="28"/>
        <v>2.3385625223765606E-3</v>
      </c>
      <c r="H120">
        <f t="shared" si="28"/>
        <v>1.7963445205495146E-3</v>
      </c>
      <c r="I120">
        <f t="shared" si="28"/>
        <v>6.4197257394067481E-4</v>
      </c>
      <c r="J120">
        <f t="shared" si="28"/>
        <v>7.0688685344425469E-5</v>
      </c>
      <c r="K120">
        <f t="shared" si="28"/>
        <v>7.0688685344425469E-5</v>
      </c>
      <c r="L120">
        <f t="shared" si="28"/>
        <v>7.0688685344425469E-5</v>
      </c>
      <c r="M120">
        <f t="shared" si="28"/>
        <v>7.0688685344425469E-5</v>
      </c>
    </row>
    <row r="121" spans="5:13">
      <c r="F121">
        <f t="shared" si="28"/>
        <v>5.4328135237913613E-4</v>
      </c>
      <c r="G121">
        <f t="shared" si="28"/>
        <v>1.8474985009305826E-4</v>
      </c>
      <c r="H121">
        <f t="shared" si="28"/>
        <v>3.160407331896279E-5</v>
      </c>
      <c r="I121">
        <f t="shared" si="28"/>
        <v>5.9279318396791446E-4</v>
      </c>
      <c r="J121">
        <f t="shared" si="28"/>
        <v>7.0335609621721156E-5</v>
      </c>
      <c r="K121">
        <f t="shared" si="28"/>
        <v>7.0335609621721156E-5</v>
      </c>
      <c r="L121">
        <f t="shared" si="28"/>
        <v>7.0335609621721156E-5</v>
      </c>
      <c r="M121">
        <f t="shared" si="28"/>
        <v>7.0335609621721156E-5</v>
      </c>
    </row>
    <row r="122" spans="5:13">
      <c r="F122">
        <f t="shared" si="28"/>
        <v>1.5667450416423363E-3</v>
      </c>
      <c r="G122">
        <f t="shared" si="28"/>
        <v>1.1160305221130642E-2</v>
      </c>
      <c r="H122">
        <f t="shared" si="28"/>
        <v>2.1560013717333782E-2</v>
      </c>
      <c r="I122">
        <f t="shared" si="28"/>
        <v>1.7504503973429238E-2</v>
      </c>
      <c r="J122">
        <f t="shared" si="28"/>
        <v>6.5495105870855603E-5</v>
      </c>
      <c r="K122">
        <f t="shared" si="28"/>
        <v>6.5495105870855603E-5</v>
      </c>
      <c r="L122">
        <f t="shared" si="28"/>
        <v>6.5495105870855603E-5</v>
      </c>
      <c r="M122">
        <f t="shared" si="28"/>
        <v>6.5495105870855603E-5</v>
      </c>
    </row>
    <row r="123" spans="5:13">
      <c r="F123">
        <f t="shared" si="28"/>
        <v>6.9893190150569211E-4</v>
      </c>
      <c r="G123">
        <f t="shared" si="28"/>
        <v>2.6090317820131448E-4</v>
      </c>
      <c r="H123">
        <f t="shared" si="28"/>
        <v>2.0254956203459291E-5</v>
      </c>
      <c r="I123">
        <f t="shared" si="28"/>
        <v>4.3912373778293552E-4</v>
      </c>
      <c r="J123">
        <f t="shared" si="28"/>
        <v>7.0583637493356428E-5</v>
      </c>
      <c r="K123">
        <f t="shared" si="28"/>
        <v>7.0583637493356428E-5</v>
      </c>
      <c r="L123">
        <f t="shared" si="28"/>
        <v>7.0583637493356428E-5</v>
      </c>
      <c r="M123">
        <f t="shared" si="28"/>
        <v>7.0583637493356428E-5</v>
      </c>
    </row>
    <row r="124" spans="5:13">
      <c r="F124">
        <f t="shared" si="28"/>
        <v>7.3362826399240983E-5</v>
      </c>
      <c r="G124">
        <f t="shared" si="28"/>
        <v>1.4645153687167166E-2</v>
      </c>
      <c r="H124">
        <f t="shared" si="28"/>
        <v>3.8272936211900851E-2</v>
      </c>
      <c r="I124">
        <f t="shared" si="28"/>
        <v>4.2182672713176543E-2</v>
      </c>
      <c r="J124">
        <f t="shared" si="28"/>
        <v>1.0656838614153517E-4</v>
      </c>
      <c r="K124">
        <f t="shared" si="28"/>
        <v>1.0656838614153517E-4</v>
      </c>
      <c r="L124">
        <f t="shared" si="28"/>
        <v>1.0656838614153517E-4</v>
      </c>
      <c r="M124">
        <f t="shared" si="28"/>
        <v>1.0656838614153517E-4</v>
      </c>
    </row>
    <row r="125" spans="5:13">
      <c r="F125">
        <f t="shared" si="28"/>
        <v>0</v>
      </c>
      <c r="G125">
        <f t="shared" si="28"/>
        <v>0</v>
      </c>
      <c r="H125">
        <f t="shared" si="28"/>
        <v>0</v>
      </c>
      <c r="I125">
        <f t="shared" si="28"/>
        <v>0</v>
      </c>
      <c r="J125">
        <f t="shared" si="28"/>
        <v>0</v>
      </c>
      <c r="K125">
        <f t="shared" si="28"/>
        <v>0</v>
      </c>
      <c r="L125">
        <f t="shared" si="28"/>
        <v>0</v>
      </c>
      <c r="M125">
        <f t="shared" si="28"/>
        <v>0</v>
      </c>
    </row>
    <row r="126" spans="5:13">
      <c r="F126">
        <f t="shared" si="28"/>
        <v>3.7765361556617987E-5</v>
      </c>
      <c r="G126">
        <f t="shared" si="28"/>
        <v>1.816998448826292E-4</v>
      </c>
      <c r="H126">
        <f t="shared" si="28"/>
        <v>8.5909363750561675E-5</v>
      </c>
      <c r="I126">
        <f t="shared" si="28"/>
        <v>3.5821614368083321E-6</v>
      </c>
      <c r="J126">
        <f t="shared" si="28"/>
        <v>8.404531291664927E-5</v>
      </c>
      <c r="K126">
        <f t="shared" si="28"/>
        <v>8.404531291664927E-5</v>
      </c>
      <c r="L126">
        <f t="shared" si="28"/>
        <v>8.404531291664927E-5</v>
      </c>
      <c r="M126">
        <f t="shared" si="28"/>
        <v>8.404531291664927E-5</v>
      </c>
    </row>
    <row r="127" spans="5:13">
      <c r="F127">
        <f t="shared" si="28"/>
        <v>1.6021824765017855E-3</v>
      </c>
      <c r="G127">
        <f t="shared" si="28"/>
        <v>7.8882213305639143E-4</v>
      </c>
      <c r="H127">
        <f t="shared" si="28"/>
        <v>9.8898935897413334E-5</v>
      </c>
      <c r="I127">
        <f t="shared" si="28"/>
        <v>2.5170537452791635E-4</v>
      </c>
      <c r="J127">
        <f t="shared" si="28"/>
        <v>6.7823350277314496E-5</v>
      </c>
      <c r="K127">
        <f t="shared" si="28"/>
        <v>6.7823350277314496E-5</v>
      </c>
      <c r="L127">
        <f t="shared" si="28"/>
        <v>6.7823350277314496E-5</v>
      </c>
      <c r="M127">
        <f t="shared" si="28"/>
        <v>6.7823350277314496E-5</v>
      </c>
    </row>
    <row r="128" spans="5:13">
      <c r="F128">
        <f t="shared" si="28"/>
        <v>7.9674278829737315E-4</v>
      </c>
      <c r="G128">
        <f t="shared" si="28"/>
        <v>4.9144521537885643E-4</v>
      </c>
      <c r="H128">
        <f t="shared" si="28"/>
        <v>2.0871109628951101E-3</v>
      </c>
      <c r="I128">
        <f t="shared" si="28"/>
        <v>4.9713370878232679E-3</v>
      </c>
      <c r="J128">
        <f t="shared" si="28"/>
        <v>7.1623740548241722E-5</v>
      </c>
      <c r="K128">
        <f t="shared" si="28"/>
        <v>7.1623740548241722E-5</v>
      </c>
      <c r="L128">
        <f t="shared" si="28"/>
        <v>7.1623740548241722E-5</v>
      </c>
      <c r="M128">
        <f t="shared" si="28"/>
        <v>7.1623740548241722E-5</v>
      </c>
    </row>
    <row r="129" spans="6:13">
      <c r="F129">
        <f t="shared" si="28"/>
        <v>1.2216457908205628E-3</v>
      </c>
      <c r="G129">
        <f t="shared" si="28"/>
        <v>5.8904449513445443E-4</v>
      </c>
      <c r="H129">
        <f t="shared" si="28"/>
        <v>8.8804948231167301E-7</v>
      </c>
      <c r="I129">
        <f t="shared" si="28"/>
        <v>7.892890994957339E-4</v>
      </c>
      <c r="J129">
        <f t="shared" si="28"/>
        <v>6.8533432693282059E-5</v>
      </c>
      <c r="K129">
        <f t="shared" si="28"/>
        <v>6.8533432693282059E-5</v>
      </c>
      <c r="L129">
        <f t="shared" si="28"/>
        <v>6.8533432693282059E-5</v>
      </c>
      <c r="M129">
        <f t="shared" si="28"/>
        <v>6.8533432693282059E-5</v>
      </c>
    </row>
    <row r="130" spans="6:13">
      <c r="F130">
        <f t="shared" si="28"/>
        <v>1.0887215351829035E-4</v>
      </c>
      <c r="G130">
        <f t="shared" si="28"/>
        <v>1.3463387985940462E-3</v>
      </c>
      <c r="H130">
        <f t="shared" si="28"/>
        <v>1.0732388715710413E-3</v>
      </c>
      <c r="I130">
        <f t="shared" si="28"/>
        <v>8.0135303595607466E-5</v>
      </c>
      <c r="J130">
        <f t="shared" si="28"/>
        <v>7.5069540006460266E-5</v>
      </c>
      <c r="K130">
        <f t="shared" si="28"/>
        <v>7.5069540006460266E-5</v>
      </c>
      <c r="L130">
        <f t="shared" si="28"/>
        <v>7.5069540006460266E-5</v>
      </c>
      <c r="M130">
        <f t="shared" si="28"/>
        <v>7.5069540006460266E-5</v>
      </c>
    </row>
  </sheetData>
  <pageMargins left="0.7" right="0.7" top="0.75" bottom="0.75" header="0.3" footer="0.3"/>
  <pageSetup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9D5F-97A0-4D99-9C06-28C64CD24510}">
  <dimension ref="A1:T82"/>
  <sheetViews>
    <sheetView zoomScale="85" zoomScaleNormal="85" workbookViewId="0">
      <selection activeCell="A21" sqref="A21"/>
    </sheetView>
  </sheetViews>
  <sheetFormatPr defaultRowHeight="14.25"/>
  <cols>
    <col min="1" max="1" width="28.33203125" customWidth="1"/>
    <col min="10" max="10" width="9.06640625" customWidth="1"/>
    <col min="11" max="11" width="23.265625" customWidth="1"/>
    <col min="21" max="21" width="12.19921875" customWidth="1"/>
  </cols>
  <sheetData>
    <row r="1" spans="1:20" ht="15.75">
      <c r="A1" s="133" t="s">
        <v>323</v>
      </c>
      <c r="J1" s="135"/>
      <c r="K1" s="218" t="s">
        <v>195</v>
      </c>
      <c r="L1" s="219"/>
      <c r="M1" s="219"/>
      <c r="N1" s="219"/>
      <c r="O1" s="219"/>
      <c r="P1" s="219"/>
      <c r="Q1" s="219"/>
      <c r="R1" s="219"/>
      <c r="S1" s="220"/>
      <c r="T1" s="39"/>
    </row>
    <row r="2" spans="1:20" ht="15.4">
      <c r="A2" s="235" t="s">
        <v>329</v>
      </c>
      <c r="J2" s="135"/>
      <c r="K2" s="221" t="s">
        <v>146</v>
      </c>
      <c r="L2" s="39"/>
      <c r="M2" s="222" t="s">
        <v>147</v>
      </c>
      <c r="N2" s="39"/>
      <c r="O2" s="39"/>
      <c r="P2" s="39"/>
      <c r="Q2" s="39"/>
      <c r="R2" s="39"/>
      <c r="S2" s="223"/>
      <c r="T2" s="39"/>
    </row>
    <row r="3" spans="1:20" ht="15.4">
      <c r="A3" s="236" t="s">
        <v>330</v>
      </c>
      <c r="J3" s="135"/>
      <c r="K3" s="224">
        <v>0.47456018518518522</v>
      </c>
      <c r="L3" s="39"/>
      <c r="M3" s="222" t="s">
        <v>148</v>
      </c>
      <c r="N3" s="39"/>
      <c r="O3" s="39"/>
      <c r="P3" s="39"/>
      <c r="Q3" s="39"/>
      <c r="R3" s="39"/>
      <c r="S3" s="223"/>
      <c r="T3" s="39"/>
    </row>
    <row r="4" spans="1:20" ht="15.4">
      <c r="A4" s="237" t="s">
        <v>328</v>
      </c>
      <c r="J4" s="135"/>
      <c r="K4" s="234">
        <v>35142</v>
      </c>
      <c r="L4" s="39"/>
      <c r="M4" s="222" t="s">
        <v>149</v>
      </c>
      <c r="N4" s="39"/>
      <c r="O4" s="39"/>
      <c r="P4" s="39"/>
      <c r="Q4" s="39"/>
      <c r="R4" s="39"/>
      <c r="S4" s="223"/>
      <c r="T4" s="39"/>
    </row>
    <row r="5" spans="1:20" ht="15.4">
      <c r="A5" s="236" t="s">
        <v>330</v>
      </c>
      <c r="J5" s="135"/>
      <c r="K5" s="224">
        <v>0.75988425925925929</v>
      </c>
      <c r="L5" s="39"/>
      <c r="M5" s="222" t="s">
        <v>150</v>
      </c>
      <c r="N5" s="39"/>
      <c r="O5" s="39"/>
      <c r="P5" s="39"/>
      <c r="Q5" s="39"/>
      <c r="R5" s="39"/>
      <c r="S5" s="223"/>
      <c r="T5" s="39"/>
    </row>
    <row r="6" spans="1:20" ht="15.4">
      <c r="A6" s="237" t="s">
        <v>328</v>
      </c>
      <c r="J6" s="135"/>
      <c r="K6" s="234">
        <v>35142</v>
      </c>
      <c r="L6" s="39"/>
      <c r="M6" s="222" t="s">
        <v>151</v>
      </c>
      <c r="N6" s="39"/>
      <c r="O6" s="39"/>
      <c r="P6" s="39"/>
      <c r="Q6" s="39"/>
      <c r="R6" s="39"/>
      <c r="S6" s="223"/>
      <c r="T6" s="39"/>
    </row>
    <row r="7" spans="1:20" ht="15.4">
      <c r="A7" s="235" t="s">
        <v>325</v>
      </c>
      <c r="J7" s="135"/>
      <c r="K7" s="221" t="s">
        <v>152</v>
      </c>
      <c r="L7" s="39"/>
      <c r="M7" s="39"/>
      <c r="N7" s="39"/>
      <c r="O7" s="39"/>
      <c r="P7" s="39"/>
      <c r="Q7" s="39"/>
      <c r="R7" s="39"/>
      <c r="S7" s="223"/>
      <c r="T7" s="39"/>
    </row>
    <row r="8" spans="1:20" ht="15.4">
      <c r="A8" s="235" t="s">
        <v>326</v>
      </c>
      <c r="J8" s="135"/>
      <c r="K8" s="221" t="s">
        <v>153</v>
      </c>
      <c r="L8" s="39"/>
      <c r="M8" s="39"/>
      <c r="N8" s="39"/>
      <c r="O8" s="39"/>
      <c r="P8" s="39"/>
      <c r="Q8" s="39"/>
      <c r="R8" s="39"/>
      <c r="S8" s="223"/>
      <c r="T8" s="39"/>
    </row>
    <row r="9" spans="1:20" ht="15.4">
      <c r="A9" s="235" t="s">
        <v>327</v>
      </c>
      <c r="J9" s="135"/>
      <c r="K9" s="221" t="s">
        <v>154</v>
      </c>
      <c r="L9" s="39"/>
      <c r="M9" s="222" t="s">
        <v>155</v>
      </c>
      <c r="N9" s="39"/>
      <c r="O9" s="39"/>
      <c r="P9" s="39"/>
      <c r="Q9" s="39"/>
      <c r="R9" s="39"/>
      <c r="S9" s="223"/>
      <c r="T9" s="39"/>
    </row>
    <row r="10" spans="1:20" ht="15.4">
      <c r="A10" s="235">
        <v>6328</v>
      </c>
      <c r="J10" s="135"/>
      <c r="K10" s="221">
        <v>4880</v>
      </c>
      <c r="L10" s="39"/>
      <c r="M10" s="222" t="s">
        <v>156</v>
      </c>
      <c r="N10" s="39"/>
      <c r="O10" s="39"/>
      <c r="P10" s="39"/>
      <c r="Q10" s="39"/>
      <c r="R10" s="39"/>
      <c r="S10" s="223"/>
      <c r="T10" s="39"/>
    </row>
    <row r="11" spans="1:20" ht="15.4">
      <c r="A11" s="235" t="s">
        <v>331</v>
      </c>
      <c r="J11" s="135"/>
      <c r="K11" s="221" t="s">
        <v>157</v>
      </c>
      <c r="L11" s="39"/>
      <c r="M11" s="222" t="s">
        <v>158</v>
      </c>
      <c r="N11" s="39"/>
      <c r="O11" s="39"/>
      <c r="P11" s="39"/>
      <c r="Q11" s="39"/>
      <c r="R11" s="39"/>
      <c r="S11" s="223"/>
      <c r="T11" s="39"/>
    </row>
    <row r="12" spans="1:20" ht="15.4">
      <c r="A12" s="235">
        <v>1.4950000000000001</v>
      </c>
      <c r="J12" s="135"/>
      <c r="K12" s="221">
        <v>1.4950000000000001</v>
      </c>
      <c r="L12" s="39"/>
      <c r="M12" s="222" t="s">
        <v>159</v>
      </c>
      <c r="N12" s="39"/>
      <c r="O12" s="39"/>
      <c r="P12" s="39"/>
      <c r="Q12" s="39"/>
      <c r="R12" s="39"/>
      <c r="S12" s="223"/>
      <c r="T12" s="39"/>
    </row>
    <row r="13" spans="1:20" ht="15.4">
      <c r="A13" s="235">
        <v>1.4950000000000001</v>
      </c>
      <c r="J13" s="135"/>
      <c r="K13" s="221">
        <v>1.4950000000000001</v>
      </c>
      <c r="L13" s="39"/>
      <c r="M13" s="222" t="s">
        <v>160</v>
      </c>
      <c r="N13" s="39"/>
      <c r="O13" s="39"/>
      <c r="P13" s="39"/>
      <c r="Q13" s="39"/>
      <c r="R13" s="39"/>
      <c r="S13" s="223"/>
      <c r="T13" s="39"/>
    </row>
    <row r="14" spans="1:20" ht="15.4">
      <c r="A14" s="235">
        <v>1</v>
      </c>
      <c r="J14" s="135"/>
      <c r="K14" s="221">
        <v>1</v>
      </c>
      <c r="L14" s="39"/>
      <c r="M14" s="222" t="s">
        <v>161</v>
      </c>
      <c r="N14" s="39"/>
      <c r="O14" s="39"/>
      <c r="P14" s="39"/>
      <c r="Q14" s="39"/>
      <c r="R14" s="39"/>
      <c r="S14" s="223"/>
      <c r="T14" s="39"/>
    </row>
    <row r="15" spans="1:20" ht="15.4">
      <c r="A15" s="235">
        <v>24.9</v>
      </c>
      <c r="J15" s="135"/>
      <c r="K15" s="221">
        <v>24.9</v>
      </c>
      <c r="L15" s="39"/>
      <c r="M15" s="222" t="s">
        <v>162</v>
      </c>
      <c r="N15" s="39"/>
      <c r="O15" s="39"/>
      <c r="P15" s="39"/>
      <c r="Q15" s="39"/>
      <c r="R15" s="39"/>
      <c r="S15" s="223"/>
      <c r="T15" s="39"/>
    </row>
    <row r="16" spans="1:20" ht="15.4">
      <c r="A16" s="235">
        <v>25.1</v>
      </c>
      <c r="J16" s="135"/>
      <c r="K16" s="221">
        <v>25.1</v>
      </c>
      <c r="L16" s="39"/>
      <c r="M16" s="222" t="s">
        <v>163</v>
      </c>
      <c r="N16" s="39"/>
      <c r="O16" s="39"/>
      <c r="P16" s="39"/>
      <c r="Q16" s="39"/>
      <c r="R16" s="39"/>
      <c r="S16" s="223"/>
      <c r="T16" s="39"/>
    </row>
    <row r="17" spans="1:20" ht="15.4">
      <c r="A17" s="229">
        <v>10</v>
      </c>
      <c r="J17" s="135"/>
      <c r="K17" s="221">
        <v>1018.1180000000001</v>
      </c>
      <c r="L17" s="39"/>
      <c r="M17" s="222" t="s">
        <v>164</v>
      </c>
      <c r="N17" s="39"/>
      <c r="O17" s="39"/>
      <c r="P17" s="39"/>
      <c r="Q17" s="39"/>
      <c r="R17" s="39"/>
      <c r="S17" s="223"/>
      <c r="T17" s="39"/>
    </row>
    <row r="18" spans="1:20" ht="15.4">
      <c r="A18" s="231">
        <f>100000*Parameters!G4</f>
        <v>3000</v>
      </c>
      <c r="J18" s="135"/>
      <c r="K18" s="221">
        <v>24133.97</v>
      </c>
      <c r="L18" s="39"/>
      <c r="M18" s="222" t="s">
        <v>165</v>
      </c>
      <c r="N18" s="39"/>
      <c r="O18" s="39"/>
      <c r="P18" s="39"/>
      <c r="Q18" s="39"/>
      <c r="R18" s="39"/>
      <c r="S18" s="223"/>
      <c r="T18" s="39"/>
    </row>
    <row r="19" spans="1:20" ht="15.4">
      <c r="A19" s="228">
        <f>SQRT(A18)</f>
        <v>54.772255750516614</v>
      </c>
      <c r="J19" s="135"/>
      <c r="K19" s="221">
        <v>120.08929999999999</v>
      </c>
      <c r="L19" s="39"/>
      <c r="M19" s="222" t="s">
        <v>166</v>
      </c>
      <c r="N19" s="39"/>
      <c r="O19" s="39"/>
      <c r="P19" s="39"/>
      <c r="Q19" s="39"/>
      <c r="R19" s="39"/>
      <c r="S19" s="223"/>
      <c r="T19" s="39"/>
    </row>
    <row r="20" spans="1:20" ht="15.4">
      <c r="A20" s="231">
        <v>90</v>
      </c>
      <c r="J20" s="135"/>
      <c r="K20" s="221">
        <v>90</v>
      </c>
      <c r="L20" s="39"/>
      <c r="M20" s="222" t="s">
        <v>167</v>
      </c>
      <c r="N20" s="39"/>
      <c r="O20" s="39"/>
      <c r="P20" s="39"/>
      <c r="Q20" s="39"/>
      <c r="R20" s="39"/>
      <c r="S20" s="223"/>
      <c r="T20" s="39"/>
    </row>
    <row r="21" spans="1:20" ht="15.4">
      <c r="A21" s="246">
        <v>16</v>
      </c>
      <c r="J21" s="135"/>
      <c r="K21" s="221">
        <v>9</v>
      </c>
      <c r="L21" s="39"/>
      <c r="M21" s="222" t="s">
        <v>168</v>
      </c>
      <c r="N21" s="39"/>
      <c r="O21" s="39"/>
      <c r="P21" s="39"/>
      <c r="Q21" s="39"/>
      <c r="R21" s="39"/>
      <c r="S21" s="223"/>
      <c r="T21" s="39"/>
    </row>
    <row r="22" spans="1:20" ht="15.4">
      <c r="A22" s="228">
        <v>5</v>
      </c>
      <c r="J22" s="135"/>
      <c r="K22" s="221">
        <v>9</v>
      </c>
      <c r="L22" s="39"/>
      <c r="M22" s="222" t="s">
        <v>169</v>
      </c>
      <c r="N22" s="39"/>
      <c r="O22" s="39"/>
      <c r="P22" s="39"/>
      <c r="Q22" s="39"/>
      <c r="R22" s="39"/>
      <c r="S22" s="223"/>
      <c r="T22" s="39"/>
    </row>
    <row r="23" spans="1:20" ht="15.4">
      <c r="A23" s="230">
        <v>0</v>
      </c>
      <c r="J23" s="135"/>
      <c r="K23" s="221">
        <v>0</v>
      </c>
      <c r="L23" s="39"/>
      <c r="M23" s="222" t="s">
        <v>170</v>
      </c>
      <c r="N23" s="39"/>
      <c r="O23" s="39"/>
      <c r="P23" s="39"/>
      <c r="Q23" s="39"/>
      <c r="R23" s="39"/>
      <c r="S23" s="223"/>
      <c r="T23" s="39"/>
    </row>
    <row r="24" spans="1:20" ht="15.4">
      <c r="A24" s="231">
        <f>ConcData!D28</f>
        <v>2.6010322208282468E-3</v>
      </c>
      <c r="J24" s="135"/>
      <c r="K24" s="221">
        <v>1.305E-4</v>
      </c>
      <c r="L24" s="39"/>
      <c r="M24" s="222" t="s">
        <v>171</v>
      </c>
      <c r="N24" s="39"/>
      <c r="O24" s="39"/>
      <c r="P24" s="39"/>
      <c r="Q24" s="39"/>
      <c r="R24" s="39"/>
      <c r="S24" s="223"/>
      <c r="T24" s="39"/>
    </row>
    <row r="25" spans="1:20" ht="15.4">
      <c r="A25" s="231">
        <f>ConcData!E28</f>
        <v>4.8277485648007294E-3</v>
      </c>
      <c r="J25" s="135"/>
      <c r="K25" s="221">
        <v>2.61E-4</v>
      </c>
      <c r="L25" s="39"/>
      <c r="M25" s="222" t="s">
        <v>172</v>
      </c>
      <c r="N25" s="39"/>
      <c r="O25" s="39"/>
      <c r="P25" s="39"/>
      <c r="Q25" s="39"/>
      <c r="R25" s="39"/>
      <c r="S25" s="223"/>
      <c r="T25" s="39"/>
    </row>
    <row r="26" spans="1:20" ht="15.4">
      <c r="A26" s="231">
        <f>ConcData!F28</f>
        <v>8.1757225152172316E-3</v>
      </c>
      <c r="J26" s="135"/>
      <c r="K26" s="221">
        <v>6.5399999999999996E-4</v>
      </c>
      <c r="L26" s="39"/>
      <c r="M26" s="222" t="s">
        <v>173</v>
      </c>
      <c r="N26" s="39"/>
      <c r="O26" s="39"/>
      <c r="P26" s="39"/>
      <c r="Q26" s="39"/>
      <c r="R26" s="39"/>
      <c r="S26" s="223"/>
      <c r="T26" s="39"/>
    </row>
    <row r="27" spans="1:20" ht="15.4">
      <c r="A27" s="231">
        <f>ConcData!G28</f>
        <v>1.0235076607238155E-2</v>
      </c>
      <c r="J27" s="135"/>
      <c r="K27" s="221">
        <v>1.305E-3</v>
      </c>
      <c r="L27" s="39"/>
      <c r="M27" s="222" t="s">
        <v>174</v>
      </c>
      <c r="N27" s="39"/>
      <c r="O27" s="39"/>
      <c r="P27" s="39"/>
      <c r="Q27" s="39"/>
      <c r="R27" s="39"/>
      <c r="S27" s="223"/>
      <c r="T27" s="39"/>
    </row>
    <row r="28" spans="1:20" ht="15.4">
      <c r="A28" s="232" t="e">
        <f>ConcData!H28</f>
        <v>#DIV/0!</v>
      </c>
      <c r="J28" s="135"/>
      <c r="K28" s="221">
        <v>1.957E-3</v>
      </c>
      <c r="L28" s="39"/>
      <c r="M28" s="222" t="s">
        <v>175</v>
      </c>
      <c r="N28" s="39"/>
      <c r="O28" s="39"/>
      <c r="P28" s="39"/>
      <c r="Q28" s="39"/>
      <c r="R28" s="39"/>
      <c r="S28" s="223"/>
      <c r="T28" s="39"/>
    </row>
    <row r="29" spans="1:20" ht="15.4">
      <c r="A29" s="232" t="e">
        <f>ConcData!I28</f>
        <v>#DIV/0!</v>
      </c>
      <c r="J29" s="135"/>
      <c r="K29" s="221">
        <v>2.6099999999999999E-3</v>
      </c>
      <c r="L29" s="39"/>
      <c r="M29" s="222" t="s">
        <v>176</v>
      </c>
      <c r="N29" s="39"/>
      <c r="O29" s="39"/>
      <c r="P29" s="39"/>
      <c r="Q29" s="39"/>
      <c r="R29" s="39"/>
      <c r="S29" s="223"/>
    </row>
    <row r="30" spans="1:20" ht="15.4">
      <c r="A30" s="232" t="e">
        <f>ConcData!J28</f>
        <v>#DIV/0!</v>
      </c>
      <c r="J30" s="135"/>
      <c r="K30" s="221">
        <v>3.9139999999999999E-3</v>
      </c>
      <c r="L30" s="39"/>
      <c r="M30" s="222" t="s">
        <v>177</v>
      </c>
      <c r="N30" s="39"/>
      <c r="O30" s="39"/>
      <c r="P30" s="39"/>
      <c r="Q30" s="39"/>
      <c r="R30" s="39"/>
      <c r="S30" s="223"/>
    </row>
    <row r="31" spans="1:20" ht="15.4">
      <c r="A31" s="232" t="e">
        <f>ConcData!K28</f>
        <v>#DIV/0!</v>
      </c>
      <c r="J31" s="135"/>
      <c r="K31" s="221">
        <v>5.2189999999999997E-3</v>
      </c>
      <c r="L31" s="39"/>
      <c r="M31" s="222" t="s">
        <v>178</v>
      </c>
      <c r="N31" s="39"/>
      <c r="O31" s="39"/>
      <c r="P31" s="39"/>
      <c r="Q31" s="39"/>
      <c r="R31" s="39"/>
      <c r="S31" s="223"/>
    </row>
    <row r="32" spans="1:20" ht="15.4">
      <c r="A32" s="243">
        <f>NormStandard!E15</f>
        <v>22.5</v>
      </c>
      <c r="B32" s="243"/>
      <c r="C32" s="243"/>
      <c r="D32" s="243"/>
      <c r="E32" s="243"/>
      <c r="F32" s="243"/>
      <c r="G32" s="243"/>
      <c r="H32" s="243"/>
      <c r="I32" s="243"/>
      <c r="J32" s="2" t="s">
        <v>139</v>
      </c>
      <c r="K32" s="135">
        <v>20</v>
      </c>
      <c r="L32" s="39"/>
      <c r="M32" s="225" t="s">
        <v>196</v>
      </c>
      <c r="N32" s="39"/>
      <c r="O32" s="39"/>
      <c r="P32" s="39"/>
      <c r="Q32" s="39"/>
      <c r="R32" s="39"/>
      <c r="S32" s="223"/>
    </row>
    <row r="33" spans="1:19" ht="15.4">
      <c r="A33" s="242">
        <f>100000*Conc1!U15</f>
        <v>8482.2390962514837</v>
      </c>
      <c r="B33" s="242">
        <f>(100000*Conc1!$M15+$A33)/SIN(RADIANS($A32))</f>
        <v>37886.957697003076</v>
      </c>
      <c r="C33" s="242">
        <f>(100000*Conc2!$M15+$A33)/SIN(RADIANS($A32))</f>
        <v>67268.679992638135</v>
      </c>
      <c r="D33" s="242">
        <f>(100000*Conc3!$M15+$A33)/SIN(RADIANS($A32))</f>
        <v>120361.96764966285</v>
      </c>
      <c r="E33" s="242">
        <f>(100000*Conc4!$M15+$A33)/SIN(RADIANS($A32))</f>
        <v>153867.44044293088</v>
      </c>
      <c r="F33" s="242">
        <f>10000*(100000*Conc5!$M15+$A33)/SIN(RADIANS($A32))</f>
        <v>0</v>
      </c>
      <c r="G33" s="242">
        <f>10000*(100000*Conc6!$M15+$A33)/SIN(RADIANS($A32))</f>
        <v>0</v>
      </c>
      <c r="H33" s="242">
        <f>10000*(100000*Conc7!$M15+$A33)/SIN(RADIANS($A32))</f>
        <v>0</v>
      </c>
      <c r="I33" s="242">
        <f>10000*(100000*Conc8!$M15+$A33)/SIN(RADIANS($A32))</f>
        <v>0</v>
      </c>
      <c r="J33" s="135"/>
      <c r="K33" s="221" t="s">
        <v>179</v>
      </c>
      <c r="L33" s="39"/>
      <c r="M33" s="39"/>
      <c r="N33" s="39"/>
      <c r="O33" s="39"/>
      <c r="P33" s="39"/>
      <c r="Q33" s="39"/>
      <c r="R33" s="39"/>
      <c r="S33" s="223"/>
    </row>
    <row r="34" spans="1:19" ht="15.4">
      <c r="A34" s="242">
        <f>0.025*A33</f>
        <v>212.0559774062871</v>
      </c>
      <c r="B34" s="242">
        <f t="shared" ref="B34:I34" si="0">0.025*B33</f>
        <v>947.17394242507692</v>
      </c>
      <c r="C34" s="242">
        <f t="shared" si="0"/>
        <v>1681.7169998159534</v>
      </c>
      <c r="D34" s="242">
        <f t="shared" si="0"/>
        <v>3009.0491912415714</v>
      </c>
      <c r="E34" s="242">
        <f t="shared" si="0"/>
        <v>3846.6860110732723</v>
      </c>
      <c r="F34" s="242">
        <f t="shared" si="0"/>
        <v>0</v>
      </c>
      <c r="G34" s="242">
        <f t="shared" si="0"/>
        <v>0</v>
      </c>
      <c r="H34" s="242">
        <f t="shared" si="0"/>
        <v>0</v>
      </c>
      <c r="I34" s="242">
        <f t="shared" si="0"/>
        <v>0</v>
      </c>
      <c r="J34" s="135"/>
      <c r="K34" s="221" t="s">
        <v>180</v>
      </c>
      <c r="L34" s="39"/>
      <c r="M34" s="39"/>
      <c r="N34" s="39"/>
      <c r="O34" s="39"/>
      <c r="P34" s="39"/>
      <c r="Q34" s="39"/>
      <c r="R34" s="39"/>
      <c r="S34" s="223"/>
    </row>
    <row r="35" spans="1:19" ht="15.4">
      <c r="A35" s="243">
        <f>NormStandard!E16</f>
        <v>28</v>
      </c>
      <c r="B35" s="243"/>
      <c r="C35" s="243"/>
      <c r="D35" s="243"/>
      <c r="E35" s="243"/>
      <c r="F35" s="243"/>
      <c r="G35" s="243"/>
      <c r="H35" s="243"/>
      <c r="I35" s="243"/>
      <c r="J35" s="2" t="s">
        <v>139</v>
      </c>
      <c r="K35" s="239">
        <v>30</v>
      </c>
      <c r="L35" s="39"/>
      <c r="M35" s="39"/>
      <c r="N35" s="39"/>
      <c r="O35" s="39"/>
      <c r="P35" s="39"/>
      <c r="Q35" s="39"/>
      <c r="R35" s="39"/>
      <c r="S35" s="223"/>
    </row>
    <row r="36" spans="1:19" ht="15.4">
      <c r="A36" s="242">
        <f>100000*Conc1!U16</f>
        <v>7669.671740396866</v>
      </c>
      <c r="B36" s="242">
        <f>(100000*Conc1!$M16+$A36)/SIN(RADIANS($A35))</f>
        <v>29006.188055828337</v>
      </c>
      <c r="C36" s="242">
        <f>(100000*Conc2!$M16+$A36)/SIN(RADIANS($A35))</f>
        <v>38341.512947359297</v>
      </c>
      <c r="D36" s="242">
        <f>(100000*Conc3!$M16+$A36)/SIN(RADIANS($A35))</f>
        <v>60012.802874127599</v>
      </c>
      <c r="E36" s="242">
        <f>(100000*Conc4!$M16+$A36)/SIN(RADIANS($A35))</f>
        <v>90019.20431119141</v>
      </c>
      <c r="F36" s="242">
        <f>(100000*Conc5!$M16+$A36)/SIN(RADIANS($A35))</f>
        <v>0</v>
      </c>
      <c r="G36" s="242">
        <f>(100000*Conc6!$M16+$A36)/SIN(RADIANS($A35))</f>
        <v>0</v>
      </c>
      <c r="H36" s="242">
        <f>(100000*Conc7!$M16+$A36)/SIN(RADIANS($A35))</f>
        <v>0</v>
      </c>
      <c r="I36" s="242">
        <f>(100000*Conc8!$M16+$A36)/SIN(RADIANS($A35))</f>
        <v>0</v>
      </c>
      <c r="J36" s="135"/>
      <c r="K36" s="221" t="s">
        <v>181</v>
      </c>
      <c r="L36" s="39"/>
      <c r="M36" s="39"/>
      <c r="N36" s="39"/>
      <c r="O36" s="39"/>
      <c r="P36" s="39"/>
      <c r="Q36" s="39"/>
      <c r="R36" s="39"/>
      <c r="S36" s="223"/>
    </row>
    <row r="37" spans="1:19" ht="15.4">
      <c r="A37" s="242">
        <f t="shared" ref="A37:I37" si="1">0.025*A36</f>
        <v>191.74179350992165</v>
      </c>
      <c r="B37" s="242">
        <f t="shared" si="1"/>
        <v>725.15470139570846</v>
      </c>
      <c r="C37" s="242">
        <f t="shared" si="1"/>
        <v>958.53782368398242</v>
      </c>
      <c r="D37" s="242">
        <f t="shared" si="1"/>
        <v>1500.32007185319</v>
      </c>
      <c r="E37" s="242">
        <f t="shared" si="1"/>
        <v>2250.4801077797852</v>
      </c>
      <c r="F37" s="242">
        <f t="shared" si="1"/>
        <v>0</v>
      </c>
      <c r="G37" s="242">
        <f t="shared" si="1"/>
        <v>0</v>
      </c>
      <c r="H37" s="242">
        <f t="shared" si="1"/>
        <v>0</v>
      </c>
      <c r="I37" s="242">
        <f t="shared" si="1"/>
        <v>0</v>
      </c>
      <c r="J37" s="135"/>
      <c r="K37" s="221" t="s">
        <v>182</v>
      </c>
      <c r="L37" s="39"/>
      <c r="M37" s="39"/>
      <c r="N37" s="39"/>
      <c r="O37" s="39"/>
      <c r="P37" s="39"/>
      <c r="Q37" s="39"/>
      <c r="R37" s="39"/>
      <c r="S37" s="223"/>
    </row>
    <row r="38" spans="1:19" ht="15.4">
      <c r="A38" s="243">
        <f>NormStandard!E17</f>
        <v>32</v>
      </c>
      <c r="B38" s="243"/>
      <c r="C38" s="243"/>
      <c r="D38" s="243"/>
      <c r="E38" s="243"/>
      <c r="F38" s="243"/>
      <c r="G38" s="243"/>
      <c r="H38" s="243"/>
      <c r="I38" s="243"/>
      <c r="J38" s="2" t="s">
        <v>139</v>
      </c>
      <c r="K38" s="239">
        <v>40</v>
      </c>
      <c r="L38" s="39"/>
      <c r="M38" s="39"/>
      <c r="N38" s="39"/>
      <c r="O38" s="39"/>
      <c r="P38" s="39"/>
      <c r="Q38" s="39"/>
      <c r="R38" s="39"/>
      <c r="S38" s="223"/>
    </row>
    <row r="39" spans="1:19" ht="15.4">
      <c r="A39" s="242">
        <f>100000*Conc1!U17</f>
        <v>3591.8593911456924</v>
      </c>
      <c r="B39" s="242">
        <f>(100000*Conc1!$M17+$A39)/SIN(RADIANS($A38))</f>
        <v>23497.50247456312</v>
      </c>
      <c r="C39" s="242">
        <f>(100000*Conc2!$M17+$A39)/SIN(RADIANS($A38))</f>
        <v>30501.56571217328</v>
      </c>
      <c r="D39" s="242">
        <f>(100000*Conc3!$M17+$A39)/SIN(RADIANS($A38))</f>
        <v>46091.254853950726</v>
      </c>
      <c r="E39" s="242">
        <f>(100000*Conc4!$M17+$A39)/SIN(RADIANS($A38))</f>
        <v>54225.005710530277</v>
      </c>
      <c r="F39" s="242">
        <f>(100000*Conc5!$M17+$A39)/SIN(RADIANS($A38))</f>
        <v>0</v>
      </c>
      <c r="G39" s="242">
        <f>(100000*Conc6!$M17+$A39)/SIN(RADIANS($A38))</f>
        <v>0</v>
      </c>
      <c r="H39" s="242">
        <f>(100000*Conc7!$M17+$A39)/SIN(RADIANS($A38))</f>
        <v>0</v>
      </c>
      <c r="I39" s="242">
        <f>(100000*Conc8!$M17+$A39)/SIN(RADIANS($A38))</f>
        <v>0</v>
      </c>
      <c r="J39" s="135"/>
      <c r="K39" s="221" t="s">
        <v>183</v>
      </c>
      <c r="L39" s="39"/>
      <c r="M39" s="39"/>
      <c r="N39" s="39"/>
      <c r="O39" s="39"/>
      <c r="P39" s="39"/>
      <c r="Q39" s="39"/>
      <c r="R39" s="39"/>
      <c r="S39" s="223"/>
    </row>
    <row r="40" spans="1:19" ht="15.4">
      <c r="A40" s="242">
        <f t="shared" ref="A40:I40" si="2">0.025*A39</f>
        <v>89.796484778642309</v>
      </c>
      <c r="B40" s="242">
        <f t="shared" si="2"/>
        <v>587.43756186407802</v>
      </c>
      <c r="C40" s="242">
        <f t="shared" si="2"/>
        <v>762.53914280433207</v>
      </c>
      <c r="D40" s="242">
        <f t="shared" si="2"/>
        <v>1152.2813713487683</v>
      </c>
      <c r="E40" s="242">
        <f t="shared" si="2"/>
        <v>1355.6251427632569</v>
      </c>
      <c r="F40" s="242">
        <f t="shared" si="2"/>
        <v>0</v>
      </c>
      <c r="G40" s="242">
        <f t="shared" si="2"/>
        <v>0</v>
      </c>
      <c r="H40" s="242">
        <f t="shared" si="2"/>
        <v>0</v>
      </c>
      <c r="I40" s="242">
        <f t="shared" si="2"/>
        <v>0</v>
      </c>
      <c r="J40" s="135"/>
      <c r="K40" s="221" t="s">
        <v>184</v>
      </c>
      <c r="L40" s="39"/>
      <c r="M40" s="39"/>
      <c r="N40" s="39"/>
      <c r="O40" s="39"/>
      <c r="P40" s="39"/>
      <c r="Q40" s="39"/>
      <c r="R40" s="39"/>
      <c r="S40" s="223"/>
    </row>
    <row r="41" spans="1:19" ht="15.4">
      <c r="A41" s="243">
        <f>NormStandard!E19</f>
        <v>44</v>
      </c>
      <c r="B41" s="243"/>
      <c r="C41" s="243"/>
      <c r="D41" s="243"/>
      <c r="E41" s="243"/>
      <c r="F41" s="243"/>
      <c r="G41" s="243"/>
      <c r="H41" s="243"/>
      <c r="I41" s="243"/>
      <c r="J41" s="3" t="s">
        <v>1</v>
      </c>
      <c r="K41" s="239">
        <v>60</v>
      </c>
      <c r="L41" s="39"/>
      <c r="M41" s="39"/>
      <c r="N41" s="39"/>
      <c r="O41" s="39"/>
      <c r="P41" s="39"/>
      <c r="Q41" s="39"/>
      <c r="R41" s="39"/>
      <c r="S41" s="223"/>
    </row>
    <row r="42" spans="1:19" ht="15.4">
      <c r="A42" s="242">
        <f>100000*Conc1!U19</f>
        <v>5435.2297920450073</v>
      </c>
      <c r="B42" s="242">
        <f>(100000*Conc1!$M19+$A42)/SIN(RADIANS($A41))</f>
        <v>16840.825383000029</v>
      </c>
      <c r="C42" s="242">
        <f>(100000*Conc2!$M19+$A42)/SIN(RADIANS($A41))</f>
        <v>33632.354304847257</v>
      </c>
      <c r="D42" s="242">
        <f>(100000*Conc3!$M19+$A42)/SIN(RADIANS($A41))</f>
        <v>43091.077513544311</v>
      </c>
      <c r="E42" s="242">
        <f>(100000*Conc4!$M19+$A42)/SIN(RADIANS($A41))</f>
        <v>43718.485510034647</v>
      </c>
      <c r="F42" s="242">
        <f>(100000*Conc5!$M19+$A42)/SIN(RADIANS($A41))</f>
        <v>0</v>
      </c>
      <c r="G42" s="242">
        <f>(100000*Conc6!$M19+$A42)/SIN(RADIANS($A41))</f>
        <v>0</v>
      </c>
      <c r="H42" s="242">
        <f>(100000*Conc7!$M19+$A42)/SIN(RADIANS($A41))</f>
        <v>0</v>
      </c>
      <c r="I42" s="242">
        <f>(100000*Conc8!$M19+$A42)/SIN(RADIANS($A41))</f>
        <v>0</v>
      </c>
      <c r="J42" s="135"/>
      <c r="K42" s="221" t="s">
        <v>185</v>
      </c>
      <c r="L42" s="39"/>
      <c r="M42" s="39"/>
      <c r="N42" s="39"/>
      <c r="O42" s="39"/>
      <c r="P42" s="39"/>
      <c r="Q42" s="39"/>
      <c r="R42" s="39"/>
      <c r="S42" s="223"/>
    </row>
    <row r="43" spans="1:19" ht="15.4">
      <c r="A43" s="242">
        <f t="shared" ref="A43:I43" si="3">0.025*A42</f>
        <v>135.88074480112519</v>
      </c>
      <c r="B43" s="242">
        <f t="shared" si="3"/>
        <v>421.02063457500071</v>
      </c>
      <c r="C43" s="242">
        <f t="shared" si="3"/>
        <v>840.80885762118146</v>
      </c>
      <c r="D43" s="242">
        <f t="shared" si="3"/>
        <v>1077.2769378386079</v>
      </c>
      <c r="E43" s="242">
        <f t="shared" si="3"/>
        <v>1092.9621377508663</v>
      </c>
      <c r="F43" s="242">
        <f t="shared" si="3"/>
        <v>0</v>
      </c>
      <c r="G43" s="242">
        <f t="shared" si="3"/>
        <v>0</v>
      </c>
      <c r="H43" s="242">
        <f t="shared" si="3"/>
        <v>0</v>
      </c>
      <c r="I43" s="242">
        <f t="shared" si="3"/>
        <v>0</v>
      </c>
      <c r="J43" s="135"/>
      <c r="K43" s="221" t="s">
        <v>186</v>
      </c>
      <c r="L43" s="39"/>
      <c r="M43" s="39"/>
      <c r="N43" s="39"/>
      <c r="O43" s="39"/>
      <c r="P43" s="39"/>
      <c r="Q43" s="39"/>
      <c r="R43" s="39"/>
      <c r="S43" s="223"/>
    </row>
    <row r="44" spans="1:19" ht="15.4">
      <c r="A44" s="243">
        <f>NormStandard!E20</f>
        <v>50</v>
      </c>
      <c r="B44" s="243"/>
      <c r="C44" s="243"/>
      <c r="D44" s="243"/>
      <c r="E44" s="243"/>
      <c r="F44" s="243"/>
      <c r="G44" s="243"/>
      <c r="H44" s="243"/>
      <c r="I44" s="243"/>
      <c r="J44" s="3" t="s">
        <v>1</v>
      </c>
      <c r="K44" s="239">
        <v>75</v>
      </c>
      <c r="L44" s="39"/>
      <c r="M44" s="39"/>
      <c r="N44" s="39"/>
      <c r="O44" s="39"/>
      <c r="P44" s="39"/>
      <c r="Q44" s="39"/>
      <c r="R44" s="39"/>
      <c r="S44" s="223"/>
    </row>
    <row r="45" spans="1:19" ht="15.4">
      <c r="A45" s="242">
        <f>100000*Conc1!U20</f>
        <v>2412.4313700592425</v>
      </c>
      <c r="B45" s="242">
        <f>(100000*Conc1!$M20+$A45)/SIN(RADIANS($A44))</f>
        <v>14059.854816482231</v>
      </c>
      <c r="C45" s="242">
        <f>(100000*Conc2!$M20+$A45)/SIN(RADIANS($A44))</f>
        <v>15299.285880824114</v>
      </c>
      <c r="D45" s="242">
        <f>(100000*Conc3!$M20+$A45)/SIN(RADIANS($A44))</f>
        <v>18897.854653671642</v>
      </c>
      <c r="E45" s="242">
        <f>(100000*Conc4!$M20+$A45)/SIN(RADIANS($A44))</f>
        <v>18470.985637003199</v>
      </c>
      <c r="F45" s="242">
        <f>(100000*Conc5!$M20+$A45)/SIN(RADIANS($A44))</f>
        <v>0</v>
      </c>
      <c r="G45" s="242">
        <f>(100000*Conc6!$M20+$A45)/SIN(RADIANS($A44))</f>
        <v>0</v>
      </c>
      <c r="H45" s="242">
        <f>(100000*Conc7!$M20+$A45)/SIN(RADIANS($A44))</f>
        <v>0</v>
      </c>
      <c r="I45" s="242">
        <f>(100000*Conc8!$M20+$A45)/SIN(RADIANS($A44))</f>
        <v>0</v>
      </c>
      <c r="J45" s="135"/>
      <c r="K45" s="221" t="s">
        <v>187</v>
      </c>
      <c r="L45" s="39"/>
      <c r="M45" s="39"/>
      <c r="N45" s="39"/>
      <c r="O45" s="39"/>
      <c r="P45" s="39"/>
      <c r="Q45" s="39"/>
      <c r="R45" s="39"/>
      <c r="S45" s="223"/>
    </row>
    <row r="46" spans="1:19" ht="15.4">
      <c r="A46" s="242">
        <f t="shared" ref="A46:I46" si="4">0.025*A45</f>
        <v>60.310784251481067</v>
      </c>
      <c r="B46" s="242">
        <f t="shared" si="4"/>
        <v>351.4963704120558</v>
      </c>
      <c r="C46" s="242">
        <f t="shared" si="4"/>
        <v>382.48214702060289</v>
      </c>
      <c r="D46" s="242">
        <f t="shared" si="4"/>
        <v>472.44636634179108</v>
      </c>
      <c r="E46" s="242">
        <f t="shared" si="4"/>
        <v>461.77464092508001</v>
      </c>
      <c r="F46" s="242">
        <f t="shared" si="4"/>
        <v>0</v>
      </c>
      <c r="G46" s="242">
        <f t="shared" si="4"/>
        <v>0</v>
      </c>
      <c r="H46" s="242">
        <f t="shared" si="4"/>
        <v>0</v>
      </c>
      <c r="I46" s="242">
        <f t="shared" si="4"/>
        <v>0</v>
      </c>
      <c r="J46" s="135"/>
      <c r="K46" s="221" t="s">
        <v>188</v>
      </c>
      <c r="L46" s="39"/>
      <c r="M46" s="39"/>
      <c r="N46" s="39"/>
      <c r="O46" s="39"/>
      <c r="P46" s="39"/>
      <c r="Q46" s="39"/>
      <c r="R46" s="39"/>
      <c r="S46" s="223"/>
    </row>
    <row r="47" spans="1:19" ht="15.4">
      <c r="A47" s="243">
        <f>NormStandard!E21</f>
        <v>57</v>
      </c>
      <c r="B47" s="243"/>
      <c r="C47" s="243"/>
      <c r="D47" s="243"/>
      <c r="E47" s="243"/>
      <c r="F47" s="243"/>
      <c r="G47" s="243"/>
      <c r="H47" s="243"/>
      <c r="I47" s="243"/>
      <c r="J47" s="2" t="s">
        <v>139</v>
      </c>
      <c r="K47" s="239">
        <v>90</v>
      </c>
      <c r="L47" s="39"/>
      <c r="M47" s="39"/>
      <c r="N47" s="39"/>
      <c r="O47" s="39"/>
      <c r="P47" s="39"/>
      <c r="Q47" s="39"/>
      <c r="R47" s="39"/>
      <c r="S47" s="223"/>
    </row>
    <row r="48" spans="1:19" ht="15.4">
      <c r="A48" s="242">
        <f>100000*Conc1!U21</f>
        <v>4493.5616412029976</v>
      </c>
      <c r="B48" s="242">
        <f>(100000*Conc1!$M21+$A48)/SIN(RADIANS($A47))</f>
        <v>13657.539885462636</v>
      </c>
      <c r="C48" s="242">
        <f>(100000*Conc2!$M21+$A48)/SIN(RADIANS($A47))</f>
        <v>17019.395857268824</v>
      </c>
      <c r="D48" s="242">
        <f>(100000*Conc3!$M21+$A48)/SIN(RADIANS($A47))</f>
        <v>20591.367827312897</v>
      </c>
      <c r="E48" s="242">
        <f>(100000*Conc4!$M21+$A48)/SIN(RADIANS($A47))</f>
        <v>23848.165800000141</v>
      </c>
      <c r="F48" s="242">
        <f>(100000*Conc5!$M21+$A48)/SIN(RADIANS($A47))</f>
        <v>0</v>
      </c>
      <c r="G48" s="242">
        <f>(100000*Conc6!$M21+$A48)/SIN(RADIANS($A47))</f>
        <v>0</v>
      </c>
      <c r="H48" s="242">
        <f>(100000*Conc7!$M21+$A48)/SIN(RADIANS($A47))</f>
        <v>0</v>
      </c>
      <c r="I48" s="242">
        <f>(100000*Conc8!$M21+$A48)/SIN(RADIANS($A47))</f>
        <v>0</v>
      </c>
      <c r="J48" s="135"/>
      <c r="K48" s="221" t="s">
        <v>189</v>
      </c>
      <c r="L48" s="39"/>
      <c r="M48" s="39"/>
      <c r="N48" s="39"/>
      <c r="O48" s="39"/>
      <c r="P48" s="39"/>
      <c r="Q48" s="39"/>
      <c r="R48" s="39"/>
      <c r="S48" s="223"/>
    </row>
    <row r="49" spans="1:20" ht="15.4">
      <c r="A49" s="242">
        <f t="shared" ref="A49:I49" si="5">0.025*A48</f>
        <v>112.33904103007495</v>
      </c>
      <c r="B49" s="242">
        <f t="shared" si="5"/>
        <v>341.43849713656596</v>
      </c>
      <c r="C49" s="242">
        <f t="shared" si="5"/>
        <v>425.48489643172064</v>
      </c>
      <c r="D49" s="242">
        <f t="shared" si="5"/>
        <v>514.78419568282243</v>
      </c>
      <c r="E49" s="242">
        <f t="shared" si="5"/>
        <v>596.20414500000356</v>
      </c>
      <c r="F49" s="242">
        <f t="shared" si="5"/>
        <v>0</v>
      </c>
      <c r="G49" s="242">
        <f t="shared" si="5"/>
        <v>0</v>
      </c>
      <c r="H49" s="242">
        <f t="shared" si="5"/>
        <v>0</v>
      </c>
      <c r="I49" s="242">
        <f t="shared" si="5"/>
        <v>0</v>
      </c>
      <c r="J49" s="135"/>
      <c r="K49" s="221" t="s">
        <v>190</v>
      </c>
      <c r="L49" s="39"/>
      <c r="M49" s="39"/>
      <c r="N49" s="39"/>
      <c r="O49" s="39"/>
      <c r="P49" s="39"/>
      <c r="Q49" s="39"/>
      <c r="R49" s="39"/>
      <c r="S49" s="223"/>
    </row>
    <row r="50" spans="1:20" ht="15.4">
      <c r="A50" s="243">
        <f>NormStandard!E22</f>
        <v>64</v>
      </c>
      <c r="B50" s="243"/>
      <c r="C50" s="243"/>
      <c r="D50" s="243"/>
      <c r="E50" s="243"/>
      <c r="F50" s="243"/>
      <c r="G50" s="243"/>
      <c r="H50" s="243"/>
      <c r="I50" s="243"/>
      <c r="J50" s="3" t="s">
        <v>1</v>
      </c>
      <c r="K50" s="239">
        <v>110</v>
      </c>
      <c r="L50" s="39"/>
      <c r="M50" s="39"/>
      <c r="N50" s="39"/>
      <c r="O50" s="39"/>
      <c r="P50" s="39"/>
      <c r="Q50" s="39"/>
      <c r="R50" s="39"/>
      <c r="S50" s="223"/>
    </row>
    <row r="51" spans="1:20" ht="15.4">
      <c r="A51" s="242">
        <f>100000*Conc1!U22</f>
        <v>3153.8530577540323</v>
      </c>
      <c r="B51" s="242">
        <f>(100000*Conc1!$M22+$A51)/SIN(RADIANS($A50))</f>
        <v>11518.423517420564</v>
      </c>
      <c r="C51" s="242">
        <f>(100000*Conc2!$M22+$A51)/SIN(RADIANS($A50))</f>
        <v>12286.228134650404</v>
      </c>
      <c r="D51" s="242">
        <f>(100000*Conc3!$M22+$A51)/SIN(RADIANS($A50))</f>
        <v>14182.923144957045</v>
      </c>
      <c r="E51" s="242">
        <f>(100000*Conc4!$M22+$A51)/SIN(RADIANS($A50))</f>
        <v>15561.158243632153</v>
      </c>
      <c r="F51" s="242">
        <f>(100000*Conc5!$M22+$A51)/SIN(RADIANS($A50))</f>
        <v>0</v>
      </c>
      <c r="G51" s="242">
        <f>(100000*Conc6!$M22+$A51)/SIN(RADIANS($A50))</f>
        <v>0</v>
      </c>
      <c r="H51" s="242">
        <f>(100000*Conc7!$M22+$A51)/SIN(RADIANS($A50))</f>
        <v>0</v>
      </c>
      <c r="I51" s="242">
        <f>(100000*Conc8!$M22+$A51)/SIN(RADIANS($A50))</f>
        <v>0</v>
      </c>
      <c r="J51" s="135"/>
      <c r="K51" s="221" t="s">
        <v>191</v>
      </c>
      <c r="L51" s="39"/>
      <c r="M51" s="39"/>
      <c r="N51" s="39"/>
      <c r="O51" s="39"/>
      <c r="P51" s="39"/>
      <c r="Q51" s="39"/>
      <c r="R51" s="39"/>
      <c r="S51" s="223"/>
    </row>
    <row r="52" spans="1:20" ht="15.4">
      <c r="A52" s="242">
        <f t="shared" ref="A52:I52" si="6">0.025*A51</f>
        <v>78.846326443850813</v>
      </c>
      <c r="B52" s="242">
        <f t="shared" si="6"/>
        <v>287.96058793551413</v>
      </c>
      <c r="C52" s="242">
        <f t="shared" si="6"/>
        <v>307.15570336626013</v>
      </c>
      <c r="D52" s="242">
        <f t="shared" si="6"/>
        <v>354.57307862392616</v>
      </c>
      <c r="E52" s="242">
        <f t="shared" si="6"/>
        <v>389.02895609080383</v>
      </c>
      <c r="F52" s="242">
        <f t="shared" si="6"/>
        <v>0</v>
      </c>
      <c r="G52" s="242">
        <f t="shared" si="6"/>
        <v>0</v>
      </c>
      <c r="H52" s="242">
        <f t="shared" si="6"/>
        <v>0</v>
      </c>
      <c r="I52" s="242">
        <f t="shared" si="6"/>
        <v>0</v>
      </c>
      <c r="J52" s="135"/>
      <c r="K52" s="221" t="s">
        <v>192</v>
      </c>
      <c r="L52" s="39"/>
      <c r="M52" s="39"/>
      <c r="N52" s="39"/>
      <c r="O52" s="39"/>
      <c r="P52" s="39"/>
      <c r="Q52" s="39"/>
      <c r="R52" s="39"/>
      <c r="S52" s="223"/>
      <c r="T52" s="39"/>
    </row>
    <row r="53" spans="1:20" ht="15.4">
      <c r="A53" s="243">
        <f>NormStandard!E23</f>
        <v>72</v>
      </c>
      <c r="B53" s="243"/>
      <c r="C53" s="243"/>
      <c r="D53" s="243"/>
      <c r="E53" s="243"/>
      <c r="F53" s="243"/>
      <c r="G53" s="243"/>
      <c r="H53" s="243"/>
      <c r="I53" s="243"/>
      <c r="J53" s="2" t="s">
        <v>139</v>
      </c>
      <c r="K53" s="239">
        <v>120</v>
      </c>
      <c r="L53" s="39"/>
      <c r="M53" s="39"/>
      <c r="N53" s="39"/>
      <c r="O53" s="39"/>
      <c r="P53" s="39"/>
      <c r="Q53" s="39"/>
      <c r="R53" s="39"/>
      <c r="S53" s="223"/>
      <c r="T53" s="39"/>
    </row>
    <row r="54" spans="1:20" ht="15.4">
      <c r="A54" s="242">
        <f>100000*Conc1!U23</f>
        <v>3243.0036966311568</v>
      </c>
      <c r="B54" s="242">
        <f>(100000*Conc1!$M23+$A54)/SIN(RADIANS($A53))</f>
        <v>11633.762414365747</v>
      </c>
      <c r="C54" s="242">
        <f>(100000*Conc2!$M23+$A54)/SIN(RADIANS($A53))</f>
        <v>14241.329852068413</v>
      </c>
      <c r="D54" s="242">
        <f>(100000*Conc3!$M23+$A54)/SIN(RADIANS($A53))</f>
        <v>16548.024123882311</v>
      </c>
      <c r="E54" s="242">
        <f>(100000*Conc4!$M23+$A54)/SIN(RADIANS($A53))</f>
        <v>17952.098898029901</v>
      </c>
      <c r="F54" s="242">
        <f>(100000*Conc5!$M23+$A54)/SIN(RADIANS($A53))</f>
        <v>0</v>
      </c>
      <c r="G54" s="242">
        <f>(100000*Conc6!$M23+$A54)/SIN(RADIANS($A53))</f>
        <v>0</v>
      </c>
      <c r="H54" s="242">
        <f>(100000*Conc7!$M23+$A54)/SIN(RADIANS($A53))</f>
        <v>0</v>
      </c>
      <c r="I54" s="242">
        <f>(100000*Conc8!$M23+$A54)/SIN(RADIANS($A53))</f>
        <v>0</v>
      </c>
      <c r="J54" s="135"/>
      <c r="K54" s="221" t="s">
        <v>193</v>
      </c>
      <c r="L54" s="39"/>
      <c r="M54" s="39"/>
      <c r="N54" s="39"/>
      <c r="O54" s="39"/>
      <c r="P54" s="39"/>
      <c r="Q54" s="39"/>
      <c r="R54" s="39"/>
      <c r="S54" s="223"/>
      <c r="T54" s="39"/>
    </row>
    <row r="55" spans="1:20" ht="15.4">
      <c r="A55" s="242">
        <f t="shared" ref="A55:I55" si="7">0.025*A54</f>
        <v>81.075092415778926</v>
      </c>
      <c r="B55" s="242">
        <f t="shared" si="7"/>
        <v>290.84406035914367</v>
      </c>
      <c r="C55" s="242">
        <f t="shared" si="7"/>
        <v>356.03324630171034</v>
      </c>
      <c r="D55" s="242">
        <f t="shared" si="7"/>
        <v>413.70060309705781</v>
      </c>
      <c r="E55" s="242">
        <f t="shared" si="7"/>
        <v>448.80247245074753</v>
      </c>
      <c r="F55" s="242">
        <f t="shared" si="7"/>
        <v>0</v>
      </c>
      <c r="G55" s="242">
        <f t="shared" si="7"/>
        <v>0</v>
      </c>
      <c r="H55" s="242">
        <f t="shared" si="7"/>
        <v>0</v>
      </c>
      <c r="I55" s="242">
        <f t="shared" si="7"/>
        <v>0</v>
      </c>
      <c r="J55" s="135"/>
      <c r="K55" s="221" t="s">
        <v>194</v>
      </c>
      <c r="L55" s="39"/>
      <c r="M55" s="39"/>
      <c r="N55" s="39"/>
      <c r="O55" s="39"/>
      <c r="P55" s="39"/>
      <c r="Q55" s="39"/>
      <c r="R55" s="39"/>
      <c r="S55" s="223"/>
      <c r="T55" s="39"/>
    </row>
    <row r="56" spans="1:20" ht="15.75" thickBot="1">
      <c r="A56" s="243">
        <f>NormStandard!E24</f>
        <v>81</v>
      </c>
      <c r="B56" s="243"/>
      <c r="C56" s="243"/>
      <c r="D56" s="243"/>
      <c r="E56" s="243"/>
      <c r="F56" s="243"/>
      <c r="G56" s="243"/>
      <c r="H56" s="243"/>
      <c r="I56" s="243"/>
      <c r="J56" s="3" t="s">
        <v>1</v>
      </c>
      <c r="K56" s="240"/>
      <c r="L56" s="226"/>
      <c r="M56" s="226"/>
      <c r="N56" s="226"/>
      <c r="O56" s="226"/>
      <c r="P56" s="226"/>
      <c r="Q56" s="226"/>
      <c r="R56" s="226"/>
      <c r="S56" s="227"/>
      <c r="T56" s="39"/>
    </row>
    <row r="57" spans="1:20">
      <c r="A57" s="242">
        <f>100000*Conc1!U24</f>
        <v>5341.5054240622876</v>
      </c>
      <c r="B57" s="242">
        <f>(100000*Conc1!$M24+$A57)/SIN(RADIANS($A56))</f>
        <v>11997.622885862043</v>
      </c>
      <c r="C57" s="242">
        <f>(100000*Conc2!$M24+$A57)/SIN(RADIANS($A56))</f>
        <v>11171.506560382179</v>
      </c>
      <c r="D57" s="242">
        <f>(100000*Conc3!$M24+$A57)/SIN(RADIANS($A56))</f>
        <v>11861.062720836695</v>
      </c>
      <c r="E57" s="242">
        <f>(100000*Conc4!$M24+$A57)/SIN(RADIANS($A56))</f>
        <v>12885.754688061703</v>
      </c>
      <c r="F57" s="242">
        <f>(100000*Conc5!$M24+$A57)/SIN(RADIANS($A56))</f>
        <v>0</v>
      </c>
      <c r="G57" s="242">
        <f>(100000*Conc6!$M24+$A57)/SIN(RADIANS($A56))</f>
        <v>0</v>
      </c>
      <c r="H57" s="242">
        <f>(100000*Conc7!$M24+$A57)/SIN(RADIANS($A56))</f>
        <v>0</v>
      </c>
      <c r="I57" s="242">
        <f>(100000*Conc8!$M24+$A57)/SIN(RADIANS($A56))</f>
        <v>0</v>
      </c>
      <c r="J57" s="135"/>
      <c r="K57" s="39"/>
      <c r="L57" s="39"/>
      <c r="M57" s="39"/>
      <c r="N57" s="39"/>
      <c r="O57" s="39"/>
      <c r="P57" s="39"/>
      <c r="Q57" s="39"/>
      <c r="R57" s="39"/>
      <c r="S57" s="39"/>
      <c r="T57" s="39"/>
    </row>
    <row r="58" spans="1:20">
      <c r="A58" s="242">
        <f t="shared" ref="A58:I58" si="8">0.025*A57</f>
        <v>133.53763560155718</v>
      </c>
      <c r="B58" s="242">
        <f t="shared" si="8"/>
        <v>299.94057214655112</v>
      </c>
      <c r="C58" s="242">
        <f t="shared" si="8"/>
        <v>279.28766400955448</v>
      </c>
      <c r="D58" s="242">
        <f t="shared" si="8"/>
        <v>296.52656802091741</v>
      </c>
      <c r="E58" s="242">
        <f t="shared" si="8"/>
        <v>322.14386720154261</v>
      </c>
      <c r="F58" s="242">
        <f t="shared" si="8"/>
        <v>0</v>
      </c>
      <c r="G58" s="242">
        <f t="shared" si="8"/>
        <v>0</v>
      </c>
      <c r="H58" s="242">
        <f t="shared" si="8"/>
        <v>0</v>
      </c>
      <c r="I58" s="242">
        <f t="shared" si="8"/>
        <v>0</v>
      </c>
      <c r="J58" s="135"/>
      <c r="K58" s="39"/>
      <c r="L58" s="39"/>
      <c r="M58" s="39"/>
      <c r="N58" s="39"/>
      <c r="O58" s="39"/>
      <c r="P58" s="39"/>
      <c r="Q58" s="39"/>
      <c r="R58" s="39"/>
      <c r="S58" s="39"/>
      <c r="T58" s="39"/>
    </row>
    <row r="59" spans="1:20">
      <c r="A59" s="243">
        <f>NormStandard!E25</f>
        <v>90</v>
      </c>
      <c r="B59" s="243"/>
      <c r="C59" s="243"/>
      <c r="D59" s="243"/>
      <c r="E59" s="243"/>
      <c r="F59" s="243"/>
      <c r="G59" s="243"/>
      <c r="H59" s="243"/>
      <c r="I59" s="243"/>
      <c r="J59" s="2" t="s">
        <v>139</v>
      </c>
      <c r="K59" s="39"/>
      <c r="L59" s="39"/>
      <c r="M59" s="39"/>
      <c r="N59" s="39"/>
      <c r="O59" s="39"/>
      <c r="P59" s="39"/>
      <c r="Q59" s="39"/>
      <c r="R59" s="39"/>
      <c r="S59" s="39"/>
      <c r="T59" s="39"/>
    </row>
    <row r="60" spans="1:20">
      <c r="A60" s="242">
        <f>100000*Conc1!U25</f>
        <v>3181.3946625166518</v>
      </c>
      <c r="B60" s="242">
        <f>(100000*Conc1!$M25+$A60)/SIN(RADIANS($A59))</f>
        <v>10710.695363806062</v>
      </c>
      <c r="C60" s="242">
        <f>(100000*Conc2!$M25+$A60)/SIN(RADIANS($A59))</f>
        <v>13255.811093819382</v>
      </c>
      <c r="D60" s="242">
        <f>(100000*Conc3!$M25+$A60)/SIN(RADIANS($A59))</f>
        <v>15588.833846331594</v>
      </c>
      <c r="E60" s="242">
        <f>(100000*Conc4!$M25+$A60)/SIN(RADIANS($A59))</f>
        <v>16755.345222587701</v>
      </c>
      <c r="F60" s="242">
        <f>(100000*Conc5!$M25+$A60)/SIN(RADIANS($A59))</f>
        <v>0</v>
      </c>
      <c r="G60" s="242">
        <f>(100000*Conc6!$M25+$A60)/SIN(RADIANS($A59))</f>
        <v>0</v>
      </c>
      <c r="H60" s="242">
        <f>(100000*Conc7!$M25+$A60)/SIN(RADIANS($A59))</f>
        <v>0</v>
      </c>
      <c r="I60" s="242">
        <f>(100000*Conc8!$M25+$A60)/SIN(RADIANS($A59))</f>
        <v>0</v>
      </c>
      <c r="J60" s="135"/>
      <c r="K60" s="39"/>
      <c r="L60" s="39"/>
      <c r="M60" s="39"/>
      <c r="N60" s="39"/>
      <c r="O60" s="39"/>
      <c r="P60" s="39"/>
      <c r="Q60" s="39"/>
      <c r="R60" s="39"/>
      <c r="S60" s="39"/>
      <c r="T60" s="39"/>
    </row>
    <row r="61" spans="1:20">
      <c r="A61" s="242">
        <f t="shared" ref="A61:I61" si="9">0.025*A60</f>
        <v>79.534866562916307</v>
      </c>
      <c r="B61" s="242">
        <f t="shared" si="9"/>
        <v>267.76738409515156</v>
      </c>
      <c r="C61" s="242">
        <f t="shared" si="9"/>
        <v>331.3952773454846</v>
      </c>
      <c r="D61" s="242">
        <f t="shared" si="9"/>
        <v>389.72084615828987</v>
      </c>
      <c r="E61" s="242">
        <f t="shared" si="9"/>
        <v>418.88363056469257</v>
      </c>
      <c r="F61" s="242">
        <f t="shared" si="9"/>
        <v>0</v>
      </c>
      <c r="G61" s="242">
        <f t="shared" si="9"/>
        <v>0</v>
      </c>
      <c r="H61" s="242">
        <f t="shared" si="9"/>
        <v>0</v>
      </c>
      <c r="I61" s="242">
        <f t="shared" si="9"/>
        <v>0</v>
      </c>
      <c r="J61" s="135"/>
      <c r="K61" s="39"/>
      <c r="L61" s="39"/>
      <c r="M61" s="39"/>
      <c r="N61" s="39"/>
      <c r="O61" s="39"/>
      <c r="P61" s="39"/>
      <c r="Q61" s="39"/>
      <c r="R61" s="39"/>
      <c r="S61" s="39"/>
      <c r="T61" s="39"/>
    </row>
    <row r="62" spans="1:20">
      <c r="A62" s="243">
        <f>NormStandard!E26</f>
        <v>99</v>
      </c>
      <c r="B62" s="243"/>
      <c r="C62" s="243"/>
      <c r="D62" s="243"/>
      <c r="E62" s="243"/>
      <c r="F62" s="243"/>
      <c r="G62" s="243"/>
      <c r="H62" s="243"/>
      <c r="I62" s="243"/>
      <c r="J62" s="3" t="s">
        <v>1</v>
      </c>
      <c r="K62" s="39"/>
      <c r="L62" s="39"/>
      <c r="M62" s="39"/>
      <c r="N62" s="39"/>
      <c r="O62" s="39"/>
      <c r="P62" s="39"/>
      <c r="Q62" s="39"/>
      <c r="R62" s="39"/>
      <c r="S62" s="39"/>
      <c r="T62" s="39"/>
    </row>
    <row r="63" spans="1:20">
      <c r="A63" s="242">
        <f>100000*Conc1!U26</f>
        <v>903.7576520196211</v>
      </c>
      <c r="B63" s="242">
        <f>(100000*Conc1!$M26+$A63)/SIN(RADIANS($A62))</f>
        <v>10604.687028660292</v>
      </c>
      <c r="C63" s="242">
        <f>(100000*Conc2!$M26+$A63)/SIN(RADIANS($A62))</f>
        <v>6277.6911950291378</v>
      </c>
      <c r="D63" s="242">
        <f>(100000*Conc3!$M26+$A63)/SIN(RADIANS($A62))</f>
        <v>6493.1987336917791</v>
      </c>
      <c r="E63" s="242">
        <f>(100000*Conc4!$M26+$A63)/SIN(RADIANS($A62))</f>
        <v>7057.4018967694437</v>
      </c>
      <c r="F63" s="242">
        <f>(100000*Conc5!$M26+$A63)/SIN(RADIANS($A62))</f>
        <v>0</v>
      </c>
      <c r="G63" s="242">
        <f>(100000*Conc6!$M26+$A63)/SIN(RADIANS($A62))</f>
        <v>0</v>
      </c>
      <c r="H63" s="242">
        <f>(100000*Conc7!$M26+$A63)/SIN(RADIANS($A62))</f>
        <v>0</v>
      </c>
      <c r="I63" s="242">
        <f>(100000*Conc8!$M26+$A63)/SIN(RADIANS($A62))</f>
        <v>0</v>
      </c>
      <c r="J63" s="135"/>
      <c r="K63" s="39"/>
      <c r="L63" s="39"/>
      <c r="M63" s="39"/>
      <c r="N63" s="39"/>
      <c r="O63" s="39"/>
      <c r="P63" s="39"/>
      <c r="Q63" s="39"/>
      <c r="R63" s="39"/>
      <c r="S63" s="39"/>
      <c r="T63" s="39"/>
    </row>
    <row r="64" spans="1:20">
      <c r="A64" s="242">
        <f t="shared" ref="A64:I64" si="10">0.025*A63</f>
        <v>22.593941300490528</v>
      </c>
      <c r="B64" s="242">
        <f t="shared" si="10"/>
        <v>265.11717571650729</v>
      </c>
      <c r="C64" s="242">
        <f t="shared" si="10"/>
        <v>156.94227987572845</v>
      </c>
      <c r="D64" s="242">
        <f t="shared" si="10"/>
        <v>162.32996834229448</v>
      </c>
      <c r="E64" s="242">
        <f t="shared" si="10"/>
        <v>176.4350474192361</v>
      </c>
      <c r="F64" s="242">
        <f t="shared" si="10"/>
        <v>0</v>
      </c>
      <c r="G64" s="242">
        <f t="shared" si="10"/>
        <v>0</v>
      </c>
      <c r="H64" s="242">
        <f t="shared" si="10"/>
        <v>0</v>
      </c>
      <c r="I64" s="242">
        <f t="shared" si="10"/>
        <v>0</v>
      </c>
      <c r="J64" s="135"/>
      <c r="K64" s="39"/>
      <c r="L64" s="39"/>
      <c r="M64" s="39"/>
      <c r="N64" s="39"/>
      <c r="O64" s="39"/>
      <c r="P64" s="39"/>
      <c r="Q64" s="39"/>
      <c r="R64" s="39"/>
      <c r="S64" s="39"/>
      <c r="T64" s="39"/>
    </row>
    <row r="65" spans="1:20">
      <c r="A65" s="243">
        <f>NormStandard!E28</f>
        <v>117</v>
      </c>
      <c r="B65" s="243"/>
      <c r="C65" s="243"/>
      <c r="D65" s="243"/>
      <c r="E65" s="243"/>
      <c r="F65" s="243"/>
      <c r="G65" s="243"/>
      <c r="H65" s="243"/>
      <c r="I65" s="243"/>
      <c r="J65" s="3" t="s">
        <v>1</v>
      </c>
      <c r="K65" s="39"/>
      <c r="L65" s="39"/>
      <c r="M65" s="39"/>
      <c r="N65" s="39"/>
      <c r="O65" s="39"/>
      <c r="P65" s="39"/>
      <c r="Q65" s="39"/>
      <c r="R65" s="39"/>
      <c r="S65" s="39"/>
      <c r="T65" s="39"/>
    </row>
    <row r="66" spans="1:20">
      <c r="A66" s="242">
        <f>100000*Conc1!U28</f>
        <v>1587.2713382632439</v>
      </c>
      <c r="B66" s="242">
        <f>(100000*Conc1!$M28+$A66)/SIN(RADIANS($A65))</f>
        <v>12931.731329219272</v>
      </c>
      <c r="C66" s="242">
        <f>(100000*Conc2!$M28+$A66)/SIN(RADIANS($A65))</f>
        <v>13354.257641887854</v>
      </c>
      <c r="D66" s="242">
        <f>(100000*Conc3!$M28+$A66)/SIN(RADIANS($A65))</f>
        <v>14602.238821156765</v>
      </c>
      <c r="E66" s="242">
        <f>(100000*Conc4!$M28+$A66)/SIN(RADIANS($A65))</f>
        <v>15577.957966462083</v>
      </c>
      <c r="F66" s="242">
        <f>(100000*Conc5!$M28+$A66)/SIN(RADIANS($A65))</f>
        <v>0</v>
      </c>
      <c r="G66" s="242">
        <f>(100000*Conc6!$M28+$A66)/SIN(RADIANS($A65))</f>
        <v>0</v>
      </c>
      <c r="H66" s="242">
        <f>(100000*Conc7!$M28+$A66)/SIN(RADIANS($A65))</f>
        <v>0</v>
      </c>
      <c r="I66" s="242">
        <f>(100000*Conc8!$M28+$A66)/SIN(RADIANS($A65))</f>
        <v>0</v>
      </c>
      <c r="J66" s="135"/>
      <c r="K66" s="39"/>
      <c r="L66" s="39"/>
      <c r="M66" s="39"/>
      <c r="N66" s="39"/>
      <c r="O66" s="39"/>
      <c r="P66" s="39"/>
      <c r="Q66" s="39"/>
      <c r="R66" s="39"/>
      <c r="S66" s="39"/>
      <c r="T66" s="39"/>
    </row>
    <row r="67" spans="1:20">
      <c r="A67" s="242">
        <f t="shared" ref="A67:I67" si="11">0.025*A66</f>
        <v>39.681783456581101</v>
      </c>
      <c r="B67" s="242">
        <f t="shared" si="11"/>
        <v>323.29328323048185</v>
      </c>
      <c r="C67" s="242">
        <f t="shared" si="11"/>
        <v>333.85644104719637</v>
      </c>
      <c r="D67" s="242">
        <f t="shared" si="11"/>
        <v>365.05597052891915</v>
      </c>
      <c r="E67" s="242">
        <f t="shared" si="11"/>
        <v>389.44894916155209</v>
      </c>
      <c r="F67" s="242">
        <f t="shared" si="11"/>
        <v>0</v>
      </c>
      <c r="G67" s="242">
        <f t="shared" si="11"/>
        <v>0</v>
      </c>
      <c r="H67" s="242">
        <f t="shared" si="11"/>
        <v>0</v>
      </c>
      <c r="I67" s="242">
        <f t="shared" si="11"/>
        <v>0</v>
      </c>
      <c r="J67" s="135"/>
      <c r="K67" s="39"/>
      <c r="L67" s="39"/>
      <c r="M67" s="39"/>
      <c r="N67" s="39"/>
      <c r="O67" s="39"/>
      <c r="P67" s="39"/>
      <c r="Q67" s="39"/>
      <c r="R67" s="39"/>
      <c r="S67" s="39"/>
      <c r="T67" s="39"/>
    </row>
    <row r="68" spans="1:20">
      <c r="A68" s="243">
        <f>NormStandard!E29</f>
        <v>126</v>
      </c>
      <c r="B68" s="243"/>
      <c r="C68" s="243"/>
      <c r="D68" s="243"/>
      <c r="E68" s="243"/>
      <c r="F68" s="243"/>
      <c r="G68" s="243"/>
      <c r="H68" s="243"/>
      <c r="I68" s="243"/>
      <c r="J68" s="2" t="s">
        <v>139</v>
      </c>
      <c r="K68" s="39"/>
      <c r="L68" s="39"/>
      <c r="M68" s="39"/>
      <c r="N68" s="39"/>
      <c r="O68" s="39"/>
      <c r="P68" s="39"/>
      <c r="Q68" s="39"/>
      <c r="R68" s="39"/>
      <c r="S68" s="39"/>
      <c r="T68" s="39"/>
    </row>
    <row r="69" spans="1:20">
      <c r="A69" s="242">
        <f>100000*Conc1!U29</f>
        <v>4069.8975864064687</v>
      </c>
      <c r="B69" s="242">
        <f>(100000*Conc1!$M29+$A69)/SIN(RADIANS($A68))</f>
        <v>13038.675508961456</v>
      </c>
      <c r="C69" s="242">
        <f>(100000*Conc2!$M29+$A69)/SIN(RADIANS($A68))</f>
        <v>16324.011070274577</v>
      </c>
      <c r="D69" s="242">
        <f>(100000*Conc3!$M29+$A69)/SIN(RADIANS($A68))</f>
        <v>19096.012950132528</v>
      </c>
      <c r="E69" s="242">
        <f>(100000*Conc4!$M29+$A69)/SIN(RADIANS($A68))</f>
        <v>21354.681148535299</v>
      </c>
      <c r="F69" s="242">
        <f>(100000*Conc5!$M29+$A69)/SIN(RADIANS($A68))</f>
        <v>0</v>
      </c>
      <c r="G69" s="242">
        <f>(100000*Conc6!$M29+$A69)/SIN(RADIANS($A68))</f>
        <v>0</v>
      </c>
      <c r="H69" s="242">
        <f>(100000*Conc7!$M29+$A69)/SIN(RADIANS($A68))</f>
        <v>0</v>
      </c>
      <c r="I69" s="242">
        <f>(100000*Conc8!$M29+$A69)/SIN(RADIANS($A68))</f>
        <v>0</v>
      </c>
      <c r="J69" s="135"/>
      <c r="K69" s="39"/>
      <c r="L69" s="39"/>
      <c r="M69" s="39"/>
      <c r="N69" s="39"/>
      <c r="O69" s="39"/>
      <c r="P69" s="39"/>
      <c r="Q69" s="39"/>
      <c r="R69" s="39"/>
      <c r="S69" s="39"/>
      <c r="T69" s="39"/>
    </row>
    <row r="70" spans="1:20">
      <c r="A70" s="242">
        <f t="shared" ref="A70:I70" si="12">0.025*A69</f>
        <v>101.74743966016172</v>
      </c>
      <c r="B70" s="242">
        <f t="shared" si="12"/>
        <v>325.96688772403644</v>
      </c>
      <c r="C70" s="242">
        <f t="shared" si="12"/>
        <v>408.10027675686445</v>
      </c>
      <c r="D70" s="242">
        <f t="shared" si="12"/>
        <v>477.40032375331322</v>
      </c>
      <c r="E70" s="242">
        <f t="shared" si="12"/>
        <v>533.86702871338252</v>
      </c>
      <c r="F70" s="242">
        <f t="shared" si="12"/>
        <v>0</v>
      </c>
      <c r="G70" s="242">
        <f t="shared" si="12"/>
        <v>0</v>
      </c>
      <c r="H70" s="242">
        <f t="shared" si="12"/>
        <v>0</v>
      </c>
      <c r="I70" s="242">
        <f t="shared" si="12"/>
        <v>0</v>
      </c>
      <c r="J70" s="135"/>
      <c r="K70" s="39"/>
      <c r="L70" s="39"/>
      <c r="M70" s="39"/>
      <c r="N70" s="39"/>
      <c r="O70" s="39"/>
      <c r="P70" s="39"/>
      <c r="Q70" s="39"/>
      <c r="R70" s="39"/>
      <c r="S70" s="39"/>
      <c r="T70" s="39"/>
    </row>
    <row r="71" spans="1:20">
      <c r="A71" s="243">
        <f>NormStandard!E30</f>
        <v>134</v>
      </c>
      <c r="B71" s="243"/>
      <c r="C71" s="243"/>
      <c r="D71" s="243"/>
      <c r="E71" s="243"/>
      <c r="F71" s="243"/>
      <c r="G71" s="243"/>
      <c r="H71" s="243"/>
      <c r="I71" s="243"/>
      <c r="J71" s="3" t="s">
        <v>1</v>
      </c>
      <c r="K71" s="39"/>
      <c r="L71" s="39"/>
      <c r="M71" s="39"/>
      <c r="N71" s="39"/>
      <c r="O71" s="39"/>
      <c r="P71" s="39"/>
      <c r="Q71" s="39"/>
      <c r="R71" s="39"/>
      <c r="S71" s="39"/>
      <c r="T71" s="39"/>
    </row>
    <row r="72" spans="1:20">
      <c r="A72" s="242">
        <f>100000*Conc1!U30</f>
        <v>2945.6440405295511</v>
      </c>
      <c r="B72" s="242">
        <f>(100000*Conc1!$M30+$A72)/SIN(RADIANS($A71))</f>
        <v>14342.988857717461</v>
      </c>
      <c r="C72" s="242">
        <f>(100000*Conc2!$M30+$A72)/SIN(RADIANS($A71))</f>
        <v>24986.462576058042</v>
      </c>
      <c r="D72" s="242">
        <f>(100000*Conc3!$M30+$A72)/SIN(RADIANS($A71))</f>
        <v>27329.354261268298</v>
      </c>
      <c r="E72" s="242">
        <f>(100000*Conc4!$M30+$A72)/SIN(RADIANS($A71))</f>
        <v>29976.40624583438</v>
      </c>
      <c r="F72" s="242">
        <f>(100000*Conc5!$M30+$A72)/SIN(RADIANS($A71))</f>
        <v>0</v>
      </c>
      <c r="G72" s="242">
        <f>(100000*Conc6!$M30+$A72)/SIN(RADIANS($A71))</f>
        <v>0</v>
      </c>
      <c r="H72" s="242">
        <f>(100000*Conc7!$M30+$A72)/SIN(RADIANS($A71))</f>
        <v>0</v>
      </c>
      <c r="I72" s="242">
        <f>(100000*Conc8!$M30+$A72)/SIN(RADIANS($A71))</f>
        <v>0</v>
      </c>
      <c r="J72" s="135"/>
      <c r="K72" s="39"/>
      <c r="L72" s="39"/>
      <c r="M72" s="39"/>
      <c r="N72" s="39"/>
      <c r="O72" s="39"/>
      <c r="P72" s="39"/>
      <c r="Q72" s="39"/>
      <c r="R72" s="39"/>
      <c r="S72" s="39"/>
      <c r="T72" s="39"/>
    </row>
    <row r="73" spans="1:20">
      <c r="A73" s="242">
        <f t="shared" ref="A73:I73" si="13">0.025*A72</f>
        <v>73.641101013238782</v>
      </c>
      <c r="B73" s="242">
        <f t="shared" si="13"/>
        <v>358.57472144293655</v>
      </c>
      <c r="C73" s="242">
        <f t="shared" si="13"/>
        <v>624.66156440145107</v>
      </c>
      <c r="D73" s="242">
        <f t="shared" si="13"/>
        <v>683.23385653170749</v>
      </c>
      <c r="E73" s="242">
        <f t="shared" si="13"/>
        <v>749.41015614585956</v>
      </c>
      <c r="F73" s="242">
        <f t="shared" si="13"/>
        <v>0</v>
      </c>
      <c r="G73" s="242">
        <f t="shared" si="13"/>
        <v>0</v>
      </c>
      <c r="H73" s="242">
        <f t="shared" si="13"/>
        <v>0</v>
      </c>
      <c r="I73" s="242">
        <f t="shared" si="13"/>
        <v>0</v>
      </c>
      <c r="J73" s="135"/>
      <c r="K73" s="39"/>
      <c r="L73" s="39"/>
      <c r="M73" s="39"/>
      <c r="N73" s="39"/>
      <c r="O73" s="39"/>
      <c r="P73" s="39"/>
      <c r="Q73" s="39"/>
      <c r="R73" s="39"/>
      <c r="S73" s="39"/>
      <c r="T73" s="39"/>
    </row>
    <row r="74" spans="1:20">
      <c r="A74" s="243">
        <f>NormStandard!E31</f>
        <v>141</v>
      </c>
      <c r="B74" s="243"/>
      <c r="C74" s="243"/>
      <c r="D74" s="243"/>
      <c r="E74" s="243"/>
      <c r="F74" s="243"/>
      <c r="G74" s="243"/>
      <c r="H74" s="243"/>
      <c r="I74" s="243"/>
      <c r="J74" s="2" t="s">
        <v>139</v>
      </c>
      <c r="K74" s="39"/>
      <c r="L74" s="39"/>
      <c r="M74" s="39"/>
      <c r="N74" s="39"/>
      <c r="O74" s="39"/>
      <c r="P74" s="39"/>
      <c r="Q74" s="39"/>
      <c r="R74" s="39"/>
      <c r="S74" s="39"/>
      <c r="T74" s="39"/>
    </row>
    <row r="75" spans="1:20">
      <c r="A75" s="242">
        <f>100000*Conc1!U31</f>
        <v>3797.0970746667999</v>
      </c>
      <c r="B75" s="242">
        <f>(100000*Conc1!$M31+$A75)/SIN(RADIANS($A74))</f>
        <v>16894.211534018254</v>
      </c>
      <c r="C75" s="242">
        <f>(100000*Conc2!$M31+$A75)/SIN(RADIANS($A74))</f>
        <v>20997.091477994112</v>
      </c>
      <c r="D75" s="242">
        <f>(100000*Conc3!$M31+$A75)/SIN(RADIANS($A74))</f>
        <v>25099.971421969974</v>
      </c>
      <c r="E75" s="242">
        <f>(100000*Conc4!$M31+$A75)/SIN(RADIANS($A74))</f>
        <v>28478.813728773621</v>
      </c>
      <c r="F75" s="242">
        <f>(100000*Conc5!$M31+$A75)/SIN(RADIANS($A74))</f>
        <v>0</v>
      </c>
      <c r="G75" s="242">
        <f>(100000*Conc6!$M31+$A75)/SIN(RADIANS($A74))</f>
        <v>0</v>
      </c>
      <c r="H75" s="242">
        <f>(100000*Conc7!$M31+$A75)/SIN(RADIANS($A74))</f>
        <v>0</v>
      </c>
      <c r="I75" s="242">
        <f>(100000*Conc8!$M31+$A75)/SIN(RADIANS($A74))</f>
        <v>0</v>
      </c>
      <c r="J75" s="135"/>
      <c r="K75" s="39"/>
      <c r="L75" s="39"/>
      <c r="M75" s="39"/>
      <c r="N75" s="39"/>
      <c r="O75" s="39"/>
      <c r="P75" s="39"/>
      <c r="Q75" s="39"/>
      <c r="R75" s="39"/>
      <c r="S75" s="39"/>
      <c r="T75" s="39"/>
    </row>
    <row r="76" spans="1:20">
      <c r="A76" s="242">
        <f t="shared" ref="A76:I76" si="14">0.025*A75</f>
        <v>94.927426866670004</v>
      </c>
      <c r="B76" s="242">
        <f t="shared" si="14"/>
        <v>422.35528835045636</v>
      </c>
      <c r="C76" s="242">
        <f t="shared" si="14"/>
        <v>524.92728694985283</v>
      </c>
      <c r="D76" s="242">
        <f t="shared" si="14"/>
        <v>627.49928554924941</v>
      </c>
      <c r="E76" s="242">
        <f t="shared" si="14"/>
        <v>711.97034321934052</v>
      </c>
      <c r="F76" s="242">
        <f t="shared" si="14"/>
        <v>0</v>
      </c>
      <c r="G76" s="242">
        <f t="shared" si="14"/>
        <v>0</v>
      </c>
      <c r="H76" s="242">
        <f t="shared" si="14"/>
        <v>0</v>
      </c>
      <c r="I76" s="242">
        <f t="shared" si="14"/>
        <v>0</v>
      </c>
      <c r="J76" s="135"/>
      <c r="K76" s="39"/>
      <c r="L76" s="39"/>
      <c r="M76" s="39"/>
      <c r="N76" s="39"/>
      <c r="O76" s="39"/>
      <c r="P76" s="39"/>
      <c r="Q76" s="39"/>
      <c r="R76" s="39"/>
      <c r="S76" s="39"/>
      <c r="T76" s="39"/>
    </row>
    <row r="77" spans="1:20">
      <c r="A77" s="243">
        <f>NormStandard!E32</f>
        <v>147</v>
      </c>
      <c r="B77" s="243"/>
      <c r="C77" s="243"/>
      <c r="D77" s="243"/>
      <c r="E77" s="243"/>
      <c r="F77" s="243"/>
      <c r="G77" s="243"/>
      <c r="H77" s="243"/>
      <c r="I77" s="243"/>
      <c r="J77" s="3" t="s">
        <v>1</v>
      </c>
      <c r="K77" s="39"/>
      <c r="L77" s="39"/>
      <c r="M77" s="39"/>
      <c r="N77" s="39"/>
      <c r="O77" s="39"/>
      <c r="P77" s="39"/>
      <c r="Q77" s="39"/>
      <c r="R77" s="39"/>
      <c r="S77" s="39"/>
      <c r="T77" s="39"/>
    </row>
    <row r="78" spans="1:20">
      <c r="A78" s="242">
        <f>100000*Conc1!U32</f>
        <v>2367.6220775765746</v>
      </c>
      <c r="B78" s="242">
        <f>(100000*Conc1!$M32+$A78)/SIN(RADIANS($A77))</f>
        <v>21434.516592144824</v>
      </c>
      <c r="C78" s="242">
        <f>(100000*Conc2!$M32+$A78)/SIN(RADIANS($A77))</f>
        <v>20067.016341147944</v>
      </c>
      <c r="D78" s="242">
        <f>(100000*Conc3!$M32+$A78)/SIN(RADIANS($A77))</f>
        <v>22821.715375412463</v>
      </c>
      <c r="E78" s="242">
        <f>(100000*Conc4!$M32+$A78)/SIN(RADIANS($A77))</f>
        <v>25767.515755212848</v>
      </c>
      <c r="F78" s="242">
        <f>(100000*Conc5!$M32+$A78)/SIN(RADIANS($A77))</f>
        <v>0</v>
      </c>
      <c r="G78" s="242">
        <f>(100000*Conc6!$M32+$A78)/SIN(RADIANS($A77))</f>
        <v>0</v>
      </c>
      <c r="H78" s="242">
        <f>(100000*Conc7!$M32+$A78)/SIN(RADIANS($A77))</f>
        <v>0</v>
      </c>
      <c r="I78" s="242">
        <f>(100000*Conc8!$M32+$A78)/SIN(RADIANS($A77))</f>
        <v>0</v>
      </c>
      <c r="J78" s="135"/>
      <c r="K78" s="39"/>
      <c r="L78" s="39"/>
      <c r="M78" s="39"/>
      <c r="N78" s="39"/>
      <c r="O78" s="39"/>
      <c r="P78" s="39"/>
      <c r="Q78" s="39"/>
      <c r="R78" s="39"/>
      <c r="S78" s="39"/>
      <c r="T78" s="39"/>
    </row>
    <row r="79" spans="1:20">
      <c r="A79" s="242">
        <f t="shared" ref="A79:I79" si="15">0.025*A78</f>
        <v>59.19055193941437</v>
      </c>
      <c r="B79" s="242">
        <f t="shared" si="15"/>
        <v>535.86291480362058</v>
      </c>
      <c r="C79" s="242">
        <f t="shared" si="15"/>
        <v>501.67540852869865</v>
      </c>
      <c r="D79" s="242">
        <f t="shared" si="15"/>
        <v>570.54288438531159</v>
      </c>
      <c r="E79" s="242">
        <f t="shared" si="15"/>
        <v>644.18789388032121</v>
      </c>
      <c r="F79" s="242">
        <f t="shared" si="15"/>
        <v>0</v>
      </c>
      <c r="G79" s="242">
        <f t="shared" si="15"/>
        <v>0</v>
      </c>
      <c r="H79" s="242">
        <f t="shared" si="15"/>
        <v>0</v>
      </c>
      <c r="I79" s="242">
        <f t="shared" si="15"/>
        <v>0</v>
      </c>
      <c r="J79" s="135"/>
      <c r="K79" s="39"/>
      <c r="L79" s="39"/>
      <c r="M79" s="39"/>
      <c r="N79" s="39"/>
      <c r="O79" s="39"/>
      <c r="P79" s="39"/>
      <c r="Q79" s="39"/>
      <c r="R79" s="39"/>
      <c r="S79" s="39"/>
      <c r="T79" s="39"/>
    </row>
    <row r="80" spans="1:20">
      <c r="K80" s="39"/>
      <c r="L80" s="39"/>
      <c r="M80" s="39"/>
      <c r="N80" s="39"/>
      <c r="O80" s="39"/>
      <c r="P80" s="39"/>
      <c r="Q80" s="39"/>
      <c r="R80" s="39"/>
      <c r="S80" s="39"/>
      <c r="T80" s="39"/>
    </row>
    <row r="81" spans="11:20">
      <c r="K81" s="39"/>
      <c r="L81" s="39"/>
      <c r="M81" s="39"/>
      <c r="N81" s="39"/>
      <c r="O81" s="39"/>
      <c r="P81" s="39"/>
      <c r="Q81" s="39"/>
      <c r="R81" s="39"/>
      <c r="S81" s="39"/>
      <c r="T81" s="39"/>
    </row>
    <row r="82" spans="11:20">
      <c r="K82" s="39"/>
      <c r="L82" s="39"/>
      <c r="M82" s="39"/>
      <c r="N82" s="39"/>
      <c r="O82" s="39"/>
      <c r="P82" s="39"/>
      <c r="Q82" s="39"/>
      <c r="R82" s="39"/>
      <c r="S82" s="39"/>
      <c r="T82" s="39"/>
    </row>
  </sheetData>
  <pageMargins left="0.7" right="0.7" top="0.75" bottom="0.75" header="0.3" footer="0.3"/>
  <pageSetup orientation="portrait" horizontalDpi="4294967293"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9BB0-AB7E-4BEB-9F13-207A1583037E}">
  <dimension ref="A1:J93"/>
  <sheetViews>
    <sheetView zoomScale="70" zoomScaleNormal="70" workbookViewId="0">
      <selection activeCell="J22" sqref="J22"/>
    </sheetView>
  </sheetViews>
  <sheetFormatPr defaultRowHeight="14.25"/>
  <cols>
    <col min="1" max="1" width="75.46484375" customWidth="1"/>
    <col min="2" max="2" width="8.86328125" customWidth="1"/>
    <col min="7" max="7" width="2.6640625" customWidth="1"/>
    <col min="8" max="8" width="2.59765625" customWidth="1"/>
    <col min="9" max="9" width="2.46484375" customWidth="1"/>
    <col min="10" max="10" width="78.59765625" customWidth="1"/>
  </cols>
  <sheetData>
    <row r="1" spans="1:10">
      <c r="A1" s="245" t="str">
        <f>ForNonZimm!A2&amp;" "</f>
        <v xml:space="preserve">X:RUNXXXX.GAL </v>
      </c>
      <c r="B1">
        <f>LEN(A1)</f>
        <v>14</v>
      </c>
      <c r="J1" s="131"/>
    </row>
    <row r="2" spans="1:10">
      <c r="A2" s="244" t="str">
        <f>ForNonZimm!A3</f>
        <v>HH:MM:SS</v>
      </c>
      <c r="B2">
        <f t="shared" ref="B2:B61" si="0">LEN(A2)</f>
        <v>8</v>
      </c>
      <c r="J2" s="233"/>
    </row>
    <row r="3" spans="1:10">
      <c r="A3" s="244" t="str">
        <f>ForNonZimm!A4</f>
        <v>MM-DD-YYYY</v>
      </c>
      <c r="B3">
        <f t="shared" si="0"/>
        <v>10</v>
      </c>
      <c r="J3" s="233"/>
    </row>
    <row r="4" spans="1:10">
      <c r="A4" s="244" t="str">
        <f>ForNonZimm!A5</f>
        <v>HH:MM:SS</v>
      </c>
      <c r="B4">
        <f t="shared" si="0"/>
        <v>8</v>
      </c>
      <c r="J4" s="233"/>
    </row>
    <row r="5" spans="1:10">
      <c r="A5" s="244" t="str">
        <f>ForNonZimm!A6</f>
        <v>MM-DD-YYYY</v>
      </c>
      <c r="B5">
        <f t="shared" si="0"/>
        <v>10</v>
      </c>
      <c r="J5" s="233"/>
    </row>
    <row r="6" spans="1:10">
      <c r="A6" s="245" t="str">
        <f>ForNonZimm!A7</f>
        <v>LABEL1-60-CHARACTERSXXXXXXXXXXXXXXXXXXXXXXXXXXXXXXXXXXXXXXXX</v>
      </c>
      <c r="B6">
        <f t="shared" si="0"/>
        <v>60</v>
      </c>
      <c r="J6" s="131"/>
    </row>
    <row r="7" spans="1:10">
      <c r="A7" s="245" t="str">
        <f>ForNonZimm!A8</f>
        <v>LABEL2-60-CHARACTERSXXXXXXXXXXXXXXXXXXXXXXXXXXXXXXXXXXXXXXXX</v>
      </c>
      <c r="B7">
        <f t="shared" si="0"/>
        <v>60</v>
      </c>
      <c r="J7" s="131"/>
    </row>
    <row r="8" spans="1:10">
      <c r="A8" s="245" t="str">
        <f>ForNonZimm!A9</f>
        <v>USER10CHAR</v>
      </c>
      <c r="B8">
        <f t="shared" si="0"/>
        <v>10</v>
      </c>
      <c r="J8" s="131"/>
    </row>
    <row r="9" spans="1:10">
      <c r="A9" s="245" t="str">
        <f>" "&amp;ForNonZimm!A10&amp;" "</f>
        <v xml:space="preserve"> 6328 </v>
      </c>
      <c r="B9">
        <f t="shared" si="0"/>
        <v>6</v>
      </c>
      <c r="J9" s="131"/>
    </row>
    <row r="10" spans="1:10">
      <c r="A10" s="245" t="str">
        <f>ForNonZimm!A11</f>
        <v>TOLUENE.......</v>
      </c>
      <c r="B10">
        <f t="shared" si="0"/>
        <v>14</v>
      </c>
      <c r="J10" s="131"/>
    </row>
    <row r="11" spans="1:10">
      <c r="A11" s="245" t="str">
        <f>" "&amp;ForNonZimm!A12&amp;" "</f>
        <v xml:space="preserve"> 1.495 </v>
      </c>
      <c r="B11">
        <f t="shared" si="0"/>
        <v>7</v>
      </c>
      <c r="J11" s="131"/>
    </row>
    <row r="12" spans="1:10">
      <c r="A12" s="245" t="str">
        <f>" "&amp;ForNonZimm!A13&amp;" "</f>
        <v xml:space="preserve"> 1.495 </v>
      </c>
      <c r="B12">
        <f t="shared" si="0"/>
        <v>7</v>
      </c>
      <c r="J12" s="131"/>
    </row>
    <row r="13" spans="1:10">
      <c r="A13" s="245" t="str">
        <f>" "&amp;ForNonZimm!A14&amp;" "</f>
        <v xml:space="preserve"> 1 </v>
      </c>
      <c r="B13">
        <f t="shared" si="0"/>
        <v>3</v>
      </c>
      <c r="J13" s="131"/>
    </row>
    <row r="14" spans="1:10">
      <c r="A14" s="245" t="str">
        <f>" "&amp;ForNonZimm!A15&amp;" "</f>
        <v xml:space="preserve"> 24.9 </v>
      </c>
      <c r="B14">
        <f t="shared" si="0"/>
        <v>6</v>
      </c>
      <c r="J14" s="131"/>
    </row>
    <row r="15" spans="1:10">
      <c r="A15" s="245" t="str">
        <f>" "&amp;ForNonZimm!A16&amp;" "</f>
        <v xml:space="preserve"> 25.1 </v>
      </c>
      <c r="B15">
        <f t="shared" si="0"/>
        <v>6</v>
      </c>
      <c r="J15" s="131"/>
    </row>
    <row r="16" spans="1:10">
      <c r="A16" s="245" t="str">
        <f>" "&amp;ForNonZimm!A17&amp;" "</f>
        <v xml:space="preserve"> 10 </v>
      </c>
      <c r="B16">
        <f t="shared" si="0"/>
        <v>4</v>
      </c>
      <c r="J16" s="131"/>
    </row>
    <row r="17" spans="1:10">
      <c r="A17" s="245" t="str">
        <f>" "&amp;ForNonZimm!A18&amp;" "</f>
        <v xml:space="preserve"> 3000 </v>
      </c>
      <c r="B17">
        <f t="shared" si="0"/>
        <v>6</v>
      </c>
      <c r="J17" s="131"/>
    </row>
    <row r="18" spans="1:10">
      <c r="A18" s="245" t="str">
        <f>" "&amp;LEFT((ForNonZimm!A19),5)&amp;" "</f>
        <v xml:space="preserve"> 54.77 </v>
      </c>
      <c r="B18">
        <f t="shared" si="0"/>
        <v>7</v>
      </c>
      <c r="C18" s="131"/>
      <c r="D18" s="131"/>
      <c r="F18" s="131"/>
      <c r="G18" s="131"/>
      <c r="H18" s="131"/>
      <c r="I18" s="131"/>
      <c r="J18" s="131"/>
    </row>
    <row r="19" spans="1:10">
      <c r="A19" s="245" t="str">
        <f>" "&amp;ForNonZimm!A20&amp;" "</f>
        <v xml:space="preserve"> 90 </v>
      </c>
      <c r="B19">
        <f t="shared" si="0"/>
        <v>4</v>
      </c>
      <c r="C19" s="131"/>
      <c r="D19" s="131"/>
      <c r="F19" s="131"/>
      <c r="G19" s="131"/>
      <c r="H19" s="131"/>
      <c r="I19" s="131"/>
      <c r="J19" s="131"/>
    </row>
    <row r="20" spans="1:10">
      <c r="A20" s="245" t="str">
        <f>" "&amp;ForNonZimm!A21&amp;" "</f>
        <v xml:space="preserve"> 16 </v>
      </c>
      <c r="B20">
        <f t="shared" si="0"/>
        <v>4</v>
      </c>
      <c r="C20" s="131"/>
      <c r="D20" s="131"/>
      <c r="F20" s="131"/>
      <c r="G20" s="131"/>
      <c r="H20" s="131"/>
      <c r="I20" s="131"/>
      <c r="J20" s="131"/>
    </row>
    <row r="21" spans="1:10">
      <c r="A21" s="245" t="str">
        <f>" "&amp;ForNonZimm!A22&amp;" "</f>
        <v xml:space="preserve"> 5 </v>
      </c>
      <c r="B21">
        <f t="shared" si="0"/>
        <v>3</v>
      </c>
      <c r="C21" s="131"/>
      <c r="D21" s="131"/>
      <c r="F21" s="131"/>
      <c r="G21" s="131"/>
      <c r="H21" s="131"/>
      <c r="I21" s="131"/>
      <c r="J21" s="131"/>
    </row>
    <row r="22" spans="1:10">
      <c r="A22" s="245" t="str">
        <f>" "&amp;LEFT(ForNonZimm!A23,9)&amp;" "</f>
        <v xml:space="preserve"> 0 </v>
      </c>
      <c r="B22">
        <f t="shared" si="0"/>
        <v>3</v>
      </c>
      <c r="C22" s="131"/>
      <c r="D22" s="131"/>
      <c r="F22" s="131"/>
      <c r="G22" s="131"/>
      <c r="H22" s="131"/>
      <c r="I22" s="131"/>
      <c r="J22" s="131"/>
    </row>
    <row r="23" spans="1:10">
      <c r="A23" s="245" t="str">
        <f>" "&amp;LEFT(ForNonZimm!A24,9)&amp;" "</f>
        <v xml:space="preserve"> 0.0026010 </v>
      </c>
      <c r="B23">
        <f t="shared" si="0"/>
        <v>11</v>
      </c>
      <c r="C23" s="131"/>
      <c r="D23" s="131"/>
      <c r="F23" s="131"/>
      <c r="G23" s="131"/>
      <c r="H23" s="131"/>
      <c r="I23" s="131"/>
      <c r="J23" s="131"/>
    </row>
    <row r="24" spans="1:10">
      <c r="A24" s="245" t="str">
        <f>" "&amp;LEFT(ForNonZimm!A25,9)&amp;" "</f>
        <v xml:space="preserve"> 0.0048277 </v>
      </c>
      <c r="B24">
        <f t="shared" si="0"/>
        <v>11</v>
      </c>
      <c r="C24" s="131"/>
      <c r="D24" s="131"/>
      <c r="F24" s="131"/>
      <c r="G24" s="131"/>
      <c r="H24" s="131"/>
      <c r="I24" s="131"/>
      <c r="J24" s="131"/>
    </row>
    <row r="25" spans="1:10">
      <c r="A25" s="245" t="str">
        <f>" "&amp;LEFT(ForNonZimm!A26,9)&amp;" "</f>
        <v xml:space="preserve"> 0.0081757 </v>
      </c>
      <c r="B25">
        <f t="shared" si="0"/>
        <v>11</v>
      </c>
      <c r="C25" s="131"/>
      <c r="D25" s="131"/>
      <c r="F25" s="131"/>
      <c r="G25" s="131"/>
      <c r="H25" s="131"/>
      <c r="I25" s="131"/>
      <c r="J25" s="131"/>
    </row>
    <row r="26" spans="1:10">
      <c r="A26" s="245" t="str">
        <f>" "&amp;LEFT(ForNonZimm!A27,9)&amp;" "</f>
        <v xml:space="preserve"> 0.0102350 </v>
      </c>
      <c r="B26">
        <f t="shared" si="0"/>
        <v>11</v>
      </c>
      <c r="C26" s="131"/>
      <c r="D26" s="131"/>
      <c r="F26" s="131"/>
      <c r="G26" s="131"/>
      <c r="H26" s="131"/>
      <c r="I26" s="131"/>
      <c r="J26" s="131"/>
    </row>
    <row r="27" spans="1:10">
      <c r="A27" s="245" t="str">
        <f>" "&amp;ForNonZimm!A32&amp;" "</f>
        <v xml:space="preserve"> 22.5 </v>
      </c>
      <c r="B27">
        <f t="shared" si="0"/>
        <v>6</v>
      </c>
      <c r="C27" s="131"/>
      <c r="D27" s="131"/>
      <c r="F27" s="131"/>
      <c r="G27" s="131"/>
      <c r="H27" s="131"/>
      <c r="I27" s="131"/>
      <c r="J27" s="131"/>
    </row>
    <row r="28" spans="1:10">
      <c r="A28" s="244" t="str">
        <f>" "&amp;_xlfn.CONCAT(LEFT(ForNonZimm!A33,8)&amp;"  "&amp;LEFT(ForNonZimm!B33,8)&amp;"  "&amp;LEFT(ForNonZimm!C33,8)&amp;"  "&amp;LEFT(ForNonZimm!D33,8)&amp;"  "&amp;LEFT(ForNonZimm!E33,8)&amp;" ")</f>
        <v xml:space="preserve"> 8482.239  37886.95  67268.67  120361.9  153867.4 </v>
      </c>
      <c r="B28">
        <f t="shared" si="0"/>
        <v>50</v>
      </c>
      <c r="C28" s="131"/>
      <c r="D28" s="131"/>
      <c r="F28" s="131"/>
      <c r="G28" s="131"/>
      <c r="H28" s="131"/>
      <c r="I28" s="131"/>
      <c r="J28" s="131"/>
    </row>
    <row r="29" spans="1:10">
      <c r="A29" s="244" t="str">
        <f>" "&amp;_xlfn.CONCAT(LEFT(ForNonZimm!A34,8)&amp;"  "&amp;LEFT(ForNonZimm!B34,8)&amp;"  "&amp;LEFT(ForNonZimm!C34,8)&amp;"  "&amp;LEFT(ForNonZimm!D34,8)&amp;"  "&amp;LEFT(ForNonZimm!E34,8)&amp;" ")</f>
        <v xml:space="preserve"> 212.0559  947.1739  1681.716  3009.049  3846.686 </v>
      </c>
      <c r="B29">
        <f t="shared" si="0"/>
        <v>50</v>
      </c>
      <c r="C29" s="131"/>
      <c r="D29" s="131"/>
      <c r="F29" s="131"/>
      <c r="G29" s="131"/>
      <c r="H29" s="131"/>
      <c r="I29" s="131"/>
      <c r="J29" s="131"/>
    </row>
    <row r="30" spans="1:10">
      <c r="A30" s="245" t="str">
        <f>" "&amp;ForNonZimm!A35&amp;" "</f>
        <v xml:space="preserve"> 28 </v>
      </c>
      <c r="B30">
        <f t="shared" si="0"/>
        <v>4</v>
      </c>
      <c r="C30" s="131"/>
      <c r="D30" s="131"/>
      <c r="F30" s="131"/>
      <c r="G30" s="131"/>
      <c r="H30" s="131"/>
      <c r="I30" s="131"/>
      <c r="J30" s="131"/>
    </row>
    <row r="31" spans="1:10">
      <c r="A31" s="244" t="str">
        <f>" "&amp;_xlfn.CONCAT(LEFT(ForNonZimm!A36,8)&amp;"  "&amp;LEFT(ForNonZimm!B36,8)&amp;"  "&amp;LEFT(ForNonZimm!C36,8)&amp;"  "&amp;LEFT(ForNonZimm!D36,8)&amp;"  "&amp;LEFT(ForNonZimm!E36,8)&amp;" ")</f>
        <v xml:space="preserve"> 7669.671  29006.18  38341.51  60012.80  90019.20 </v>
      </c>
      <c r="B31">
        <f t="shared" si="0"/>
        <v>50</v>
      </c>
      <c r="C31" s="131"/>
      <c r="D31" s="131"/>
      <c r="F31" s="131"/>
      <c r="G31" s="131"/>
      <c r="H31" s="131"/>
      <c r="I31" s="131"/>
      <c r="J31" s="131"/>
    </row>
    <row r="32" spans="1:10">
      <c r="A32" s="244" t="str">
        <f>" "&amp;_xlfn.CONCAT(LEFT(ForNonZimm!A37,8)&amp;"  "&amp;LEFT(ForNonZimm!B37,8)&amp;"  "&amp;LEFT(ForNonZimm!C37,8)&amp;"  "&amp;LEFT(ForNonZimm!D37,8)&amp;"  "&amp;LEFT(ForNonZimm!E37,8)&amp;" ")</f>
        <v xml:space="preserve"> 191.7417  725.1547  958.5378  1500.320  2250.480 </v>
      </c>
      <c r="B32">
        <f t="shared" si="0"/>
        <v>50</v>
      </c>
      <c r="C32" s="131"/>
      <c r="D32" s="131"/>
      <c r="F32" s="131"/>
      <c r="G32" s="131"/>
      <c r="H32" s="131"/>
      <c r="I32" s="131"/>
      <c r="J32" s="131"/>
    </row>
    <row r="33" spans="1:10">
      <c r="A33" s="245" t="str">
        <f>" "&amp;ForNonZimm!A38&amp;" "</f>
        <v xml:space="preserve"> 32 </v>
      </c>
      <c r="B33">
        <f t="shared" si="0"/>
        <v>4</v>
      </c>
      <c r="C33" s="131"/>
      <c r="D33" s="131"/>
      <c r="F33" s="131"/>
      <c r="G33" s="131"/>
      <c r="H33" s="131"/>
      <c r="I33" s="131"/>
      <c r="J33" s="131"/>
    </row>
    <row r="34" spans="1:10">
      <c r="A34" s="244" t="str">
        <f>" "&amp;_xlfn.CONCAT(LEFT(ForNonZimm!A39,8)&amp;"  "&amp;LEFT(ForNonZimm!B39,8)&amp;"  "&amp;LEFT(ForNonZimm!C39,8)&amp;"  "&amp;LEFT(ForNonZimm!D39,8)&amp;"  "&amp;LEFT(ForNonZimm!E39,8)&amp;" ")</f>
        <v xml:space="preserve"> 3591.859  23497.50  30501.56  46091.25  54225.00 </v>
      </c>
      <c r="B34">
        <f t="shared" si="0"/>
        <v>50</v>
      </c>
      <c r="C34" s="131"/>
      <c r="D34" s="131"/>
      <c r="F34" s="131"/>
      <c r="G34" s="131"/>
      <c r="H34" s="131"/>
      <c r="I34" s="131"/>
      <c r="J34" s="131"/>
    </row>
    <row r="35" spans="1:10">
      <c r="A35" s="244" t="str">
        <f>" "&amp;_xlfn.CONCAT(LEFT(ForNonZimm!A40,8)&amp;"  "&amp;LEFT(ForNonZimm!B40,8)&amp;"  "&amp;LEFT(ForNonZimm!C40,8)&amp;"  "&amp;LEFT(ForNonZimm!D40,8)&amp;"  "&amp;LEFT(ForNonZimm!E40,8)&amp;" ")</f>
        <v xml:space="preserve"> 89.79648  587.4375  762.5391  1152.281  1355.625 </v>
      </c>
      <c r="B35">
        <f t="shared" si="0"/>
        <v>50</v>
      </c>
      <c r="C35" s="131"/>
      <c r="D35" s="131"/>
      <c r="F35" s="131"/>
      <c r="G35" s="131"/>
      <c r="H35" s="131"/>
      <c r="I35" s="131"/>
      <c r="J35" s="131"/>
    </row>
    <row r="36" spans="1:10">
      <c r="A36" s="245" t="str">
        <f>" "&amp;ForNonZimm!A41&amp;" "</f>
        <v xml:space="preserve"> 44 </v>
      </c>
      <c r="B36">
        <f t="shared" si="0"/>
        <v>4</v>
      </c>
      <c r="C36" s="131"/>
      <c r="D36" s="131"/>
      <c r="F36" s="131"/>
      <c r="G36" s="131"/>
      <c r="H36" s="131"/>
      <c r="I36" s="131"/>
      <c r="J36" s="131"/>
    </row>
    <row r="37" spans="1:10">
      <c r="A37" s="244" t="str">
        <f>" "&amp;_xlfn.CONCAT(LEFT(ForNonZimm!A42,8)&amp;"  "&amp;LEFT(ForNonZimm!B42,8)&amp;"  "&amp;LEFT(ForNonZimm!C42,8)&amp;"  "&amp;LEFT(ForNonZimm!D42,8)&amp;"  "&amp;LEFT(ForNonZimm!E42,8)&amp;" ")</f>
        <v xml:space="preserve"> 5435.229  16840.82  33632.35  43091.07  43718.48 </v>
      </c>
      <c r="B37">
        <f t="shared" si="0"/>
        <v>50</v>
      </c>
      <c r="C37" s="131"/>
      <c r="D37" s="131"/>
      <c r="F37" s="131"/>
      <c r="G37" s="131"/>
      <c r="H37" s="131"/>
      <c r="I37" s="131"/>
      <c r="J37" s="131"/>
    </row>
    <row r="38" spans="1:10">
      <c r="A38" s="244" t="str">
        <f>" "&amp;_xlfn.CONCAT(LEFT(ForNonZimm!A43,8)&amp;"  "&amp;LEFT(ForNonZimm!B43,8)&amp;"  "&amp;LEFT(ForNonZimm!C43,8)&amp;"  "&amp;LEFT(ForNonZimm!D43,8)&amp;"  "&amp;LEFT(ForNonZimm!E43,8)&amp;" ")</f>
        <v xml:space="preserve"> 135.8807  421.0206  840.8088  1077.276  1092.962 </v>
      </c>
      <c r="B38">
        <f t="shared" si="0"/>
        <v>50</v>
      </c>
      <c r="C38" s="131"/>
      <c r="D38" s="131"/>
      <c r="F38" s="131"/>
      <c r="G38" s="131"/>
      <c r="H38" s="131"/>
      <c r="I38" s="131"/>
      <c r="J38" s="131"/>
    </row>
    <row r="39" spans="1:10">
      <c r="A39" s="245" t="str">
        <f>" "&amp;ForNonZimm!A44&amp;" "</f>
        <v xml:space="preserve"> 50 </v>
      </c>
      <c r="B39">
        <f t="shared" si="0"/>
        <v>4</v>
      </c>
      <c r="C39" s="131"/>
      <c r="D39" s="131"/>
      <c r="F39" s="131"/>
      <c r="G39" s="131"/>
      <c r="H39" s="131"/>
      <c r="I39" s="131"/>
      <c r="J39" s="131"/>
    </row>
    <row r="40" spans="1:10">
      <c r="A40" s="244" t="str">
        <f>" "&amp;_xlfn.CONCAT(LEFT(ForNonZimm!A45,8)&amp;"  "&amp;LEFT(ForNonZimm!B45,8)&amp;"  "&amp;LEFT(ForNonZimm!C45,8)&amp;"  "&amp;LEFT(ForNonZimm!D45,8)&amp;"  "&amp;LEFT(ForNonZimm!E45,8)&amp;" ")</f>
        <v xml:space="preserve"> 2412.431  14059.85  15299.28  18897.85  18470.98 </v>
      </c>
      <c r="B40">
        <f t="shared" si="0"/>
        <v>50</v>
      </c>
      <c r="C40" s="131"/>
      <c r="D40" s="131"/>
      <c r="F40" s="131"/>
      <c r="G40" s="131"/>
      <c r="H40" s="131"/>
      <c r="I40" s="131"/>
      <c r="J40" s="131"/>
    </row>
    <row r="41" spans="1:10">
      <c r="A41" s="244" t="str">
        <f>" "&amp;_xlfn.CONCAT(LEFT(ForNonZimm!A46,8)&amp;"  "&amp;LEFT(ForNonZimm!B46,8)&amp;"  "&amp;LEFT(ForNonZimm!C46,8)&amp;"  "&amp;LEFT(ForNonZimm!D46,8)&amp;"  "&amp;LEFT(ForNonZimm!E46,8)&amp;" ")</f>
        <v xml:space="preserve"> 60.31078  351.4963  382.4821  472.4463  461.7746 </v>
      </c>
      <c r="B41">
        <f t="shared" si="0"/>
        <v>50</v>
      </c>
      <c r="C41" s="131"/>
      <c r="D41" s="131"/>
      <c r="F41" s="131"/>
      <c r="G41" s="131"/>
      <c r="H41" s="131"/>
      <c r="I41" s="131"/>
      <c r="J41" s="131"/>
    </row>
    <row r="42" spans="1:10">
      <c r="A42" s="245" t="str">
        <f>" "&amp;ForNonZimm!A47&amp;" "</f>
        <v xml:space="preserve"> 57 </v>
      </c>
      <c r="B42">
        <f t="shared" si="0"/>
        <v>4</v>
      </c>
      <c r="C42" s="131"/>
      <c r="D42" s="131"/>
      <c r="F42" s="131"/>
      <c r="G42" s="131"/>
      <c r="H42" s="131"/>
      <c r="I42" s="131"/>
      <c r="J42" s="131"/>
    </row>
    <row r="43" spans="1:10">
      <c r="A43" s="244" t="str">
        <f>" "&amp;_xlfn.CONCAT(LEFT(ForNonZimm!A48,8)&amp;"  "&amp;LEFT(ForNonZimm!B48,8)&amp;"  "&amp;LEFT(ForNonZimm!C48,8)&amp;"  "&amp;LEFT(ForNonZimm!D48,8)&amp;"  "&amp;LEFT(ForNonZimm!E48,8)&amp;" ")</f>
        <v xml:space="preserve"> 4493.561  13657.53  17019.39  20591.36  23848.16 </v>
      </c>
      <c r="B43">
        <f t="shared" si="0"/>
        <v>50</v>
      </c>
      <c r="C43" s="131"/>
      <c r="D43" s="131"/>
      <c r="F43" s="131"/>
      <c r="G43" s="131"/>
      <c r="H43" s="131"/>
      <c r="I43" s="131"/>
      <c r="J43" s="131"/>
    </row>
    <row r="44" spans="1:10">
      <c r="A44" s="244" t="str">
        <f>" "&amp;_xlfn.CONCAT(LEFT(ForNonZimm!A49,8)&amp;"  "&amp;LEFT(ForNonZimm!B49,8)&amp;"  "&amp;LEFT(ForNonZimm!C49,8)&amp;"  "&amp;LEFT(ForNonZimm!D49,8)&amp;"  "&amp;LEFT(ForNonZimm!E49,8)&amp;" ")</f>
        <v xml:space="preserve"> 112.3390  341.4384  425.4848  514.7841  596.2041 </v>
      </c>
      <c r="B44">
        <f t="shared" si="0"/>
        <v>50</v>
      </c>
      <c r="C44" s="131"/>
      <c r="D44" s="131"/>
      <c r="F44" s="131"/>
      <c r="G44" s="131"/>
      <c r="H44" s="131"/>
      <c r="I44" s="131"/>
      <c r="J44" s="131"/>
    </row>
    <row r="45" spans="1:10">
      <c r="A45" s="245" t="str">
        <f>" "&amp;ForNonZimm!A50&amp;" "</f>
        <v xml:space="preserve"> 64 </v>
      </c>
      <c r="B45">
        <f t="shared" si="0"/>
        <v>4</v>
      </c>
      <c r="C45" s="131"/>
      <c r="D45" s="131"/>
      <c r="F45" s="131"/>
      <c r="G45" s="131"/>
      <c r="H45" s="131"/>
      <c r="I45" s="131"/>
      <c r="J45" s="131"/>
    </row>
    <row r="46" spans="1:10">
      <c r="A46" s="244" t="str">
        <f>" "&amp;_xlfn.CONCAT(LEFT(ForNonZimm!A51,8)&amp;"  "&amp;LEFT(ForNonZimm!B51,8)&amp;"  "&amp;LEFT(ForNonZimm!C51,8)&amp;"  "&amp;LEFT(ForNonZimm!D51,8)&amp;"  "&amp;LEFT(ForNonZimm!E51,8)&amp;" ")</f>
        <v xml:space="preserve"> 3153.853  11518.42  12286.22  14182.92  15561.15 </v>
      </c>
      <c r="B46">
        <f t="shared" si="0"/>
        <v>50</v>
      </c>
      <c r="C46" s="131"/>
      <c r="D46" s="131"/>
      <c r="F46" s="131"/>
      <c r="G46" s="131"/>
      <c r="H46" s="131"/>
      <c r="I46" s="131"/>
      <c r="J46" s="131"/>
    </row>
    <row r="47" spans="1:10">
      <c r="A47" s="244" t="str">
        <f>" "&amp;_xlfn.CONCAT(LEFT(ForNonZimm!A52,8)&amp;"  "&amp;LEFT(ForNonZimm!B52,8)&amp;"  "&amp;LEFT(ForNonZimm!C52,8)&amp;"  "&amp;LEFT(ForNonZimm!D52,8)&amp;"  "&amp;LEFT(ForNonZimm!E52,8)&amp;" ")</f>
        <v xml:space="preserve"> 78.84632  287.9605  307.1557  354.5730  389.0289 </v>
      </c>
      <c r="B47">
        <f t="shared" si="0"/>
        <v>50</v>
      </c>
      <c r="C47" s="131"/>
      <c r="D47" s="131"/>
      <c r="F47" s="131"/>
      <c r="G47" s="131"/>
      <c r="H47" s="131"/>
      <c r="I47" s="131"/>
      <c r="J47" s="131"/>
    </row>
    <row r="48" spans="1:10">
      <c r="A48" s="245" t="str">
        <f>" "&amp;ForNonZimm!A53&amp;" "</f>
        <v xml:space="preserve"> 72 </v>
      </c>
      <c r="B48">
        <f t="shared" si="0"/>
        <v>4</v>
      </c>
      <c r="C48" s="131"/>
      <c r="D48" s="131"/>
      <c r="F48" s="131"/>
      <c r="G48" s="131"/>
      <c r="H48" s="131"/>
      <c r="I48" s="131"/>
      <c r="J48" s="131"/>
    </row>
    <row r="49" spans="1:10">
      <c r="A49" s="244" t="str">
        <f>" "&amp;_xlfn.CONCAT(LEFT(ForNonZimm!A54,8)&amp;"  "&amp;LEFT(ForNonZimm!B54,8)&amp;"  "&amp;LEFT(ForNonZimm!C54,8)&amp;"  "&amp;LEFT(ForNonZimm!D54,8)&amp;"  "&amp;LEFT(ForNonZimm!E54,8)&amp;" ")</f>
        <v xml:space="preserve"> 3243.003  11633.76  14241.32  16548.02  17952.09 </v>
      </c>
      <c r="B49">
        <f t="shared" si="0"/>
        <v>50</v>
      </c>
      <c r="C49" s="131"/>
      <c r="D49" s="131"/>
      <c r="F49" s="131"/>
      <c r="G49" s="131"/>
      <c r="H49" s="131"/>
      <c r="I49" s="131"/>
      <c r="J49" s="131"/>
    </row>
    <row r="50" spans="1:10">
      <c r="A50" s="244" t="str">
        <f>" "&amp;_xlfn.CONCAT(LEFT(ForNonZimm!A55,8)&amp;"  "&amp;LEFT(ForNonZimm!B55,8)&amp;"  "&amp;LEFT(ForNonZimm!C55,8)&amp;"  "&amp;LEFT(ForNonZimm!D55,8)&amp;"  "&amp;LEFT(ForNonZimm!E55,8)&amp;" ")</f>
        <v xml:space="preserve"> 81.07509  290.8440  356.0332  413.7006  448.8024 </v>
      </c>
      <c r="B50">
        <f t="shared" si="0"/>
        <v>50</v>
      </c>
      <c r="C50" s="131"/>
      <c r="D50" s="131"/>
      <c r="F50" s="131"/>
      <c r="G50" s="131"/>
      <c r="H50" s="131"/>
      <c r="I50" s="131"/>
      <c r="J50" s="131"/>
    </row>
    <row r="51" spans="1:10">
      <c r="A51" s="245" t="str">
        <f>" "&amp;ForNonZimm!A56&amp;" "</f>
        <v xml:space="preserve"> 81 </v>
      </c>
      <c r="B51">
        <f t="shared" si="0"/>
        <v>4</v>
      </c>
      <c r="C51" s="131"/>
      <c r="D51" s="131"/>
      <c r="F51" s="131"/>
      <c r="G51" s="131"/>
      <c r="H51" s="131"/>
      <c r="I51" s="131"/>
      <c r="J51" s="131"/>
    </row>
    <row r="52" spans="1:10">
      <c r="A52" s="244" t="str">
        <f>" "&amp;_xlfn.CONCAT(LEFT(ForNonZimm!A57,8)&amp;"  "&amp;LEFT(ForNonZimm!B57,8)&amp;"  "&amp;LEFT(ForNonZimm!C57,8)&amp;"  "&amp;LEFT(ForNonZimm!D57,8)&amp;"  "&amp;LEFT(ForNonZimm!E57,8)&amp;" ")</f>
        <v xml:space="preserve"> 5341.505  11997.62  11171.50  11861.06  12885.75 </v>
      </c>
      <c r="B52">
        <f t="shared" si="0"/>
        <v>50</v>
      </c>
      <c r="C52" s="131"/>
      <c r="D52" s="131"/>
      <c r="F52" s="131"/>
      <c r="G52" s="131"/>
      <c r="H52" s="131"/>
      <c r="I52" s="131"/>
      <c r="J52" s="131"/>
    </row>
    <row r="53" spans="1:10">
      <c r="A53" s="244" t="str">
        <f>" "&amp;_xlfn.CONCAT(LEFT(ForNonZimm!A58,8)&amp;"  "&amp;LEFT(ForNonZimm!B58,8)&amp;"  "&amp;LEFT(ForNonZimm!C58,8)&amp;"  "&amp;LEFT(ForNonZimm!D58,8)&amp;"  "&amp;LEFT(ForNonZimm!E58,8)&amp;" ")</f>
        <v xml:space="preserve"> 133.5376  299.9405  279.2876  296.5265  322.1438 </v>
      </c>
      <c r="B53">
        <f t="shared" si="0"/>
        <v>50</v>
      </c>
      <c r="C53" s="131"/>
      <c r="D53" s="131"/>
      <c r="F53" s="131"/>
      <c r="G53" s="131"/>
      <c r="H53" s="131"/>
      <c r="I53" s="131"/>
      <c r="J53" s="131"/>
    </row>
    <row r="54" spans="1:10">
      <c r="A54" s="245" t="str">
        <f>" "&amp;ForNonZimm!A59&amp;" "</f>
        <v xml:space="preserve"> 90 </v>
      </c>
      <c r="B54">
        <f t="shared" si="0"/>
        <v>4</v>
      </c>
      <c r="C54" s="131"/>
      <c r="D54" s="131"/>
      <c r="F54" s="131"/>
      <c r="G54" s="131"/>
      <c r="H54" s="131"/>
      <c r="I54" s="131"/>
      <c r="J54" s="131"/>
    </row>
    <row r="55" spans="1:10">
      <c r="A55" s="244" t="str">
        <f>" "&amp;_xlfn.CONCAT(LEFT(ForNonZimm!A60,8)&amp;"  "&amp;LEFT(ForNonZimm!B60,8)&amp;"  "&amp;LEFT(ForNonZimm!C60,8)&amp;"  "&amp;LEFT(ForNonZimm!D60,8)&amp;"  "&amp;LEFT(ForNonZimm!E60,8)&amp;" ")</f>
        <v xml:space="preserve"> 3181.394  10710.69  13255.81  15588.83  16755.34 </v>
      </c>
      <c r="B55">
        <f t="shared" si="0"/>
        <v>50</v>
      </c>
      <c r="C55" s="131"/>
      <c r="D55" s="131"/>
      <c r="F55" s="131"/>
      <c r="G55" s="131"/>
      <c r="H55" s="131"/>
      <c r="I55" s="131"/>
      <c r="J55" s="131"/>
    </row>
    <row r="56" spans="1:10">
      <c r="A56" s="244" t="str">
        <f>" "&amp;_xlfn.CONCAT(LEFT(ForNonZimm!A61,8)&amp;"  "&amp;LEFT(ForNonZimm!B61,8)&amp;"  "&amp;LEFT(ForNonZimm!C61,8)&amp;"  "&amp;LEFT(ForNonZimm!D61,8)&amp;"  "&amp;LEFT(ForNonZimm!E61,8)&amp;" ")</f>
        <v xml:space="preserve"> 79.53486  267.7673  331.3952  389.7208  418.8836 </v>
      </c>
      <c r="B56">
        <f t="shared" si="0"/>
        <v>50</v>
      </c>
      <c r="C56" s="131"/>
      <c r="D56" s="131"/>
      <c r="F56" s="131"/>
      <c r="G56" s="131"/>
      <c r="H56" s="131"/>
      <c r="I56" s="131"/>
      <c r="J56" s="131"/>
    </row>
    <row r="57" spans="1:10">
      <c r="A57" s="245" t="str">
        <f>" "&amp;ForNonZimm!A62&amp;" "</f>
        <v xml:space="preserve"> 99 </v>
      </c>
      <c r="B57">
        <f t="shared" si="0"/>
        <v>4</v>
      </c>
      <c r="C57" s="131"/>
      <c r="D57" s="131"/>
      <c r="F57" s="131"/>
      <c r="G57" s="131"/>
      <c r="H57" s="131"/>
      <c r="I57" s="131"/>
      <c r="J57" s="131"/>
    </row>
    <row r="58" spans="1:10">
      <c r="A58" s="244" t="str">
        <f>" "&amp;_xlfn.CONCAT(LEFT(ForNonZimm!A63,8)&amp;"  "&amp;LEFT(ForNonZimm!B63,8)&amp;"  "&amp;LEFT(ForNonZimm!C63,8)&amp;"  "&amp;LEFT(ForNonZimm!D63,8)&amp;"  "&amp;LEFT(ForNonZimm!E63,8)&amp;" ")</f>
        <v xml:space="preserve"> 903.7576  10604.68  6277.691  6493.198  7057.401 </v>
      </c>
      <c r="B58">
        <f t="shared" si="0"/>
        <v>50</v>
      </c>
      <c r="C58" s="131"/>
      <c r="D58" s="131"/>
      <c r="F58" s="131"/>
      <c r="G58" s="131"/>
      <c r="H58" s="131"/>
      <c r="I58" s="131"/>
      <c r="J58" s="131"/>
    </row>
    <row r="59" spans="1:10">
      <c r="A59" s="244" t="str">
        <f>" "&amp;_xlfn.CONCAT(LEFT(ForNonZimm!A64,8)&amp;"  "&amp;LEFT(ForNonZimm!B64,8)&amp;"  "&amp;LEFT(ForNonZimm!C64,8)&amp;"  "&amp;LEFT(ForNonZimm!D64,8)&amp;"  "&amp;LEFT(ForNonZimm!E64,8)&amp;" ")</f>
        <v xml:space="preserve"> 22.59394  265.1171  156.9422  162.3299  176.4350 </v>
      </c>
      <c r="B59">
        <f t="shared" si="0"/>
        <v>50</v>
      </c>
      <c r="C59" s="131"/>
      <c r="D59" s="131"/>
      <c r="F59" s="131"/>
      <c r="G59" s="131"/>
      <c r="H59" s="131"/>
      <c r="I59" s="131"/>
      <c r="J59" s="131"/>
    </row>
    <row r="60" spans="1:10">
      <c r="A60" s="245" t="str">
        <f>" "&amp;ForNonZimm!A65&amp;" "</f>
        <v xml:space="preserve"> 117 </v>
      </c>
      <c r="B60">
        <f t="shared" si="0"/>
        <v>5</v>
      </c>
      <c r="C60" s="131"/>
      <c r="D60" s="131"/>
      <c r="F60" s="131"/>
      <c r="G60" s="131"/>
      <c r="H60" s="131"/>
      <c r="I60" s="131"/>
      <c r="J60" s="131"/>
    </row>
    <row r="61" spans="1:10">
      <c r="A61" s="244" t="str">
        <f>" "&amp;_xlfn.CONCAT(LEFT(ForNonZimm!A66,8)&amp;"  "&amp;LEFT(ForNonZimm!B66,8)&amp;"  "&amp;LEFT(ForNonZimm!C66,8)&amp;"  "&amp;LEFT(ForNonZimm!D66,8)&amp;"  "&amp;LEFT(ForNonZimm!E66,8)&amp;" ")</f>
        <v xml:space="preserve"> 1587.271  12931.73  13354.25  14602.23  15577.95 </v>
      </c>
      <c r="B61">
        <f t="shared" si="0"/>
        <v>50</v>
      </c>
      <c r="C61" s="131"/>
      <c r="D61" s="131"/>
      <c r="F61" s="131"/>
      <c r="G61" s="131"/>
      <c r="H61" s="131"/>
      <c r="I61" s="131"/>
      <c r="J61" s="131"/>
    </row>
    <row r="62" spans="1:10">
      <c r="A62" s="244" t="str">
        <f>" "&amp;_xlfn.CONCAT(LEFT(ForNonZimm!A67,8)&amp;"  "&amp;LEFT(ForNonZimm!B67,8)&amp;"  "&amp;LEFT(ForNonZimm!C67,8)&amp;"  "&amp;LEFT(ForNonZimm!D67,8)&amp;"  "&amp;LEFT(ForNonZimm!E67,8)&amp;" ")</f>
        <v xml:space="preserve"> 39.68178  323.2932  333.8564  365.0559  389.4489 </v>
      </c>
      <c r="B62">
        <f t="shared" ref="B62:B74" si="1">LEN(A62)</f>
        <v>50</v>
      </c>
      <c r="C62" s="131"/>
      <c r="D62" s="131"/>
      <c r="F62" s="131"/>
      <c r="G62" s="131"/>
      <c r="H62" s="131"/>
      <c r="I62" s="131"/>
      <c r="J62" s="131"/>
    </row>
    <row r="63" spans="1:10">
      <c r="A63" s="245" t="str">
        <f>" "&amp;ForNonZimm!A68&amp;" "</f>
        <v xml:space="preserve"> 126 </v>
      </c>
      <c r="B63">
        <f t="shared" si="1"/>
        <v>5</v>
      </c>
      <c r="C63" s="131"/>
      <c r="D63" s="131"/>
      <c r="F63" s="131"/>
      <c r="G63" s="131"/>
      <c r="H63" s="131"/>
      <c r="I63" s="131"/>
      <c r="J63" s="131"/>
    </row>
    <row r="64" spans="1:10">
      <c r="A64" s="244" t="str">
        <f>" "&amp;_xlfn.CONCAT(LEFT(ForNonZimm!A69,8)&amp;"  "&amp;LEFT(ForNonZimm!B69,8)&amp;"  "&amp;LEFT(ForNonZimm!C69,8)&amp;"  "&amp;LEFT(ForNonZimm!D69,8)&amp;"  "&amp;LEFT(ForNonZimm!E69,8)&amp;" ")</f>
        <v xml:space="preserve"> 4069.897  13038.67  16324.01  19096.01  21354.68 </v>
      </c>
      <c r="B64">
        <f t="shared" si="1"/>
        <v>50</v>
      </c>
      <c r="C64" s="131"/>
      <c r="D64" s="131"/>
      <c r="F64" s="131"/>
      <c r="G64" s="131"/>
      <c r="H64" s="131"/>
      <c r="I64" s="131"/>
      <c r="J64" s="131"/>
    </row>
    <row r="65" spans="1:10">
      <c r="A65" s="244" t="str">
        <f>" "&amp;_xlfn.CONCAT(LEFT(ForNonZimm!A70,8)&amp;"  "&amp;LEFT(ForNonZimm!B70,8)&amp;"  "&amp;LEFT(ForNonZimm!C70,8)&amp;"  "&amp;LEFT(ForNonZimm!D70,8)&amp;"  "&amp;LEFT(ForNonZimm!E70,8)&amp;" ")</f>
        <v xml:space="preserve"> 101.7474  325.9668  408.1002  477.4003  533.8670 </v>
      </c>
      <c r="B65">
        <f t="shared" si="1"/>
        <v>50</v>
      </c>
      <c r="C65" s="131"/>
      <c r="D65" s="131"/>
      <c r="F65" s="131"/>
      <c r="G65" s="131"/>
      <c r="H65" s="131"/>
      <c r="I65" s="131"/>
      <c r="J65" s="131"/>
    </row>
    <row r="66" spans="1:10">
      <c r="A66" s="245" t="str">
        <f>" "&amp;ForNonZimm!A71&amp;" "</f>
        <v xml:space="preserve"> 134 </v>
      </c>
      <c r="B66">
        <f t="shared" si="1"/>
        <v>5</v>
      </c>
      <c r="C66" s="131"/>
      <c r="D66" s="131"/>
      <c r="F66" s="131"/>
      <c r="G66" s="131"/>
      <c r="H66" s="131"/>
      <c r="I66" s="131"/>
      <c r="J66" s="131"/>
    </row>
    <row r="67" spans="1:10">
      <c r="A67" s="244" t="str">
        <f>" "&amp;_xlfn.CONCAT(LEFT(ForNonZimm!A72,8)&amp;"  "&amp;LEFT(ForNonZimm!B72,8)&amp;"  "&amp;LEFT(ForNonZimm!C72,8)&amp;"  "&amp;LEFT(ForNonZimm!D72,8)&amp;"  "&amp;LEFT(ForNonZimm!E72,8)&amp;" ")</f>
        <v xml:space="preserve"> 2945.644  14342.98  24986.46  27329.35  29976.40 </v>
      </c>
      <c r="B67">
        <f t="shared" si="1"/>
        <v>50</v>
      </c>
      <c r="C67" s="131"/>
      <c r="D67" s="131"/>
      <c r="F67" s="131"/>
      <c r="G67" s="131"/>
      <c r="H67" s="131"/>
      <c r="I67" s="131"/>
      <c r="J67" s="131"/>
    </row>
    <row r="68" spans="1:10">
      <c r="A68" s="244" t="str">
        <f>" "&amp;_xlfn.CONCAT(LEFT(ForNonZimm!A73,8)&amp;"  "&amp;LEFT(ForNonZimm!B73,8)&amp;"  "&amp;LEFT(ForNonZimm!C73,8)&amp;"  "&amp;LEFT(ForNonZimm!D73,8)&amp;"  "&amp;LEFT(ForNonZimm!E73,8)&amp;" ")</f>
        <v xml:space="preserve"> 73.64110  358.5747  624.6615  683.2338  749.4101 </v>
      </c>
      <c r="B68">
        <f t="shared" si="1"/>
        <v>50</v>
      </c>
      <c r="C68" s="131"/>
      <c r="D68" s="131"/>
      <c r="F68" s="131"/>
      <c r="G68" s="131"/>
      <c r="H68" s="131"/>
      <c r="I68" s="131"/>
      <c r="J68" s="131"/>
    </row>
    <row r="69" spans="1:10">
      <c r="A69" s="245" t="str">
        <f>" "&amp;ForNonZimm!A74&amp;" "</f>
        <v xml:space="preserve"> 141 </v>
      </c>
      <c r="B69">
        <f t="shared" si="1"/>
        <v>5</v>
      </c>
      <c r="C69" s="131"/>
      <c r="D69" s="131"/>
      <c r="F69" s="131"/>
      <c r="G69" s="131"/>
      <c r="H69" s="131"/>
      <c r="I69" s="131"/>
      <c r="J69" s="131"/>
    </row>
    <row r="70" spans="1:10">
      <c r="A70" s="244" t="str">
        <f>" "&amp;_xlfn.CONCAT(LEFT(ForNonZimm!A75,8)&amp;"  "&amp;LEFT(ForNonZimm!B75,8)&amp;"  "&amp;LEFT(ForNonZimm!C75,8)&amp;"  "&amp;LEFT(ForNonZimm!D75,8)&amp;"  "&amp;LEFT(ForNonZimm!E75,8)&amp;" ")</f>
        <v xml:space="preserve"> 3797.097  16894.21  20997.09  25099.97  28478.81 </v>
      </c>
      <c r="B70">
        <f t="shared" si="1"/>
        <v>50</v>
      </c>
      <c r="C70" s="131"/>
      <c r="D70" s="131"/>
      <c r="F70" s="131"/>
      <c r="G70" s="131"/>
      <c r="H70" s="131"/>
      <c r="I70" s="131"/>
      <c r="J70" s="131"/>
    </row>
    <row r="71" spans="1:10">
      <c r="A71" s="244" t="str">
        <f>" "&amp;_xlfn.CONCAT(LEFT(ForNonZimm!A76,8)&amp;"  "&amp;LEFT(ForNonZimm!B76,8)&amp;"  "&amp;LEFT(ForNonZimm!C76,8)&amp;"  "&amp;LEFT(ForNonZimm!D76,8)&amp;"  "&amp;LEFT(ForNonZimm!E76,8)&amp;" ")</f>
        <v xml:space="preserve"> 94.92742  422.3552  524.9272  627.4992  711.9703 </v>
      </c>
      <c r="B71">
        <f t="shared" si="1"/>
        <v>50</v>
      </c>
      <c r="C71" s="131"/>
      <c r="D71" s="131"/>
      <c r="F71" s="131"/>
      <c r="G71" s="131"/>
      <c r="H71" s="131"/>
      <c r="I71" s="131"/>
      <c r="J71" s="131"/>
    </row>
    <row r="72" spans="1:10">
      <c r="A72" s="245" t="str">
        <f>" "&amp;ForNonZimm!A77&amp;" "</f>
        <v xml:space="preserve"> 147 </v>
      </c>
      <c r="B72">
        <f t="shared" si="1"/>
        <v>5</v>
      </c>
      <c r="C72" s="131"/>
      <c r="D72" s="131"/>
      <c r="F72" s="131"/>
      <c r="G72" s="131"/>
      <c r="H72" s="131"/>
      <c r="I72" s="131"/>
      <c r="J72" s="131"/>
    </row>
    <row r="73" spans="1:10">
      <c r="A73" s="244" t="str">
        <f>" "&amp;_xlfn.CONCAT(LEFT(ForNonZimm!A78,8)&amp;"  "&amp;LEFT(ForNonZimm!B78,8)&amp;"  "&amp;LEFT(ForNonZimm!C78,8)&amp;"  "&amp;LEFT(ForNonZimm!D78,8)&amp;"  "&amp;LEFT(ForNonZimm!E78,8)&amp;" ")</f>
        <v xml:space="preserve"> 2367.622  21434.51  20067.01  22821.71  25767.51 </v>
      </c>
      <c r="B73">
        <f t="shared" si="1"/>
        <v>50</v>
      </c>
      <c r="C73" s="131"/>
      <c r="D73" s="131"/>
      <c r="F73" s="131"/>
      <c r="G73" s="131"/>
      <c r="H73" s="131"/>
      <c r="I73" s="131"/>
      <c r="J73" s="131"/>
    </row>
    <row r="74" spans="1:10">
      <c r="A74" s="244" t="str">
        <f>" "&amp;_xlfn.CONCAT(LEFT(ForNonZimm!A79,8)&amp;"  "&amp;LEFT(ForNonZimm!B79,8)&amp;"  "&amp;LEFT(ForNonZimm!C79,8)&amp;"  "&amp;LEFT(ForNonZimm!D79,8)&amp;"  "&amp;LEFT(ForNonZimm!E79,8)&amp;" ")</f>
        <v xml:space="preserve"> 59.19055  535.8629  501.6754  570.5428  644.1878 </v>
      </c>
      <c r="B74">
        <f t="shared" si="1"/>
        <v>50</v>
      </c>
      <c r="C74" s="131"/>
      <c r="D74" s="131"/>
      <c r="F74" s="131"/>
      <c r="G74" s="131"/>
      <c r="H74" s="131"/>
      <c r="I74" s="131"/>
      <c r="J74" s="131"/>
    </row>
    <row r="75" spans="1:10">
      <c r="A75" s="131"/>
      <c r="B75" s="131"/>
      <c r="C75" s="131"/>
      <c r="D75" s="131"/>
      <c r="F75" s="131"/>
      <c r="G75" s="131"/>
      <c r="H75" s="131"/>
      <c r="I75" s="131"/>
      <c r="J75" s="131"/>
    </row>
    <row r="76" spans="1:10">
      <c r="A76" s="131"/>
      <c r="B76" s="131"/>
      <c r="C76" s="131"/>
      <c r="D76" s="131"/>
      <c r="F76" s="131"/>
      <c r="G76" s="131"/>
      <c r="H76" s="131"/>
      <c r="I76" s="131"/>
      <c r="J76" s="131"/>
    </row>
    <row r="77" spans="1:10">
      <c r="A77" s="131"/>
      <c r="B77" s="131"/>
      <c r="C77" s="131"/>
      <c r="D77" s="131"/>
      <c r="F77" s="131"/>
      <c r="G77" s="131"/>
      <c r="H77" s="131"/>
      <c r="I77" s="131"/>
      <c r="J77" s="131"/>
    </row>
    <row r="78" spans="1:10">
      <c r="A78" s="131"/>
      <c r="B78" s="131"/>
      <c r="C78" s="131"/>
      <c r="D78" s="131"/>
      <c r="F78" s="131"/>
      <c r="G78" s="131"/>
      <c r="H78" s="131"/>
      <c r="I78" s="131"/>
      <c r="J78" s="131"/>
    </row>
    <row r="79" spans="1:10">
      <c r="A79" s="131"/>
      <c r="B79" s="131"/>
      <c r="C79" s="131"/>
      <c r="D79" s="131"/>
      <c r="F79" s="131"/>
      <c r="G79" s="131"/>
      <c r="H79" s="131"/>
      <c r="I79" s="131"/>
      <c r="J79" s="131"/>
    </row>
    <row r="80" spans="1:10">
      <c r="A80" s="131"/>
      <c r="B80" s="131"/>
      <c r="C80" s="131"/>
      <c r="D80" s="131"/>
      <c r="F80" s="131"/>
      <c r="G80" s="131"/>
      <c r="H80" s="131"/>
      <c r="I80" s="131"/>
      <c r="J80" s="131"/>
    </row>
    <row r="81" spans="1:10">
      <c r="A81" s="131"/>
      <c r="B81" s="131"/>
      <c r="C81" s="131"/>
      <c r="D81" s="131"/>
      <c r="F81" s="131"/>
      <c r="G81" s="131"/>
      <c r="H81" s="131"/>
      <c r="I81" s="131"/>
      <c r="J81" s="131"/>
    </row>
    <row r="82" spans="1:10">
      <c r="A82" s="131"/>
      <c r="B82" s="131"/>
      <c r="C82" s="131"/>
      <c r="D82" s="131"/>
      <c r="F82" s="131"/>
      <c r="G82" s="131"/>
      <c r="H82" s="131"/>
      <c r="I82" s="131"/>
      <c r="J82" s="131"/>
    </row>
    <row r="83" spans="1:10">
      <c r="A83" s="131"/>
      <c r="B83" s="131"/>
      <c r="C83" s="131"/>
      <c r="D83" s="131"/>
      <c r="F83" s="131"/>
      <c r="G83" s="131"/>
      <c r="H83" s="131"/>
      <c r="I83" s="131"/>
      <c r="J83" s="131"/>
    </row>
    <row r="84" spans="1:10">
      <c r="A84" s="131"/>
      <c r="B84" s="131"/>
      <c r="C84" s="131"/>
      <c r="D84" s="131"/>
      <c r="F84" s="131"/>
      <c r="G84" s="131"/>
      <c r="H84" s="131"/>
      <c r="I84" s="131"/>
      <c r="J84" s="131"/>
    </row>
    <row r="85" spans="1:10">
      <c r="A85" s="131"/>
      <c r="B85" s="131"/>
      <c r="C85" s="131"/>
      <c r="D85" s="131"/>
      <c r="F85" s="131"/>
      <c r="G85" s="131"/>
      <c r="H85" s="131"/>
      <c r="I85" s="131"/>
      <c r="J85" s="131"/>
    </row>
    <row r="86" spans="1:10">
      <c r="A86" s="131"/>
      <c r="B86" s="131"/>
      <c r="C86" s="131"/>
      <c r="D86" s="131"/>
      <c r="F86" s="131"/>
      <c r="G86" s="131"/>
      <c r="H86" s="131"/>
      <c r="I86" s="131"/>
      <c r="J86" s="131"/>
    </row>
    <row r="87" spans="1:10">
      <c r="A87" s="131"/>
      <c r="B87" s="131"/>
      <c r="C87" s="131"/>
      <c r="D87" s="131"/>
      <c r="F87" s="131"/>
      <c r="G87" s="131"/>
      <c r="H87" s="131"/>
      <c r="I87" s="131"/>
      <c r="J87" s="131"/>
    </row>
    <row r="88" spans="1:10">
      <c r="A88" s="131"/>
      <c r="B88" s="131"/>
      <c r="C88" s="131"/>
      <c r="D88" s="131"/>
      <c r="F88" s="131"/>
      <c r="G88" s="131"/>
      <c r="H88" s="131"/>
      <c r="I88" s="131"/>
      <c r="J88" s="131"/>
    </row>
    <row r="89" spans="1:10">
      <c r="A89" s="131"/>
      <c r="B89" s="131"/>
      <c r="C89" s="131"/>
      <c r="D89" s="131"/>
      <c r="F89" s="131"/>
      <c r="G89" s="131"/>
      <c r="H89" s="131"/>
      <c r="I89" s="131"/>
      <c r="J89" s="131"/>
    </row>
    <row r="90" spans="1:10">
      <c r="A90" s="131"/>
      <c r="B90" s="131"/>
      <c r="C90" s="131"/>
      <c r="D90" s="131"/>
      <c r="F90" s="131"/>
      <c r="G90" s="131"/>
      <c r="H90" s="131"/>
      <c r="I90" s="131"/>
      <c r="J90" s="131"/>
    </row>
    <row r="91" spans="1:10">
      <c r="A91" s="131"/>
      <c r="B91" s="131"/>
      <c r="C91" s="131"/>
      <c r="D91" s="131"/>
      <c r="F91" s="131"/>
      <c r="G91" s="131"/>
      <c r="H91" s="131"/>
      <c r="I91" s="131"/>
      <c r="J91" s="131"/>
    </row>
    <row r="92" spans="1:10">
      <c r="A92" s="131"/>
      <c r="B92" s="131"/>
      <c r="C92" s="131"/>
      <c r="D92" s="131"/>
      <c r="F92" s="131"/>
      <c r="G92" s="131"/>
      <c r="H92" s="131"/>
      <c r="I92" s="131"/>
      <c r="J92" s="131"/>
    </row>
    <row r="93" spans="1:10">
      <c r="A93" s="131"/>
      <c r="B93" s="131"/>
      <c r="C93" s="131"/>
      <c r="D93" s="131"/>
      <c r="F93" s="131"/>
      <c r="G93" s="131"/>
      <c r="H93" s="131"/>
      <c r="I93" s="131"/>
      <c r="J93" s="131"/>
    </row>
  </sheetData>
  <pageMargins left="0.7" right="0.7" top="0.75" bottom="0.75" header="0.3" footer="0.3"/>
  <pageSetup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31</vt:i4>
      </vt:variant>
    </vt:vector>
  </HeadingPairs>
  <TitlesOfParts>
    <vt:vector size="48" baseType="lpstr">
      <vt:lpstr>Development notes</vt:lpstr>
      <vt:lpstr>Instructions &amp; Notes</vt:lpstr>
      <vt:lpstr>Parameters</vt:lpstr>
      <vt:lpstr>ConcData</vt:lpstr>
      <vt:lpstr>NormStandard</vt:lpstr>
      <vt:lpstr>Conc1</vt:lpstr>
      <vt:lpstr>Conc2</vt:lpstr>
      <vt:lpstr>Conc3</vt:lpstr>
      <vt:lpstr>Conc4</vt:lpstr>
      <vt:lpstr>Conc5</vt:lpstr>
      <vt:lpstr>Conc6</vt:lpstr>
      <vt:lpstr>Conc7</vt:lpstr>
      <vt:lpstr>Conc8</vt:lpstr>
      <vt:lpstr>Guinier+SphereFit1</vt:lpstr>
      <vt:lpstr>ZimmPrep</vt:lpstr>
      <vt:lpstr>ForNonZimm</vt:lpstr>
      <vt:lpstr>4ConcText</vt:lpstr>
      <vt:lpstr>CalStd</vt:lpstr>
      <vt:lpstr>Dens1</vt:lpstr>
      <vt:lpstr>dndc</vt:lpstr>
      <vt:lpstr>Exponentm</vt:lpstr>
      <vt:lpstr>Guinslope</vt:lpstr>
      <vt:lpstr>Guintercept</vt:lpstr>
      <vt:lpstr>I90Std</vt:lpstr>
      <vt:lpstr>Izero</vt:lpstr>
      <vt:lpstr>Koptical</vt:lpstr>
      <vt:lpstr>kscale</vt:lpstr>
      <vt:lpstr>'Guinier+SphereFit1'!Lamcm</vt:lpstr>
      <vt:lpstr>Lamcm</vt:lpstr>
      <vt:lpstr>'Guinier+SphereFit1'!Lamnm</vt:lpstr>
      <vt:lpstr>Lamnm</vt:lpstr>
      <vt:lpstr>mExponent</vt:lpstr>
      <vt:lpstr>MolWt</vt:lpstr>
      <vt:lpstr>RadGy</vt:lpstr>
      <vt:lpstr>RayFacToluene</vt:lpstr>
      <vt:lpstr>RayFactorStd</vt:lpstr>
      <vt:lpstr>'Guinier+SphereFit1'!Refin</vt:lpstr>
      <vt:lpstr>Refin</vt:lpstr>
      <vt:lpstr>RefinRayleigh</vt:lpstr>
      <vt:lpstr>Rgcm</vt:lpstr>
      <vt:lpstr>'Guinier+SphereFit1'!Rgyration</vt:lpstr>
      <vt:lpstr>Rgyration</vt:lpstr>
      <vt:lpstr>Rhydro</vt:lpstr>
      <vt:lpstr>Rsphere</vt:lpstr>
      <vt:lpstr>Solvent</vt:lpstr>
      <vt:lpstr>v2bar</vt:lpstr>
      <vt:lpstr>Virial2</vt:lpstr>
      <vt:lpstr>VolExponent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2024-06-06T15:55:34Z</dcterms:modified>
</cp:coreProperties>
</file>