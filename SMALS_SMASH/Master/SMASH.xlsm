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2.xml" ContentType="application/vnd.openxmlformats-officedocument.spreadsheetml.comments+xml"/>
  <Override PartName="/xl/drawings/drawing5.xml" ContentType="application/vnd.openxmlformats-officedocument.drawing+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drawings/drawing6.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7.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8.xml" ContentType="application/vnd.openxmlformats-officedocument.drawing+xml"/>
  <Override PartName="/xl/charts/chart9.xml" ContentType="application/vnd.openxmlformats-officedocument.drawingml.chart+xml"/>
  <Override PartName="/xl/charts/style2.xml" ContentType="application/vnd.ms-office.chartstyle+xml"/>
  <Override PartName="/xl/charts/colors2.xml" ContentType="application/vnd.ms-office.chartcolorstyle+xml"/>
  <Override PartName="/xl/charts/chart10.xml" ContentType="application/vnd.openxmlformats-officedocument.drawingml.chart+xml"/>
  <Override PartName="/xl/charts/style3.xml" ContentType="application/vnd.ms-office.chartstyle+xml"/>
  <Override PartName="/xl/charts/colors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0411" codeName="{3D1A710C-6663-3D7B-7F91-EC182F24A4BC}"/>
  <workbookPr codeName="ThisWorkbook"/>
  <mc:AlternateContent xmlns:mc="http://schemas.openxmlformats.org/markup-compatibility/2006">
    <mc:Choice Requires="x15">
      <x15ac:absPath xmlns:x15ac="http://schemas.microsoft.com/office/spreadsheetml/2010/11/ac" url="C:\PR\Task\Work\ComputerPrograms\SMALS\SMALS_SMASH\Master\"/>
    </mc:Choice>
  </mc:AlternateContent>
  <xr:revisionPtr revIDLastSave="0" documentId="13_ncr:1_{6171D6EB-62F9-4A4A-9BA0-4F6DFBC06875}" xr6:coauthVersionLast="36" xr6:coauthVersionMax="36" xr10:uidLastSave="{00000000-0000-0000-0000-000000000000}"/>
  <bookViews>
    <workbookView xWindow="0" yWindow="0" windowWidth="22260" windowHeight="12645" tabRatio="829" firstSheet="4" activeTab="16" xr2:uid="{00000000-000D-0000-FFFF-FFFF00000000}"/>
  </bookViews>
  <sheets>
    <sheet name="Development notes" sheetId="6" r:id="rId1"/>
    <sheet name="Instructions &amp; Notes" sheetId="3" r:id="rId2"/>
    <sheet name="Parameters" sheetId="2" r:id="rId3"/>
    <sheet name="ConcData" sheetId="24" r:id="rId4"/>
    <sheet name="NormStandard" sheetId="1" r:id="rId5"/>
    <sheet name="Conc1" sheetId="4" r:id="rId6"/>
    <sheet name="Conc2" sheetId="10" r:id="rId7"/>
    <sheet name="Conc3" sheetId="19" r:id="rId8"/>
    <sheet name="Conc4" sheetId="18" r:id="rId9"/>
    <sheet name="Conc5" sheetId="20" r:id="rId10"/>
    <sheet name="Conc6" sheetId="21" r:id="rId11"/>
    <sheet name="Conc7" sheetId="22" r:id="rId12"/>
    <sheet name="Conc8" sheetId="23" r:id="rId13"/>
    <sheet name="Guinier+SphereFit1" sheetId="7" r:id="rId14"/>
    <sheet name="ZimmPrep" sheetId="8" r:id="rId15"/>
    <sheet name="ForNonZimm" sheetId="9" r:id="rId16"/>
    <sheet name="4ConcText" sheetId="25" r:id="rId17"/>
  </sheets>
  <definedNames>
    <definedName name="CalStd">Parameters!$G$2</definedName>
    <definedName name="Dens1">ConcData!$B$7</definedName>
    <definedName name="dndc">Parameters!$B$9</definedName>
    <definedName name="Exponentm">Parameters!$A$3</definedName>
    <definedName name="Guinslope">'Guinier+SphereFit1'!$N$24</definedName>
    <definedName name="Guintercept">'Guinier+SphereFit1'!$N$23</definedName>
    <definedName name="I90Std">Parameters!$G$4</definedName>
    <definedName name="Izero">'Guinier+SphereFit1'!$N$30</definedName>
    <definedName name="Koptical">Parameters!$B$10</definedName>
    <definedName name="kscale">ZimmPrep!$P$48</definedName>
    <definedName name="Lamcm" localSheetId="13">Parameters!$B$4</definedName>
    <definedName name="Lamcm">Parameters!$B$4</definedName>
    <definedName name="Lamnm" localSheetId="13">Parameters!$B$3</definedName>
    <definedName name="Lamnm">Parameters!$B$3</definedName>
    <definedName name="mExponent">Parameters!$B$7</definedName>
    <definedName name="MolWt">ZimmPrep!$Q$92</definedName>
    <definedName name="RadGy">ZimmPrep!$Q$94</definedName>
    <definedName name="RayFacToluene">Parameters!$B$8</definedName>
    <definedName name="RayFactorStd">Parameters!$G$3</definedName>
    <definedName name="Refin" localSheetId="13">Parameters!$B$5</definedName>
    <definedName name="Refin">Parameters!$B$5</definedName>
    <definedName name="RefinRayleigh">Parameters!$B$6</definedName>
    <definedName name="Rgcm">ZimmPrep!$Q$95</definedName>
    <definedName name="Rgyration" localSheetId="13">NormStandard!$K$8</definedName>
    <definedName name="Rgyration">NormStandard!$K$8</definedName>
    <definedName name="Rhydro">NormStandard!$K$7</definedName>
    <definedName name="Rsphere">'Guinier+SphereFit1'!$N$31</definedName>
    <definedName name="Solvent">Parameters!$B$2</definedName>
    <definedName name="solver_adj" localSheetId="13" hidden="1">'Guinier+SphereFit1'!$N$30:$N$31</definedName>
    <definedName name="solver_adj" localSheetId="14" hidden="1">ZimmPrep!$Q$92:$Q$94</definedName>
    <definedName name="solver_cvg" localSheetId="13" hidden="1">0.0001</definedName>
    <definedName name="solver_cvg" localSheetId="14" hidden="1">0.000000001</definedName>
    <definedName name="solver_drv" localSheetId="13" hidden="1">1</definedName>
    <definedName name="solver_drv" localSheetId="14" hidden="1">1</definedName>
    <definedName name="solver_eng" localSheetId="13" hidden="1">1</definedName>
    <definedName name="solver_eng" localSheetId="14" hidden="1">1</definedName>
    <definedName name="solver_est" localSheetId="13" hidden="1">1</definedName>
    <definedName name="solver_est" localSheetId="14" hidden="1">1</definedName>
    <definedName name="solver_itr" localSheetId="13" hidden="1">2147483647</definedName>
    <definedName name="solver_itr" localSheetId="14" hidden="1">2147483647</definedName>
    <definedName name="solver_lhs1" localSheetId="14" hidden="1">ZimmPrep!$Q$92</definedName>
    <definedName name="solver_lhs2" localSheetId="14" hidden="1">ZimmPrep!$Q$94</definedName>
    <definedName name="solver_lhs3" localSheetId="14" hidden="1">ZimmPrep!$Q$93</definedName>
    <definedName name="solver_mip" localSheetId="13" hidden="1">2147483647</definedName>
    <definedName name="solver_mip" localSheetId="14" hidden="1">2147483647</definedName>
    <definedName name="solver_mni" localSheetId="13" hidden="1">30</definedName>
    <definedName name="solver_mni" localSheetId="14" hidden="1">300</definedName>
    <definedName name="solver_mrt" localSheetId="13" hidden="1">0.075</definedName>
    <definedName name="solver_mrt" localSheetId="14" hidden="1">0.075</definedName>
    <definedName name="solver_msl" localSheetId="13" hidden="1">2</definedName>
    <definedName name="solver_msl" localSheetId="14" hidden="1">2</definedName>
    <definedName name="solver_neg" localSheetId="13" hidden="1">1</definedName>
    <definedName name="solver_neg" localSheetId="14" hidden="1">2</definedName>
    <definedName name="solver_nod" localSheetId="13" hidden="1">2147483647</definedName>
    <definedName name="solver_nod" localSheetId="14" hidden="1">2147483647</definedName>
    <definedName name="solver_num" localSheetId="13" hidden="1">0</definedName>
    <definedName name="solver_num" localSheetId="14" hidden="1">2</definedName>
    <definedName name="solver_nwt" localSheetId="13" hidden="1">1</definedName>
    <definedName name="solver_nwt" localSheetId="14" hidden="1">1</definedName>
    <definedName name="solver_opt" localSheetId="13" hidden="1">'Guinier+SphereFit1'!$K$46</definedName>
    <definedName name="solver_opt" localSheetId="14" hidden="1">ZimmPrep!$Q$103</definedName>
    <definedName name="solver_pre" localSheetId="13" hidden="1">0.000001</definedName>
    <definedName name="solver_pre" localSheetId="14" hidden="1">0.0000001</definedName>
    <definedName name="solver_rbv" localSheetId="13" hidden="1">1</definedName>
    <definedName name="solver_rbv" localSheetId="14" hidden="1">1</definedName>
    <definedName name="solver_rel1" localSheetId="14" hidden="1">3</definedName>
    <definedName name="solver_rel2" localSheetId="14" hidden="1">3</definedName>
    <definedName name="solver_rel3" localSheetId="14" hidden="1">3</definedName>
    <definedName name="solver_rhs1" localSheetId="14" hidden="1">10</definedName>
    <definedName name="solver_rhs2" localSheetId="14" hidden="1">1</definedName>
    <definedName name="solver_rhs3" localSheetId="14" hidden="1">10</definedName>
    <definedName name="solver_rlx" localSheetId="13" hidden="1">2</definedName>
    <definedName name="solver_rlx" localSheetId="14" hidden="1">2</definedName>
    <definedName name="solver_rsd" localSheetId="13" hidden="1">0</definedName>
    <definedName name="solver_rsd" localSheetId="14" hidden="1">0</definedName>
    <definedName name="solver_scl" localSheetId="13" hidden="1">1</definedName>
    <definedName name="solver_scl" localSheetId="14" hidden="1">2</definedName>
    <definedName name="solver_sho" localSheetId="13" hidden="1">2</definedName>
    <definedName name="solver_sho" localSheetId="14" hidden="1">2</definedName>
    <definedName name="solver_ssz" localSheetId="13" hidden="1">100</definedName>
    <definedName name="solver_ssz" localSheetId="14" hidden="1">1000</definedName>
    <definedName name="solver_tim" localSheetId="13" hidden="1">2147483647</definedName>
    <definedName name="solver_tim" localSheetId="14" hidden="1">10</definedName>
    <definedName name="solver_tol" localSheetId="13" hidden="1">0.01</definedName>
    <definedName name="solver_tol" localSheetId="14" hidden="1">0.01</definedName>
    <definedName name="solver_typ" localSheetId="13" hidden="1">2</definedName>
    <definedName name="solver_typ" localSheetId="14" hidden="1">2</definedName>
    <definedName name="solver_val" localSheetId="13" hidden="1">0</definedName>
    <definedName name="solver_val" localSheetId="14" hidden="1">0</definedName>
    <definedName name="solver_ver" localSheetId="13" hidden="1">3</definedName>
    <definedName name="solver_ver" localSheetId="14" hidden="1">3</definedName>
    <definedName name="v2bar">ConcData!$B$5</definedName>
    <definedName name="Virial2">ZimmPrep!$Q$93</definedName>
    <definedName name="VolExponent">Parameters!$G$5</definedName>
  </definedNames>
  <calcPr calcId="191029"/>
</workbook>
</file>

<file path=xl/calcChain.xml><?xml version="1.0" encoding="utf-8"?>
<calcChain xmlns="http://schemas.openxmlformats.org/spreadsheetml/2006/main">
  <c r="L24" i="1" l="1"/>
  <c r="I24" i="1"/>
  <c r="N14" i="2"/>
  <c r="N15" i="2"/>
  <c r="N16" i="2"/>
  <c r="N17" i="2"/>
  <c r="N13" i="2"/>
  <c r="K14" i="2"/>
  <c r="B115" i="8" l="1"/>
  <c r="C115" i="8"/>
  <c r="B116" i="8"/>
  <c r="C116" i="8"/>
  <c r="B117" i="8"/>
  <c r="C117" i="8"/>
  <c r="B118" i="8"/>
  <c r="C118" i="8"/>
  <c r="B119" i="8"/>
  <c r="C119" i="8"/>
  <c r="B120" i="8"/>
  <c r="C120" i="8"/>
  <c r="B121" i="8"/>
  <c r="C121" i="8"/>
  <c r="B122" i="8"/>
  <c r="C122" i="8"/>
  <c r="B123" i="8"/>
  <c r="C123" i="8"/>
  <c r="B124" i="8"/>
  <c r="C124" i="8"/>
  <c r="B125" i="8"/>
  <c r="C125" i="8"/>
  <c r="B126" i="8"/>
  <c r="C126" i="8"/>
  <c r="B127" i="8"/>
  <c r="C127" i="8"/>
  <c r="B128" i="8"/>
  <c r="C128" i="8"/>
  <c r="B129" i="8"/>
  <c r="C129" i="8"/>
  <c r="B130" i="8"/>
  <c r="C130" i="8"/>
  <c r="B131" i="8"/>
  <c r="C131" i="8"/>
  <c r="B114" i="8"/>
  <c r="C114" i="8"/>
  <c r="F117" i="8"/>
  <c r="M117" i="8"/>
  <c r="G3" i="2" l="1"/>
  <c r="A20" i="25" l="1"/>
  <c r="I26" i="1"/>
  <c r="G117" i="8" l="1"/>
  <c r="H117" i="8"/>
  <c r="I117" i="8"/>
  <c r="J117" i="8"/>
  <c r="K117" i="8"/>
  <c r="L117" i="8"/>
  <c r="G126" i="8"/>
  <c r="H126" i="8"/>
  <c r="I126" i="8"/>
  <c r="J126" i="8"/>
  <c r="K126" i="8"/>
  <c r="L126" i="8"/>
  <c r="M126" i="8"/>
  <c r="F126" i="8"/>
  <c r="B98" i="8"/>
  <c r="B99" i="8"/>
  <c r="B100" i="8"/>
  <c r="B101" i="8"/>
  <c r="B102" i="8"/>
  <c r="B103" i="8"/>
  <c r="B104" i="8"/>
  <c r="B105" i="8"/>
  <c r="B106" i="8"/>
  <c r="B107" i="8"/>
  <c r="B108" i="8"/>
  <c r="B109" i="8"/>
  <c r="B110" i="8"/>
  <c r="B111" i="8"/>
  <c r="B95" i="8"/>
  <c r="B96" i="8"/>
  <c r="B97" i="8"/>
  <c r="B94" i="8"/>
  <c r="Q95" i="8"/>
  <c r="M93" i="8"/>
  <c r="L93" i="8"/>
  <c r="K93" i="8"/>
  <c r="J93" i="8"/>
  <c r="I93" i="8"/>
  <c r="H93" i="8"/>
  <c r="G93" i="8"/>
  <c r="F93" i="8"/>
  <c r="A22" i="25" l="1"/>
  <c r="A1" i="25" l="1"/>
  <c r="A2" i="25"/>
  <c r="B2" i="25" s="1"/>
  <c r="A14" i="25"/>
  <c r="B14" i="25" s="1"/>
  <c r="A15" i="25"/>
  <c r="A16" i="25"/>
  <c r="A19" i="25"/>
  <c r="A21" i="25"/>
  <c r="B21" i="25" s="1"/>
  <c r="A10" i="25"/>
  <c r="B10" i="25" s="1"/>
  <c r="B22" i="25"/>
  <c r="B1" i="25"/>
  <c r="A6" i="25"/>
  <c r="B6" i="25" s="1"/>
  <c r="A18" i="9"/>
  <c r="A19" i="9" s="1"/>
  <c r="A18" i="25" s="1"/>
  <c r="B18" i="25" s="1"/>
  <c r="A32" i="9"/>
  <c r="A27" i="25" s="1"/>
  <c r="A12" i="25"/>
  <c r="B12" i="25" s="1"/>
  <c r="A13" i="25"/>
  <c r="B13" i="25" s="1"/>
  <c r="B15" i="25"/>
  <c r="B16" i="25"/>
  <c r="B19" i="25"/>
  <c r="B20" i="25"/>
  <c r="A11" i="25"/>
  <c r="B11" i="25" s="1"/>
  <c r="A9" i="25"/>
  <c r="B9" i="25" s="1"/>
  <c r="A7" i="25"/>
  <c r="B7" i="25" s="1"/>
  <c r="A8" i="25"/>
  <c r="B8" i="25" s="1"/>
  <c r="A3" i="25"/>
  <c r="B3" i="25" s="1"/>
  <c r="A4" i="25"/>
  <c r="B4" i="25" s="1"/>
  <c r="A5" i="25"/>
  <c r="B5" i="25" s="1"/>
  <c r="A17" i="25" l="1"/>
  <c r="B17" i="25" s="1"/>
  <c r="B27" i="25"/>
  <c r="L15" i="4"/>
  <c r="H18" i="24" l="1"/>
  <c r="I18" i="24"/>
  <c r="J18" i="24"/>
  <c r="K18" i="24"/>
  <c r="H17" i="24"/>
  <c r="H19" i="24" s="1"/>
  <c r="H28" i="24" s="1"/>
  <c r="A28" i="9" s="1"/>
  <c r="I17" i="24"/>
  <c r="I19" i="24" s="1"/>
  <c r="I28" i="24" s="1"/>
  <c r="A29" i="9" s="1"/>
  <c r="J17" i="24"/>
  <c r="J19" i="24" s="1"/>
  <c r="J28" i="24" s="1"/>
  <c r="A30" i="9" s="1"/>
  <c r="K17" i="24"/>
  <c r="K19" i="24" s="1"/>
  <c r="K28" i="24" s="1"/>
  <c r="A31" i="9" s="1"/>
  <c r="G19" i="24"/>
  <c r="G28" i="24" s="1"/>
  <c r="A27" i="9" s="1"/>
  <c r="E18" i="24"/>
  <c r="F18" i="24"/>
  <c r="G18" i="24"/>
  <c r="D18" i="24"/>
  <c r="G17" i="24"/>
  <c r="F17" i="24"/>
  <c r="F19" i="24" s="1"/>
  <c r="F28" i="24" s="1"/>
  <c r="A26" i="9" s="1"/>
  <c r="E17" i="24"/>
  <c r="E19" i="24" s="1"/>
  <c r="E28" i="24" s="1"/>
  <c r="A25" i="9" s="1"/>
  <c r="D17" i="24"/>
  <c r="D19" i="24" s="1"/>
  <c r="D28" i="24" s="1"/>
  <c r="A24" i="9" s="1"/>
  <c r="A24" i="25" l="1"/>
  <c r="B24" i="25" s="1"/>
  <c r="A25" i="25"/>
  <c r="B25" i="25" s="1"/>
  <c r="A23" i="25"/>
  <c r="B23" i="25" s="1"/>
  <c r="A26" i="25"/>
  <c r="B26" i="25" s="1"/>
  <c r="C6" i="8"/>
  <c r="L18" i="8" l="1"/>
  <c r="J18" i="8"/>
  <c r="H18" i="8"/>
  <c r="H32" i="23"/>
  <c r="J31" i="23"/>
  <c r="L31" i="23" s="1"/>
  <c r="H30" i="23"/>
  <c r="J29" i="23"/>
  <c r="L29" i="23" s="1"/>
  <c r="H28" i="23"/>
  <c r="M27" i="23"/>
  <c r="M18" i="8" s="1"/>
  <c r="H26" i="23"/>
  <c r="J25" i="23"/>
  <c r="L25" i="23" s="1"/>
  <c r="H24" i="23"/>
  <c r="S23" i="23"/>
  <c r="K32" i="23" s="1"/>
  <c r="J23" i="23"/>
  <c r="L23" i="23" s="1"/>
  <c r="S22" i="23"/>
  <c r="K30" i="23" s="1"/>
  <c r="H22" i="23"/>
  <c r="S21" i="23"/>
  <c r="K28" i="23" s="1"/>
  <c r="L28" i="23" s="1"/>
  <c r="J21" i="23"/>
  <c r="L21" i="23" s="1"/>
  <c r="S20" i="23"/>
  <c r="K26" i="23" s="1"/>
  <c r="H20" i="23"/>
  <c r="S19" i="23"/>
  <c r="K24" i="23" s="1"/>
  <c r="L24" i="23" s="1"/>
  <c r="H19" i="23"/>
  <c r="S18" i="23"/>
  <c r="K22" i="23" s="1"/>
  <c r="M18" i="23"/>
  <c r="M9" i="8" s="1"/>
  <c r="S17" i="23"/>
  <c r="K20" i="23" s="1"/>
  <c r="J17" i="23"/>
  <c r="L17" i="23" s="1"/>
  <c r="S16" i="23"/>
  <c r="K19" i="23" s="1"/>
  <c r="L19" i="23" s="1"/>
  <c r="J16" i="23"/>
  <c r="L16" i="23" s="1"/>
  <c r="J15" i="23"/>
  <c r="L15" i="23" s="1"/>
  <c r="F11" i="23"/>
  <c r="F10" i="23"/>
  <c r="F9" i="23"/>
  <c r="F8" i="23"/>
  <c r="J7" i="23"/>
  <c r="J8" i="23" s="1"/>
  <c r="J10" i="23" s="1"/>
  <c r="J11" i="23" s="1"/>
  <c r="F7" i="23"/>
  <c r="F6" i="23"/>
  <c r="E6" i="23"/>
  <c r="D4" i="23"/>
  <c r="D2" i="23"/>
  <c r="H32" i="22"/>
  <c r="J31" i="22"/>
  <c r="L31" i="22" s="1"/>
  <c r="H30" i="22"/>
  <c r="J29" i="22"/>
  <c r="L29" i="22" s="1"/>
  <c r="H28" i="22"/>
  <c r="M27" i="22"/>
  <c r="H26" i="22"/>
  <c r="J25" i="22"/>
  <c r="L25" i="22" s="1"/>
  <c r="H24" i="22"/>
  <c r="S23" i="22"/>
  <c r="K32" i="22" s="1"/>
  <c r="J23" i="22"/>
  <c r="L23" i="22" s="1"/>
  <c r="S22" i="22"/>
  <c r="K30" i="22" s="1"/>
  <c r="H22" i="22"/>
  <c r="S21" i="22"/>
  <c r="K28" i="22" s="1"/>
  <c r="J21" i="22"/>
  <c r="L21" i="22" s="1"/>
  <c r="S20" i="22"/>
  <c r="K26" i="22" s="1"/>
  <c r="H20" i="22"/>
  <c r="S19" i="22"/>
  <c r="K24" i="22" s="1"/>
  <c r="H19" i="22"/>
  <c r="S18" i="22"/>
  <c r="K22" i="22" s="1"/>
  <c r="M18" i="22"/>
  <c r="L9" i="8" s="1"/>
  <c r="S17" i="22"/>
  <c r="K20" i="22" s="1"/>
  <c r="J17" i="22"/>
  <c r="L17" i="22" s="1"/>
  <c r="S16" i="22"/>
  <c r="K19" i="22" s="1"/>
  <c r="L19" i="22" s="1"/>
  <c r="J16" i="22"/>
  <c r="L16" i="22" s="1"/>
  <c r="J15" i="22"/>
  <c r="L15" i="22" s="1"/>
  <c r="F11" i="22"/>
  <c r="F10" i="22"/>
  <c r="F9" i="22"/>
  <c r="F8" i="22"/>
  <c r="J7" i="22"/>
  <c r="J8" i="22" s="1"/>
  <c r="J10" i="22" s="1"/>
  <c r="J11" i="22" s="1"/>
  <c r="F7" i="22"/>
  <c r="F6" i="22"/>
  <c r="E6" i="22"/>
  <c r="D4" i="22"/>
  <c r="D2" i="22"/>
  <c r="H32" i="21"/>
  <c r="J31" i="21"/>
  <c r="L31" i="21" s="1"/>
  <c r="H30" i="21"/>
  <c r="J29" i="21"/>
  <c r="L29" i="21" s="1"/>
  <c r="H28" i="21"/>
  <c r="M27" i="21"/>
  <c r="K18" i="8" s="1"/>
  <c r="H26" i="21"/>
  <c r="J25" i="21"/>
  <c r="L25" i="21" s="1"/>
  <c r="H24" i="21"/>
  <c r="S23" i="21"/>
  <c r="K32" i="21" s="1"/>
  <c r="J23" i="21"/>
  <c r="L23" i="21" s="1"/>
  <c r="S22" i="21"/>
  <c r="K30" i="21" s="1"/>
  <c r="H22" i="21"/>
  <c r="S21" i="21"/>
  <c r="K28" i="21" s="1"/>
  <c r="J21" i="21"/>
  <c r="L21" i="21" s="1"/>
  <c r="S20" i="21"/>
  <c r="K26" i="21" s="1"/>
  <c r="H20" i="21"/>
  <c r="S19" i="21"/>
  <c r="K24" i="21" s="1"/>
  <c r="H19" i="21"/>
  <c r="S18" i="21"/>
  <c r="K22" i="21" s="1"/>
  <c r="M18" i="21"/>
  <c r="K9" i="8" s="1"/>
  <c r="S17" i="21"/>
  <c r="K20" i="21" s="1"/>
  <c r="J17" i="21"/>
  <c r="L17" i="21" s="1"/>
  <c r="S16" i="21"/>
  <c r="K19" i="21" s="1"/>
  <c r="L19" i="21" s="1"/>
  <c r="J16" i="21"/>
  <c r="L16" i="21" s="1"/>
  <c r="J15" i="21"/>
  <c r="L15" i="21" s="1"/>
  <c r="F11" i="21"/>
  <c r="F10" i="21"/>
  <c r="F9" i="21"/>
  <c r="F8" i="21"/>
  <c r="J7" i="21"/>
  <c r="J8" i="21" s="1"/>
  <c r="J10" i="21" s="1"/>
  <c r="J11" i="21" s="1"/>
  <c r="F7" i="21"/>
  <c r="F6" i="21"/>
  <c r="E6" i="21"/>
  <c r="D4" i="21"/>
  <c r="D2" i="21"/>
  <c r="H32" i="20"/>
  <c r="J31" i="20"/>
  <c r="L31" i="20" s="1"/>
  <c r="H30" i="20"/>
  <c r="J29" i="20"/>
  <c r="L29" i="20" s="1"/>
  <c r="H28" i="20"/>
  <c r="M27" i="20"/>
  <c r="H26" i="20"/>
  <c r="J25" i="20"/>
  <c r="L25" i="20" s="1"/>
  <c r="H24" i="20"/>
  <c r="S23" i="20"/>
  <c r="K32" i="20" s="1"/>
  <c r="J23" i="20"/>
  <c r="L23" i="20" s="1"/>
  <c r="S22" i="20"/>
  <c r="K30" i="20" s="1"/>
  <c r="H22" i="20"/>
  <c r="S21" i="20"/>
  <c r="K28" i="20" s="1"/>
  <c r="L28" i="20" s="1"/>
  <c r="J21" i="20"/>
  <c r="L21" i="20" s="1"/>
  <c r="S20" i="20"/>
  <c r="K26" i="20" s="1"/>
  <c r="H20" i="20"/>
  <c r="S19" i="20"/>
  <c r="K24" i="20" s="1"/>
  <c r="L24" i="20" s="1"/>
  <c r="H19" i="20"/>
  <c r="S18" i="20"/>
  <c r="K22" i="20" s="1"/>
  <c r="M18" i="20"/>
  <c r="J9" i="8" s="1"/>
  <c r="S17" i="20"/>
  <c r="K20" i="20" s="1"/>
  <c r="J17" i="20"/>
  <c r="L17" i="20" s="1"/>
  <c r="S16" i="20"/>
  <c r="K19" i="20" s="1"/>
  <c r="L19" i="20" s="1"/>
  <c r="J16" i="20"/>
  <c r="L16" i="20" s="1"/>
  <c r="J15" i="20"/>
  <c r="L15" i="20" s="1"/>
  <c r="F11" i="20"/>
  <c r="F10" i="20"/>
  <c r="F9" i="20"/>
  <c r="F8" i="20"/>
  <c r="J7" i="20"/>
  <c r="J8" i="20" s="1"/>
  <c r="J10" i="20" s="1"/>
  <c r="J11" i="20" s="1"/>
  <c r="F7" i="20"/>
  <c r="F6" i="20"/>
  <c r="E6" i="20"/>
  <c r="D4" i="20"/>
  <c r="D2" i="20"/>
  <c r="H32" i="19"/>
  <c r="J31" i="19"/>
  <c r="L31" i="19" s="1"/>
  <c r="H30" i="19"/>
  <c r="J29" i="19"/>
  <c r="L29" i="19" s="1"/>
  <c r="H28" i="19"/>
  <c r="M27" i="19"/>
  <c r="H26" i="19"/>
  <c r="J25" i="19"/>
  <c r="L25" i="19" s="1"/>
  <c r="H24" i="19"/>
  <c r="S23" i="19"/>
  <c r="K32" i="19" s="1"/>
  <c r="J23" i="19"/>
  <c r="L23" i="19" s="1"/>
  <c r="S22" i="19"/>
  <c r="K30" i="19" s="1"/>
  <c r="H22" i="19"/>
  <c r="S21" i="19"/>
  <c r="K28" i="19" s="1"/>
  <c r="J21" i="19"/>
  <c r="L21" i="19" s="1"/>
  <c r="S20" i="19"/>
  <c r="K26" i="19" s="1"/>
  <c r="H20" i="19"/>
  <c r="S19" i="19"/>
  <c r="K24" i="19" s="1"/>
  <c r="H19" i="19"/>
  <c r="S18" i="19"/>
  <c r="K22" i="19" s="1"/>
  <c r="M18" i="19"/>
  <c r="H9" i="8" s="1"/>
  <c r="S17" i="19"/>
  <c r="K20" i="19" s="1"/>
  <c r="J17" i="19"/>
  <c r="L17" i="19" s="1"/>
  <c r="S16" i="19"/>
  <c r="K19" i="19" s="1"/>
  <c r="J16" i="19"/>
  <c r="L16" i="19" s="1"/>
  <c r="J15" i="19"/>
  <c r="L15" i="19" s="1"/>
  <c r="F11" i="19"/>
  <c r="F10" i="19"/>
  <c r="F9" i="19"/>
  <c r="F8" i="19"/>
  <c r="J7" i="19"/>
  <c r="J8" i="19" s="1"/>
  <c r="J10" i="19" s="1"/>
  <c r="J11" i="19" s="1"/>
  <c r="F7" i="19"/>
  <c r="F6" i="19"/>
  <c r="E6" i="19"/>
  <c r="D4" i="19"/>
  <c r="D2" i="19"/>
  <c r="H32" i="18"/>
  <c r="J31" i="18"/>
  <c r="L31" i="18" s="1"/>
  <c r="H30" i="18"/>
  <c r="J29" i="18"/>
  <c r="L29" i="18" s="1"/>
  <c r="H28" i="18"/>
  <c r="M27" i="18"/>
  <c r="I18" i="8" s="1"/>
  <c r="H26" i="18"/>
  <c r="J25" i="18"/>
  <c r="L25" i="18" s="1"/>
  <c r="H24" i="18"/>
  <c r="S23" i="18"/>
  <c r="K32" i="18" s="1"/>
  <c r="J23" i="18"/>
  <c r="L23" i="18" s="1"/>
  <c r="S22" i="18"/>
  <c r="K30" i="18" s="1"/>
  <c r="H22" i="18"/>
  <c r="S21" i="18"/>
  <c r="K28" i="18" s="1"/>
  <c r="J21" i="18"/>
  <c r="L21" i="18" s="1"/>
  <c r="S20" i="18"/>
  <c r="K26" i="18" s="1"/>
  <c r="H20" i="18"/>
  <c r="S19" i="18"/>
  <c r="K24" i="18" s="1"/>
  <c r="H19" i="18"/>
  <c r="S18" i="18"/>
  <c r="K22" i="18" s="1"/>
  <c r="M18" i="18"/>
  <c r="I9" i="8" s="1"/>
  <c r="S17" i="18"/>
  <c r="K20" i="18" s="1"/>
  <c r="J17" i="18"/>
  <c r="L17" i="18" s="1"/>
  <c r="S16" i="18"/>
  <c r="K19" i="18" s="1"/>
  <c r="J16" i="18"/>
  <c r="L16" i="18" s="1"/>
  <c r="J15" i="18"/>
  <c r="L15" i="18" s="1"/>
  <c r="F11" i="18"/>
  <c r="F10" i="18"/>
  <c r="F9" i="18"/>
  <c r="F8" i="18"/>
  <c r="J7" i="18"/>
  <c r="J8" i="18" s="1"/>
  <c r="J10" i="18" s="1"/>
  <c r="J11" i="18" s="1"/>
  <c r="F7" i="18"/>
  <c r="F6" i="18"/>
  <c r="E6" i="18"/>
  <c r="D4" i="18"/>
  <c r="D2" i="18"/>
  <c r="J7" i="10"/>
  <c r="F7" i="10"/>
  <c r="F8" i="10"/>
  <c r="F9" i="10"/>
  <c r="F10" i="10"/>
  <c r="F11" i="10"/>
  <c r="F6" i="10"/>
  <c r="E6" i="10"/>
  <c r="D4" i="10"/>
  <c r="D2" i="10"/>
  <c r="S17" i="10"/>
  <c r="S18" i="10"/>
  <c r="S19" i="10"/>
  <c r="S20" i="10"/>
  <c r="S21" i="10"/>
  <c r="S22" i="10"/>
  <c r="S23" i="10"/>
  <c r="S16" i="10"/>
  <c r="J31" i="10"/>
  <c r="J29" i="10"/>
  <c r="J25" i="10"/>
  <c r="J23" i="10"/>
  <c r="J21" i="10"/>
  <c r="J15" i="10"/>
  <c r="L15" i="10" s="1"/>
  <c r="J16" i="10"/>
  <c r="J17" i="10"/>
  <c r="L24" i="19" l="1"/>
  <c r="L28" i="19"/>
  <c r="L22" i="18"/>
  <c r="L19" i="18"/>
  <c r="L22" i="19"/>
  <c r="L24" i="22"/>
  <c r="L28" i="22"/>
  <c r="L24" i="21"/>
  <c r="L28" i="21"/>
  <c r="L24" i="18"/>
  <c r="L28" i="18"/>
  <c r="L19" i="19"/>
  <c r="L26" i="23"/>
  <c r="L30" i="23"/>
  <c r="L20" i="23"/>
  <c r="L22" i="23"/>
  <c r="L32" i="23"/>
  <c r="J9" i="23"/>
  <c r="L26" i="22"/>
  <c r="L30" i="22"/>
  <c r="L20" i="22"/>
  <c r="L22" i="22"/>
  <c r="L32" i="22"/>
  <c r="J9" i="22"/>
  <c r="L26" i="21"/>
  <c r="L30" i="21"/>
  <c r="L20" i="21"/>
  <c r="L22" i="21"/>
  <c r="L32" i="21"/>
  <c r="J9" i="21"/>
  <c r="L26" i="20"/>
  <c r="L30" i="20"/>
  <c r="L20" i="20"/>
  <c r="L22" i="20"/>
  <c r="L32" i="20"/>
  <c r="J9" i="20"/>
  <c r="L26" i="19"/>
  <c r="L30" i="19"/>
  <c r="L20" i="19"/>
  <c r="L32" i="19"/>
  <c r="J9" i="19"/>
  <c r="L20" i="18"/>
  <c r="L32" i="18"/>
  <c r="L26" i="18"/>
  <c r="L30" i="18"/>
  <c r="J9" i="18"/>
  <c r="G49" i="8"/>
  <c r="H49" i="8"/>
  <c r="I49" i="8"/>
  <c r="J49" i="8"/>
  <c r="K49" i="8"/>
  <c r="L49" i="8"/>
  <c r="M49" i="8"/>
  <c r="F49" i="8"/>
  <c r="B10" i="2" l="1"/>
  <c r="N24" i="2" l="1"/>
  <c r="N23" i="2"/>
  <c r="N25" i="2" l="1"/>
  <c r="K13" i="2"/>
  <c r="K15" i="2"/>
  <c r="K16" i="2"/>
  <c r="K17" i="2"/>
  <c r="A44" i="8" l="1"/>
  <c r="B44" i="8"/>
  <c r="A45" i="8"/>
  <c r="A67" i="8" s="1"/>
  <c r="B45" i="8"/>
  <c r="A41" i="8"/>
  <c r="B41" i="8"/>
  <c r="A42" i="8"/>
  <c r="B42" i="8"/>
  <c r="A43" i="8"/>
  <c r="B43" i="8"/>
  <c r="A29" i="8"/>
  <c r="B29" i="8"/>
  <c r="A30" i="8"/>
  <c r="B30" i="8"/>
  <c r="A31" i="8"/>
  <c r="B31" i="8"/>
  <c r="A32" i="8"/>
  <c r="B32" i="8"/>
  <c r="A33" i="8"/>
  <c r="B33" i="8"/>
  <c r="A34" i="8"/>
  <c r="B34" i="8"/>
  <c r="A35" i="8"/>
  <c r="B35" i="8"/>
  <c r="A36" i="8"/>
  <c r="B36" i="8"/>
  <c r="A37" i="8"/>
  <c r="B37" i="8"/>
  <c r="A38" i="8"/>
  <c r="B38" i="8"/>
  <c r="A39" i="8"/>
  <c r="B39" i="8"/>
  <c r="A40" i="8"/>
  <c r="B40" i="8"/>
  <c r="B28" i="8"/>
  <c r="A28" i="8"/>
  <c r="G27" i="8"/>
  <c r="H27" i="8"/>
  <c r="I27" i="8"/>
  <c r="J27" i="8"/>
  <c r="K27" i="8"/>
  <c r="L27" i="8"/>
  <c r="M27" i="8"/>
  <c r="F27" i="8"/>
  <c r="B61" i="8" l="1"/>
  <c r="B82" i="8"/>
  <c r="B57" i="8"/>
  <c r="B78" i="8"/>
  <c r="B53" i="8"/>
  <c r="B74" i="8"/>
  <c r="B64" i="8"/>
  <c r="B85" i="8"/>
  <c r="A61" i="8"/>
  <c r="A82" i="8"/>
  <c r="A57" i="8"/>
  <c r="A78" i="8"/>
  <c r="A55" i="8"/>
  <c r="A76" i="8"/>
  <c r="A51" i="8"/>
  <c r="A72" i="8"/>
  <c r="A64" i="8"/>
  <c r="A85" i="8"/>
  <c r="B62" i="8"/>
  <c r="B83" i="8"/>
  <c r="B56" i="8"/>
  <c r="B77" i="8"/>
  <c r="B65" i="8"/>
  <c r="B86" i="8"/>
  <c r="B66" i="8"/>
  <c r="B87" i="8"/>
  <c r="A50" i="8"/>
  <c r="A71" i="8"/>
  <c r="B59" i="8"/>
  <c r="B80" i="8"/>
  <c r="B55" i="8"/>
  <c r="B76" i="8"/>
  <c r="B51" i="8"/>
  <c r="B72" i="8"/>
  <c r="B67" i="8"/>
  <c r="B88" i="8"/>
  <c r="A59" i="8"/>
  <c r="A80" i="8"/>
  <c r="A53" i="8"/>
  <c r="A74" i="8"/>
  <c r="B60" i="8"/>
  <c r="B81" i="8"/>
  <c r="B58" i="8"/>
  <c r="B79" i="8"/>
  <c r="B54" i="8"/>
  <c r="B75" i="8"/>
  <c r="B52" i="8"/>
  <c r="B73" i="8"/>
  <c r="B63" i="8"/>
  <c r="B84" i="8"/>
  <c r="A62" i="8"/>
  <c r="A83" i="8"/>
  <c r="A60" i="8"/>
  <c r="A81" i="8"/>
  <c r="A58" i="8"/>
  <c r="A79" i="8"/>
  <c r="A56" i="8"/>
  <c r="A77" i="8"/>
  <c r="A54" i="8"/>
  <c r="A75" i="8"/>
  <c r="A52" i="8"/>
  <c r="A73" i="8"/>
  <c r="A65" i="8"/>
  <c r="A86" i="8"/>
  <c r="A63" i="8"/>
  <c r="A84" i="8"/>
  <c r="A66" i="8"/>
  <c r="A87" i="8"/>
  <c r="B50" i="8"/>
  <c r="B71" i="8"/>
  <c r="G18" i="8"/>
  <c r="K32" i="10"/>
  <c r="H32" i="10"/>
  <c r="L32" i="10" s="1"/>
  <c r="L31" i="10"/>
  <c r="K30" i="10"/>
  <c r="H30" i="10"/>
  <c r="L29" i="10"/>
  <c r="K28" i="10"/>
  <c r="H28" i="10"/>
  <c r="M27" i="10"/>
  <c r="K26" i="10"/>
  <c r="H26" i="10"/>
  <c r="L25" i="10"/>
  <c r="K24" i="10"/>
  <c r="H24" i="10"/>
  <c r="L23" i="10"/>
  <c r="K22" i="10"/>
  <c r="H22" i="10"/>
  <c r="L21" i="10"/>
  <c r="K20" i="10"/>
  <c r="H20" i="10"/>
  <c r="K19" i="10"/>
  <c r="H19" i="10"/>
  <c r="M18" i="10"/>
  <c r="G9" i="8" s="1"/>
  <c r="L17" i="10"/>
  <c r="L16" i="10"/>
  <c r="J9" i="10"/>
  <c r="J8" i="10"/>
  <c r="J10" i="10" s="1"/>
  <c r="J11" i="10" s="1"/>
  <c r="L20" i="10" l="1"/>
  <c r="L28" i="10"/>
  <c r="L19" i="10"/>
  <c r="L30" i="10"/>
  <c r="L24" i="10"/>
  <c r="L26" i="10"/>
  <c r="L22" i="10"/>
  <c r="A77" i="9"/>
  <c r="A72" i="25" s="1"/>
  <c r="B72" i="25" s="1"/>
  <c r="A74" i="9"/>
  <c r="A69" i="25" s="1"/>
  <c r="B69" i="25" s="1"/>
  <c r="A71" i="9"/>
  <c r="A66" i="25" s="1"/>
  <c r="B66" i="25" s="1"/>
  <c r="A68" i="9"/>
  <c r="A63" i="25" s="1"/>
  <c r="B63" i="25" s="1"/>
  <c r="A65" i="9"/>
  <c r="A60" i="25" s="1"/>
  <c r="B60" i="25" s="1"/>
  <c r="A62" i="9"/>
  <c r="A57" i="25" s="1"/>
  <c r="B57" i="25" s="1"/>
  <c r="A59" i="9"/>
  <c r="A54" i="25" s="1"/>
  <c r="B54" i="25" s="1"/>
  <c r="A56" i="9"/>
  <c r="A51" i="25" s="1"/>
  <c r="B51" i="25" s="1"/>
  <c r="A53" i="9"/>
  <c r="A48" i="25" s="1"/>
  <c r="B48" i="25" s="1"/>
  <c r="A50" i="9"/>
  <c r="A45" i="25" s="1"/>
  <c r="B45" i="25" s="1"/>
  <c r="A47" i="9"/>
  <c r="A44" i="9"/>
  <c r="A39" i="25" s="1"/>
  <c r="B39" i="25" s="1"/>
  <c r="A41" i="9"/>
  <c r="A36" i="25" s="1"/>
  <c r="B36" i="25" s="1"/>
  <c r="A38" i="9"/>
  <c r="A33" i="25" s="1"/>
  <c r="B33" i="25" s="1"/>
  <c r="A35" i="9"/>
  <c r="A30" i="25" s="1"/>
  <c r="B30" i="25" s="1"/>
  <c r="A42" i="25" l="1"/>
  <c r="B42" i="25" s="1"/>
  <c r="C15" i="8"/>
  <c r="C37" i="8" s="1"/>
  <c r="C103" i="8" s="1"/>
  <c r="C22" i="8"/>
  <c r="C44" i="8" s="1"/>
  <c r="C110" i="8" s="1"/>
  <c r="C23" i="8"/>
  <c r="C45" i="8" s="1"/>
  <c r="C111" i="8" s="1"/>
  <c r="C7" i="8"/>
  <c r="C29" i="8" s="1"/>
  <c r="C95" i="8" s="1"/>
  <c r="C8" i="8"/>
  <c r="C30" i="8" s="1"/>
  <c r="C96" i="8" s="1"/>
  <c r="C9" i="8"/>
  <c r="C31" i="8" s="1"/>
  <c r="C97" i="8" s="1"/>
  <c r="C10" i="8"/>
  <c r="C32" i="8" s="1"/>
  <c r="C98" i="8" s="1"/>
  <c r="C11" i="8"/>
  <c r="C33" i="8" s="1"/>
  <c r="C99" i="8" s="1"/>
  <c r="C12" i="8"/>
  <c r="C34" i="8" s="1"/>
  <c r="C100" i="8" s="1"/>
  <c r="C13" i="8"/>
  <c r="C35" i="8" s="1"/>
  <c r="C101" i="8" s="1"/>
  <c r="C14" i="8"/>
  <c r="C36" i="8" s="1"/>
  <c r="C102" i="8" s="1"/>
  <c r="C16" i="8"/>
  <c r="C38" i="8" s="1"/>
  <c r="C104" i="8" s="1"/>
  <c r="C17" i="8"/>
  <c r="C39" i="8" s="1"/>
  <c r="C105" i="8" s="1"/>
  <c r="C18" i="8"/>
  <c r="C40" i="8" s="1"/>
  <c r="C106" i="8" s="1"/>
  <c r="C19" i="8"/>
  <c r="C41" i="8" s="1"/>
  <c r="C107" i="8" s="1"/>
  <c r="C20" i="8"/>
  <c r="C42" i="8" s="1"/>
  <c r="C108" i="8" s="1"/>
  <c r="C21" i="8"/>
  <c r="C43" i="8" s="1"/>
  <c r="C109" i="8" s="1"/>
  <c r="C28" i="8"/>
  <c r="C94" i="8" s="1"/>
  <c r="C57" i="8" l="1"/>
  <c r="C78" i="8"/>
  <c r="C66" i="8"/>
  <c r="C87" i="8"/>
  <c r="C61" i="8"/>
  <c r="C82" i="8"/>
  <c r="C60" i="8"/>
  <c r="C81" i="8"/>
  <c r="C55" i="8"/>
  <c r="C76" i="8"/>
  <c r="C51" i="8"/>
  <c r="C72" i="8"/>
  <c r="C62" i="8"/>
  <c r="C83" i="8"/>
  <c r="C53" i="8"/>
  <c r="C74" i="8"/>
  <c r="C65" i="8"/>
  <c r="C86" i="8"/>
  <c r="C56" i="8"/>
  <c r="C77" i="8"/>
  <c r="C52" i="8"/>
  <c r="C73" i="8"/>
  <c r="C64" i="8"/>
  <c r="C85" i="8"/>
  <c r="C63" i="8"/>
  <c r="C84" i="8"/>
  <c r="C58" i="8"/>
  <c r="C79" i="8"/>
  <c r="C54" i="8"/>
  <c r="C75" i="8"/>
  <c r="C67" i="8"/>
  <c r="C88" i="8"/>
  <c r="C59" i="8"/>
  <c r="C80" i="8"/>
  <c r="C50" i="8"/>
  <c r="C71" i="8"/>
  <c r="AY28" i="7"/>
  <c r="AH28" i="7"/>
  <c r="B7" i="7" l="1"/>
  <c r="AU12" i="7" s="1"/>
  <c r="C7" i="7"/>
  <c r="B8" i="7"/>
  <c r="AU13" i="7" s="1"/>
  <c r="C8" i="7"/>
  <c r="B9" i="7"/>
  <c r="AU14" i="7" s="1"/>
  <c r="C9" i="7"/>
  <c r="B10" i="7"/>
  <c r="AB12" i="7" s="1"/>
  <c r="C10" i="7"/>
  <c r="B11" i="7"/>
  <c r="AB13" i="7" s="1"/>
  <c r="C11" i="7"/>
  <c r="B12" i="7"/>
  <c r="AU15" i="7" s="1"/>
  <c r="C12" i="7"/>
  <c r="B13" i="7"/>
  <c r="AB14" i="7" s="1"/>
  <c r="C13" i="7"/>
  <c r="B14" i="7"/>
  <c r="AU16" i="7" s="1"/>
  <c r="C14" i="7"/>
  <c r="B15" i="7"/>
  <c r="AB15" i="7" s="1"/>
  <c r="C15" i="7"/>
  <c r="B16" i="7"/>
  <c r="AU17" i="7" s="1"/>
  <c r="C16" i="7"/>
  <c r="B17" i="7"/>
  <c r="AB16" i="7" s="1"/>
  <c r="C17" i="7"/>
  <c r="B18" i="7"/>
  <c r="AB17" i="7" s="1"/>
  <c r="C18" i="7"/>
  <c r="B19" i="7"/>
  <c r="AU18" i="7" s="1"/>
  <c r="C19" i="7"/>
  <c r="B20" i="7"/>
  <c r="AB18" i="7" s="1"/>
  <c r="C20" i="7"/>
  <c r="B21" i="7"/>
  <c r="AU19" i="7" s="1"/>
  <c r="C21" i="7"/>
  <c r="B22" i="7"/>
  <c r="AB19" i="7" s="1"/>
  <c r="C22" i="7"/>
  <c r="B30" i="7"/>
  <c r="D30" i="7"/>
  <c r="E30" i="7" s="1"/>
  <c r="B31" i="7"/>
  <c r="D31" i="7"/>
  <c r="E31" i="7" s="1"/>
  <c r="F31" i="7" s="1"/>
  <c r="B32" i="7"/>
  <c r="D32" i="7"/>
  <c r="E32" i="7" s="1"/>
  <c r="B33" i="7"/>
  <c r="D33" i="7"/>
  <c r="E33" i="7" s="1"/>
  <c r="F33" i="7" s="1"/>
  <c r="B34" i="7"/>
  <c r="D34" i="7"/>
  <c r="E34" i="7" s="1"/>
  <c r="B35" i="7"/>
  <c r="D35" i="7"/>
  <c r="E35" i="7" s="1"/>
  <c r="F35" i="7" s="1"/>
  <c r="B36" i="7"/>
  <c r="D36" i="7"/>
  <c r="E36" i="7" s="1"/>
  <c r="B37" i="7"/>
  <c r="D37" i="7"/>
  <c r="E37" i="7" s="1"/>
  <c r="F37" i="7" s="1"/>
  <c r="B38" i="7"/>
  <c r="D38" i="7"/>
  <c r="E38" i="7" s="1"/>
  <c r="B39" i="7"/>
  <c r="D39" i="7"/>
  <c r="E39" i="7" s="1"/>
  <c r="F39" i="7" s="1"/>
  <c r="B40" i="7"/>
  <c r="D40" i="7"/>
  <c r="E40" i="7" s="1"/>
  <c r="B41" i="7"/>
  <c r="D41" i="7"/>
  <c r="E41" i="7" s="1"/>
  <c r="F41" i="7" s="1"/>
  <c r="B42" i="7"/>
  <c r="D42" i="7"/>
  <c r="E42" i="7" s="1"/>
  <c r="B43" i="7"/>
  <c r="D43" i="7"/>
  <c r="E43" i="7" s="1"/>
  <c r="F43" i="7" s="1"/>
  <c r="B44" i="7"/>
  <c r="D44" i="7"/>
  <c r="E44" i="7" s="1"/>
  <c r="B45" i="7"/>
  <c r="D45" i="7"/>
  <c r="E45" i="7" s="1"/>
  <c r="F45" i="7" s="1"/>
  <c r="B46" i="7"/>
  <c r="D46" i="7"/>
  <c r="E46" i="7" s="1"/>
  <c r="B47" i="7"/>
  <c r="D47" i="7"/>
  <c r="E47" i="7" s="1"/>
  <c r="F47" i="7" s="1"/>
  <c r="B48" i="7"/>
  <c r="D48" i="7"/>
  <c r="E48" i="7" s="1"/>
  <c r="B49" i="7"/>
  <c r="D49" i="7"/>
  <c r="E49" i="7" s="1"/>
  <c r="F49" i="7" s="1"/>
  <c r="B50" i="7"/>
  <c r="D50" i="7"/>
  <c r="E50" i="7" s="1"/>
  <c r="B51" i="7"/>
  <c r="D51" i="7"/>
  <c r="E51" i="7" s="1"/>
  <c r="F51" i="7" s="1"/>
  <c r="B52" i="7"/>
  <c r="D52" i="7"/>
  <c r="E52" i="7" s="1"/>
  <c r="B53" i="7"/>
  <c r="D53" i="7"/>
  <c r="E53" i="7" s="1"/>
  <c r="F53" i="7" s="1"/>
  <c r="B54" i="7"/>
  <c r="D54" i="7"/>
  <c r="E54" i="7" s="1"/>
  <c r="B55" i="7"/>
  <c r="D55" i="7"/>
  <c r="E55" i="7" s="1"/>
  <c r="F55" i="7" s="1"/>
  <c r="B56" i="7"/>
  <c r="D56" i="7"/>
  <c r="E56" i="7" s="1"/>
  <c r="B57" i="7"/>
  <c r="D57" i="7"/>
  <c r="E57" i="7" s="1"/>
  <c r="F57" i="7" s="1"/>
  <c r="B58" i="7"/>
  <c r="D58" i="7"/>
  <c r="E58" i="7" s="1"/>
  <c r="B59" i="7"/>
  <c r="D59" i="7"/>
  <c r="E59" i="7" s="1"/>
  <c r="F59" i="7" s="1"/>
  <c r="B60" i="7"/>
  <c r="D60" i="7"/>
  <c r="E60" i="7" s="1"/>
  <c r="B61" i="7"/>
  <c r="D61" i="7"/>
  <c r="E61" i="7" s="1"/>
  <c r="F61" i="7" s="1"/>
  <c r="B62" i="7"/>
  <c r="D62" i="7"/>
  <c r="E62" i="7" s="1"/>
  <c r="B63" i="7"/>
  <c r="D63" i="7"/>
  <c r="E63" i="7" s="1"/>
  <c r="F63" i="7" s="1"/>
  <c r="B64" i="7"/>
  <c r="D64" i="7"/>
  <c r="E64" i="7" s="1"/>
  <c r="B65" i="7"/>
  <c r="D65" i="7"/>
  <c r="E65" i="7" s="1"/>
  <c r="F65" i="7" s="1"/>
  <c r="B66" i="7"/>
  <c r="D66" i="7"/>
  <c r="E66" i="7" s="1"/>
  <c r="B67" i="7"/>
  <c r="D67" i="7"/>
  <c r="E67" i="7" s="1"/>
  <c r="F67" i="7" s="1"/>
  <c r="B68" i="7"/>
  <c r="D68" i="7"/>
  <c r="E68" i="7" s="1"/>
  <c r="B69" i="7"/>
  <c r="D69" i="7"/>
  <c r="E69" i="7" s="1"/>
  <c r="F69" i="7" s="1"/>
  <c r="B70" i="7"/>
  <c r="D70" i="7"/>
  <c r="E70" i="7" s="1"/>
  <c r="B71" i="7"/>
  <c r="D71" i="7"/>
  <c r="E71" i="7" s="1"/>
  <c r="F71" i="7" s="1"/>
  <c r="B72" i="7"/>
  <c r="D72" i="7"/>
  <c r="E72" i="7" s="1"/>
  <c r="B73" i="7"/>
  <c r="D73" i="7"/>
  <c r="E73" i="7" s="1"/>
  <c r="F73" i="7" s="1"/>
  <c r="B74" i="7"/>
  <c r="D74" i="7"/>
  <c r="E74" i="7" s="1"/>
  <c r="B75" i="7"/>
  <c r="D75" i="7"/>
  <c r="E75" i="7" s="1"/>
  <c r="F75" i="7" s="1"/>
  <c r="B76" i="7"/>
  <c r="D76" i="7"/>
  <c r="E76" i="7" s="1"/>
  <c r="B77" i="7"/>
  <c r="D77" i="7"/>
  <c r="E77" i="7" s="1"/>
  <c r="F77" i="7" s="1"/>
  <c r="B78" i="7"/>
  <c r="D78" i="7"/>
  <c r="E78" i="7" s="1"/>
  <c r="B79" i="7"/>
  <c r="D79" i="7"/>
  <c r="E79" i="7" s="1"/>
  <c r="F79" i="7" s="1"/>
  <c r="AV18" i="7" l="1"/>
  <c r="AV14" i="7"/>
  <c r="AV12" i="7"/>
  <c r="AV17" i="7"/>
  <c r="AV16" i="7"/>
  <c r="AV15" i="7"/>
  <c r="AV13" i="7"/>
  <c r="AV19" i="7"/>
  <c r="AC12" i="7"/>
  <c r="AC16" i="7"/>
  <c r="AC15" i="7"/>
  <c r="AC14" i="7"/>
  <c r="AC13" i="7"/>
  <c r="AC19" i="7"/>
  <c r="AC18" i="7"/>
  <c r="AC17" i="7"/>
  <c r="F78" i="7"/>
  <c r="F76" i="7"/>
  <c r="F74" i="7"/>
  <c r="F72" i="7"/>
  <c r="F70" i="7"/>
  <c r="F68" i="7"/>
  <c r="F66" i="7"/>
  <c r="F64" i="7"/>
  <c r="F62" i="7"/>
  <c r="F60" i="7"/>
  <c r="F58" i="7"/>
  <c r="F56" i="7"/>
  <c r="F54" i="7"/>
  <c r="F52" i="7"/>
  <c r="F50" i="7"/>
  <c r="F48" i="7"/>
  <c r="F46" i="7"/>
  <c r="F44" i="7"/>
  <c r="F42" i="7"/>
  <c r="F40" i="7"/>
  <c r="F38" i="7"/>
  <c r="F36" i="7"/>
  <c r="F34" i="7"/>
  <c r="F32" i="7"/>
  <c r="F30" i="7"/>
  <c r="M31" i="1" l="1"/>
  <c r="M29" i="1"/>
  <c r="J9" i="4"/>
  <c r="M17" i="1"/>
  <c r="M15" i="1"/>
  <c r="K32" i="4"/>
  <c r="K30" i="4"/>
  <c r="K28" i="4"/>
  <c r="K26" i="4"/>
  <c r="K24" i="4"/>
  <c r="K22" i="4"/>
  <c r="K20" i="4"/>
  <c r="K19" i="4"/>
  <c r="L32" i="1"/>
  <c r="L30" i="1"/>
  <c r="L28" i="1"/>
  <c r="L26" i="1"/>
  <c r="L22" i="1"/>
  <c r="L20" i="1"/>
  <c r="L19" i="1"/>
  <c r="B4" i="2"/>
  <c r="M18" i="4"/>
  <c r="F9" i="8" s="1"/>
  <c r="M27" i="4"/>
  <c r="F18" i="8" s="1"/>
  <c r="H32" i="4"/>
  <c r="L31" i="4"/>
  <c r="H30" i="4"/>
  <c r="L29" i="4"/>
  <c r="H28" i="4"/>
  <c r="L28" i="4" s="1"/>
  <c r="H26" i="4"/>
  <c r="L26" i="4" s="1"/>
  <c r="L25" i="4"/>
  <c r="H24" i="4"/>
  <c r="L23" i="4"/>
  <c r="H22" i="4"/>
  <c r="L21" i="4"/>
  <c r="H20" i="4"/>
  <c r="H19" i="4"/>
  <c r="L17" i="4"/>
  <c r="L16" i="4"/>
  <c r="J8" i="4"/>
  <c r="J10" i="4" s="1"/>
  <c r="I22" i="1"/>
  <c r="I20" i="1"/>
  <c r="I19" i="1"/>
  <c r="M19" i="1" s="1"/>
  <c r="I32" i="1"/>
  <c r="I30" i="1"/>
  <c r="I28" i="1"/>
  <c r="M16" i="1"/>
  <c r="M21" i="1"/>
  <c r="M23" i="1"/>
  <c r="M25" i="1"/>
  <c r="K8" i="1"/>
  <c r="N30" i="1" s="1"/>
  <c r="K9" i="1"/>
  <c r="M20" i="1" l="1"/>
  <c r="M28" i="1"/>
  <c r="K10" i="1"/>
  <c r="K11" i="1" s="1"/>
  <c r="N26" i="1"/>
  <c r="N21" i="1"/>
  <c r="O21" i="1" s="1"/>
  <c r="N31" i="1"/>
  <c r="O31" i="1" s="1"/>
  <c r="L22" i="4"/>
  <c r="L30" i="4"/>
  <c r="D13" i="8"/>
  <c r="D14" i="8"/>
  <c r="D18" i="8"/>
  <c r="D9" i="8"/>
  <c r="D22" i="8"/>
  <c r="D10" i="8"/>
  <c r="D6" i="8"/>
  <c r="D21" i="8"/>
  <c r="D19" i="8"/>
  <c r="D11" i="8"/>
  <c r="D12" i="8"/>
  <c r="D17" i="8"/>
  <c r="D15" i="8"/>
  <c r="D16" i="8"/>
  <c r="D8" i="8"/>
  <c r="D23" i="8"/>
  <c r="D7" i="8"/>
  <c r="D20" i="8"/>
  <c r="D19" i="7"/>
  <c r="D7" i="7"/>
  <c r="D14" i="7"/>
  <c r="D8" i="7"/>
  <c r="D10" i="7"/>
  <c r="D15" i="7"/>
  <c r="D11" i="7"/>
  <c r="D20" i="7"/>
  <c r="D18" i="7"/>
  <c r="D9" i="7"/>
  <c r="D16" i="7"/>
  <c r="D12" i="7"/>
  <c r="D21" i="7"/>
  <c r="D17" i="7"/>
  <c r="D13" i="7"/>
  <c r="D22" i="7"/>
  <c r="M30" i="1"/>
  <c r="O30" i="1" s="1"/>
  <c r="M22" i="1"/>
  <c r="M26" i="1"/>
  <c r="L24" i="4"/>
  <c r="J11" i="4"/>
  <c r="L19" i="4"/>
  <c r="L20" i="4"/>
  <c r="L32" i="4"/>
  <c r="M24" i="1"/>
  <c r="M32" i="1"/>
  <c r="N16" i="1"/>
  <c r="O16" i="1" s="1"/>
  <c r="U16" i="4" s="1"/>
  <c r="N23" i="1"/>
  <c r="O23" i="1" s="1"/>
  <c r="N15" i="1"/>
  <c r="N19" i="1"/>
  <c r="O19" i="1" s="1"/>
  <c r="N24" i="1"/>
  <c r="N32" i="1"/>
  <c r="N17" i="1"/>
  <c r="O17" i="1" s="1"/>
  <c r="N29" i="1"/>
  <c r="O29" i="1" s="1"/>
  <c r="N22" i="1"/>
  <c r="N20" i="1"/>
  <c r="O20" i="1" s="1"/>
  <c r="N28" i="1"/>
  <c r="N14" i="1"/>
  <c r="N25" i="1"/>
  <c r="O25" i="1" s="1"/>
  <c r="U25" i="4" s="1"/>
  <c r="U19" i="4" l="1"/>
  <c r="U17" i="4"/>
  <c r="A39" i="9" s="1"/>
  <c r="U30" i="4"/>
  <c r="U29" i="4"/>
  <c r="A69" i="9" s="1"/>
  <c r="U20" i="4"/>
  <c r="A45" i="9" s="1"/>
  <c r="A46" i="9" s="1"/>
  <c r="U23" i="4"/>
  <c r="A54" i="9" s="1"/>
  <c r="M31" i="22"/>
  <c r="L22" i="8" s="1"/>
  <c r="L44" i="8" s="1"/>
  <c r="L66" i="8" s="1"/>
  <c r="U31" i="4"/>
  <c r="U21" i="4"/>
  <c r="A48" i="9" s="1"/>
  <c r="O28" i="1"/>
  <c r="M31" i="19"/>
  <c r="O26" i="1"/>
  <c r="M29" i="23"/>
  <c r="M20" i="8" s="1"/>
  <c r="M42" i="8" s="1"/>
  <c r="M64" i="8" s="1"/>
  <c r="M21" i="23"/>
  <c r="M31" i="23"/>
  <c r="A75" i="9"/>
  <c r="M25" i="23"/>
  <c r="M16" i="8" s="1"/>
  <c r="M38" i="8" s="1"/>
  <c r="M60" i="8" s="1"/>
  <c r="A60" i="9"/>
  <c r="M19" i="23"/>
  <c r="M10" i="8" s="1"/>
  <c r="M32" i="8" s="1"/>
  <c r="M54" i="8" s="1"/>
  <c r="A42" i="9"/>
  <c r="M17" i="23"/>
  <c r="M8" i="8" s="1"/>
  <c r="M30" i="8" s="1"/>
  <c r="M52" i="8" s="1"/>
  <c r="M31" i="10"/>
  <c r="G22" i="8" s="1"/>
  <c r="G44" i="8" s="1"/>
  <c r="G66" i="8" s="1"/>
  <c r="M31" i="18"/>
  <c r="I22" i="8" s="1"/>
  <c r="I44" i="8" s="1"/>
  <c r="I66" i="8" s="1"/>
  <c r="M31" i="21"/>
  <c r="K22" i="8" s="1"/>
  <c r="K44" i="8" s="1"/>
  <c r="K66" i="8" s="1"/>
  <c r="M16" i="23"/>
  <c r="A36" i="9"/>
  <c r="M23" i="23"/>
  <c r="M14" i="8" s="1"/>
  <c r="M36" i="8" s="1"/>
  <c r="M58" i="8" s="1"/>
  <c r="M30" i="23"/>
  <c r="A72" i="9"/>
  <c r="M31" i="4"/>
  <c r="H44" i="7" s="1"/>
  <c r="M31" i="20"/>
  <c r="J22" i="8" s="1"/>
  <c r="J44" i="8" s="1"/>
  <c r="J66" i="8" s="1"/>
  <c r="H22" i="8"/>
  <c r="H44" i="8" s="1"/>
  <c r="H66" i="8" s="1"/>
  <c r="M20" i="22"/>
  <c r="M20" i="23"/>
  <c r="M28" i="21"/>
  <c r="M28" i="22"/>
  <c r="M23" i="21"/>
  <c r="M23" i="22"/>
  <c r="M30" i="21"/>
  <c r="M30" i="22"/>
  <c r="M25" i="21"/>
  <c r="M25" i="22"/>
  <c r="M16" i="21"/>
  <c r="M16" i="22"/>
  <c r="M17" i="21"/>
  <c r="M17" i="22"/>
  <c r="M29" i="21"/>
  <c r="M29" i="22"/>
  <c r="M19" i="21"/>
  <c r="M19" i="22"/>
  <c r="M21" i="21"/>
  <c r="M21" i="22"/>
  <c r="M26" i="22"/>
  <c r="M20" i="20"/>
  <c r="M20" i="21"/>
  <c r="M25" i="19"/>
  <c r="M25" i="20"/>
  <c r="M16" i="19"/>
  <c r="M16" i="20"/>
  <c r="M29" i="19"/>
  <c r="M29" i="20"/>
  <c r="M19" i="19"/>
  <c r="M19" i="20"/>
  <c r="M21" i="19"/>
  <c r="M21" i="20"/>
  <c r="M26" i="19"/>
  <c r="M28" i="19"/>
  <c r="M28" i="20"/>
  <c r="M17" i="19"/>
  <c r="M17" i="20"/>
  <c r="M23" i="19"/>
  <c r="M23" i="20"/>
  <c r="M30" i="19"/>
  <c r="M30" i="20"/>
  <c r="M20" i="18"/>
  <c r="M20" i="19"/>
  <c r="M28" i="18"/>
  <c r="M25" i="18"/>
  <c r="M16" i="18"/>
  <c r="M17" i="18"/>
  <c r="M23" i="18"/>
  <c r="M30" i="18"/>
  <c r="M29" i="18"/>
  <c r="M19" i="18"/>
  <c r="M21" i="18"/>
  <c r="O32" i="1"/>
  <c r="O24" i="1"/>
  <c r="U24" i="4" s="1"/>
  <c r="E9" i="8"/>
  <c r="E31" i="8" s="1"/>
  <c r="E53" i="8" s="1"/>
  <c r="D31" i="8"/>
  <c r="D53" i="8" s="1"/>
  <c r="E8" i="8"/>
  <c r="E30" i="8" s="1"/>
  <c r="E52" i="8" s="1"/>
  <c r="D30" i="8"/>
  <c r="D52" i="8" s="1"/>
  <c r="E12" i="8"/>
  <c r="E34" i="8" s="1"/>
  <c r="E56" i="8" s="1"/>
  <c r="D34" i="8"/>
  <c r="D56" i="8" s="1"/>
  <c r="E6" i="8"/>
  <c r="E28" i="8" s="1"/>
  <c r="E50" i="8" s="1"/>
  <c r="D28" i="8"/>
  <c r="D50" i="8" s="1"/>
  <c r="E18" i="8"/>
  <c r="E40" i="8" s="1"/>
  <c r="E62" i="8" s="1"/>
  <c r="D40" i="8"/>
  <c r="D62" i="8" s="1"/>
  <c r="E17" i="8"/>
  <c r="E39" i="8" s="1"/>
  <c r="E61" i="8" s="1"/>
  <c r="D39" i="8"/>
  <c r="D61" i="8" s="1"/>
  <c r="E21" i="8"/>
  <c r="E43" i="8" s="1"/>
  <c r="E65" i="8" s="1"/>
  <c r="D43" i="8"/>
  <c r="D65" i="8" s="1"/>
  <c r="E20" i="8"/>
  <c r="E42" i="8" s="1"/>
  <c r="E64" i="8" s="1"/>
  <c r="D42" i="8"/>
  <c r="D64" i="8" s="1"/>
  <c r="E16" i="8"/>
  <c r="E38" i="8" s="1"/>
  <c r="E60" i="8" s="1"/>
  <c r="D38" i="8"/>
  <c r="D60" i="8" s="1"/>
  <c r="E11" i="8"/>
  <c r="E33" i="8" s="1"/>
  <c r="E55" i="8" s="1"/>
  <c r="D33" i="8"/>
  <c r="D55" i="8" s="1"/>
  <c r="E10" i="8"/>
  <c r="E32" i="8" s="1"/>
  <c r="E54" i="8" s="1"/>
  <c r="D32" i="8"/>
  <c r="D54" i="8" s="1"/>
  <c r="E14" i="8"/>
  <c r="E36" i="8" s="1"/>
  <c r="E58" i="8" s="1"/>
  <c r="D36" i="8"/>
  <c r="D58" i="8" s="1"/>
  <c r="E23" i="8"/>
  <c r="E45" i="8" s="1"/>
  <c r="E67" i="8" s="1"/>
  <c r="D45" i="8"/>
  <c r="D67" i="8" s="1"/>
  <c r="E7" i="8"/>
  <c r="E29" i="8" s="1"/>
  <c r="E51" i="8" s="1"/>
  <c r="D29" i="8"/>
  <c r="D51" i="8" s="1"/>
  <c r="E15" i="8"/>
  <c r="E37" i="8" s="1"/>
  <c r="E59" i="8" s="1"/>
  <c r="D37" i="8"/>
  <c r="D59" i="8" s="1"/>
  <c r="E19" i="8"/>
  <c r="E41" i="8" s="1"/>
  <c r="E63" i="8" s="1"/>
  <c r="D41" i="8"/>
  <c r="D63" i="8" s="1"/>
  <c r="E22" i="8"/>
  <c r="E44" i="8" s="1"/>
  <c r="E66" i="8" s="1"/>
  <c r="D44" i="8"/>
  <c r="D66" i="8" s="1"/>
  <c r="E13" i="8"/>
  <c r="E35" i="8" s="1"/>
  <c r="E57" i="8" s="1"/>
  <c r="D35" i="8"/>
  <c r="D57" i="8" s="1"/>
  <c r="M20" i="10"/>
  <c r="G45" i="7"/>
  <c r="I45" i="7" s="1"/>
  <c r="J45" i="7" s="1"/>
  <c r="E22" i="7"/>
  <c r="AE19" i="7" s="1"/>
  <c r="F22" i="7"/>
  <c r="AF19" i="7" s="1"/>
  <c r="AD19" i="7"/>
  <c r="AD18" i="7"/>
  <c r="G43" i="7"/>
  <c r="I43" i="7" s="1"/>
  <c r="J43" i="7" s="1"/>
  <c r="E20" i="7"/>
  <c r="AE18" i="7" s="1"/>
  <c r="F20" i="7"/>
  <c r="AF18" i="7" s="1"/>
  <c r="M25" i="4"/>
  <c r="M25" i="10"/>
  <c r="M16" i="4"/>
  <c r="M16" i="10"/>
  <c r="AD13" i="7"/>
  <c r="G34" i="7"/>
  <c r="I34" i="7" s="1"/>
  <c r="J34" i="7" s="1"/>
  <c r="E11" i="7"/>
  <c r="AE13" i="7" s="1"/>
  <c r="F11" i="7"/>
  <c r="AF13" i="7" s="1"/>
  <c r="M29" i="4"/>
  <c r="M29" i="10"/>
  <c r="M19" i="10"/>
  <c r="M19" i="4"/>
  <c r="M21" i="4"/>
  <c r="M21" i="10"/>
  <c r="AD16" i="7"/>
  <c r="E17" i="7"/>
  <c r="AE16" i="7" s="1"/>
  <c r="G40" i="7"/>
  <c r="I40" i="7" s="1"/>
  <c r="J40" i="7" s="1"/>
  <c r="F17" i="7"/>
  <c r="AF16" i="7" s="1"/>
  <c r="AW14" i="7"/>
  <c r="F9" i="7"/>
  <c r="AY14" i="7" s="1"/>
  <c r="G32" i="7"/>
  <c r="I32" i="7" s="1"/>
  <c r="J32" i="7" s="1"/>
  <c r="E9" i="7"/>
  <c r="AX14" i="7" s="1"/>
  <c r="E15" i="7"/>
  <c r="AE15" i="7" s="1"/>
  <c r="G38" i="7"/>
  <c r="I38" i="7" s="1"/>
  <c r="J38" i="7" s="1"/>
  <c r="F15" i="7"/>
  <c r="AF15" i="7" s="1"/>
  <c r="AD15" i="7"/>
  <c r="E7" i="7"/>
  <c r="AX12" i="7" s="1"/>
  <c r="G30" i="7"/>
  <c r="I30" i="7" s="1"/>
  <c r="J30" i="7" s="1"/>
  <c r="AW12" i="7"/>
  <c r="F7" i="7"/>
  <c r="AY12" i="7" s="1"/>
  <c r="M23" i="4"/>
  <c r="M23" i="10"/>
  <c r="E12" i="7"/>
  <c r="AX15" i="7" s="1"/>
  <c r="F12" i="7"/>
  <c r="AY15" i="7" s="1"/>
  <c r="AW15" i="7"/>
  <c r="G35" i="7"/>
  <c r="I35" i="7" s="1"/>
  <c r="J35" i="7" s="1"/>
  <c r="F8" i="7"/>
  <c r="AY13" i="7" s="1"/>
  <c r="E8" i="7"/>
  <c r="AX13" i="7" s="1"/>
  <c r="G31" i="7"/>
  <c r="I31" i="7" s="1"/>
  <c r="J31" i="7" s="1"/>
  <c r="AW13" i="7"/>
  <c r="M30" i="4"/>
  <c r="M30" i="10"/>
  <c r="AD14" i="7"/>
  <c r="E13" i="7"/>
  <c r="AE14" i="7" s="1"/>
  <c r="F13" i="7"/>
  <c r="AF14" i="7" s="1"/>
  <c r="G36" i="7"/>
  <c r="I36" i="7" s="1"/>
  <c r="J36" i="7" s="1"/>
  <c r="F16" i="7"/>
  <c r="AY17" i="7" s="1"/>
  <c r="E16" i="7"/>
  <c r="AX17" i="7" s="1"/>
  <c r="G39" i="7"/>
  <c r="I39" i="7" s="1"/>
  <c r="J39" i="7" s="1"/>
  <c r="AW17" i="7"/>
  <c r="E14" i="7"/>
  <c r="AX16" i="7" s="1"/>
  <c r="F14" i="7"/>
  <c r="AY16" i="7" s="1"/>
  <c r="AW16" i="7"/>
  <c r="G37" i="7"/>
  <c r="I37" i="7" s="1"/>
  <c r="J37" i="7" s="1"/>
  <c r="M28" i="4"/>
  <c r="M28" i="10"/>
  <c r="M17" i="4"/>
  <c r="M17" i="10"/>
  <c r="O15" i="1"/>
  <c r="AW19" i="7"/>
  <c r="E21" i="7"/>
  <c r="AX19" i="7" s="1"/>
  <c r="F21" i="7"/>
  <c r="AY19" i="7" s="1"/>
  <c r="G44" i="7"/>
  <c r="I44" i="7" s="1"/>
  <c r="J44" i="7" s="1"/>
  <c r="G41" i="7"/>
  <c r="I41" i="7" s="1"/>
  <c r="J41" i="7" s="1"/>
  <c r="F18" i="7"/>
  <c r="AF17" i="7" s="1"/>
  <c r="E18" i="7"/>
  <c r="AE17" i="7" s="1"/>
  <c r="AD17" i="7"/>
  <c r="E10" i="7"/>
  <c r="AE12" i="7" s="1"/>
  <c r="G33" i="7"/>
  <c r="I33" i="7" s="1"/>
  <c r="J33" i="7" s="1"/>
  <c r="F10" i="7"/>
  <c r="AF12" i="7" s="1"/>
  <c r="AD12" i="7"/>
  <c r="AW18" i="7"/>
  <c r="E19" i="7"/>
  <c r="AX18" i="7" s="1"/>
  <c r="F19" i="7"/>
  <c r="AY18" i="7" s="1"/>
  <c r="G42" i="7"/>
  <c r="I42" i="7" s="1"/>
  <c r="J42" i="7" s="1"/>
  <c r="O22" i="1"/>
  <c r="U22" i="4" s="1"/>
  <c r="M20" i="4"/>
  <c r="E45" i="9" l="1"/>
  <c r="G45" i="9"/>
  <c r="U28" i="4"/>
  <c r="A66" i="9" s="1"/>
  <c r="D45" i="9"/>
  <c r="M15" i="4"/>
  <c r="U15" i="4"/>
  <c r="A33" i="9" s="1"/>
  <c r="A34" i="9" s="1"/>
  <c r="C48" i="9"/>
  <c r="U32" i="4"/>
  <c r="A78" i="9" s="1"/>
  <c r="A79" i="9" s="1"/>
  <c r="F45" i="9"/>
  <c r="F46" i="9" s="1"/>
  <c r="I45" i="9"/>
  <c r="C45" i="9"/>
  <c r="B45" i="9"/>
  <c r="B46" i="9" s="1"/>
  <c r="H45" i="9"/>
  <c r="H46" i="9" s="1"/>
  <c r="M26" i="23"/>
  <c r="M17" i="8" s="1"/>
  <c r="M39" i="8" s="1"/>
  <c r="M61" i="8" s="1"/>
  <c r="U26" i="4"/>
  <c r="AH37" i="4"/>
  <c r="E78" i="8"/>
  <c r="E101" i="8"/>
  <c r="E72" i="8"/>
  <c r="J72" i="8" s="1"/>
  <c r="E95" i="8"/>
  <c r="E76" i="8"/>
  <c r="E99" i="8"/>
  <c r="E82" i="8"/>
  <c r="K82" i="8" s="1"/>
  <c r="E105" i="8"/>
  <c r="E73" i="8"/>
  <c r="E96" i="8"/>
  <c r="E87" i="8"/>
  <c r="E110" i="8"/>
  <c r="E88" i="8"/>
  <c r="L88" i="8" s="1"/>
  <c r="E111" i="8"/>
  <c r="E81" i="8"/>
  <c r="E104" i="8"/>
  <c r="E86" i="8"/>
  <c r="H86" i="8" s="1"/>
  <c r="E109" i="8"/>
  <c r="E77" i="8"/>
  <c r="E100" i="8"/>
  <c r="E84" i="8"/>
  <c r="L84" i="8" s="1"/>
  <c r="E107" i="8"/>
  <c r="E79" i="8"/>
  <c r="E102" i="8"/>
  <c r="E85" i="8"/>
  <c r="M85" i="8" s="1"/>
  <c r="E108" i="8"/>
  <c r="E71" i="8"/>
  <c r="E94" i="8"/>
  <c r="E80" i="8"/>
  <c r="M80" i="8" s="1"/>
  <c r="E103" i="8"/>
  <c r="E75" i="8"/>
  <c r="E98" i="8"/>
  <c r="E83" i="8"/>
  <c r="E106" i="8"/>
  <c r="E74" i="8"/>
  <c r="E97" i="8"/>
  <c r="E48" i="9"/>
  <c r="E49" i="9" s="1"/>
  <c r="F48" i="9"/>
  <c r="G48" i="9"/>
  <c r="G49" i="9" s="1"/>
  <c r="M26" i="10"/>
  <c r="G17" i="8" s="1"/>
  <c r="G39" i="8" s="1"/>
  <c r="G61" i="8" s="1"/>
  <c r="E36" i="9"/>
  <c r="M26" i="21"/>
  <c r="A63" i="9"/>
  <c r="H63" i="9" s="1"/>
  <c r="H64" i="9" s="1"/>
  <c r="M26" i="4"/>
  <c r="F17" i="8" s="1"/>
  <c r="F39" i="8" s="1"/>
  <c r="F61" i="8" s="1"/>
  <c r="M26" i="18"/>
  <c r="E60" i="9"/>
  <c r="E61" i="9" s="1"/>
  <c r="M26" i="20"/>
  <c r="F63" i="9" s="1"/>
  <c r="F64" i="9" s="1"/>
  <c r="F36" i="9"/>
  <c r="F37" i="9" s="1"/>
  <c r="H48" i="9"/>
  <c r="H36" i="9"/>
  <c r="H37" i="9" s="1"/>
  <c r="C36" i="9"/>
  <c r="C37" i="9" s="1"/>
  <c r="I36" i="9"/>
  <c r="I37" i="9" s="1"/>
  <c r="M28" i="23"/>
  <c r="M19" i="8" s="1"/>
  <c r="M41" i="8" s="1"/>
  <c r="M63" i="8" s="1"/>
  <c r="G42" i="9"/>
  <c r="G43" i="9" s="1"/>
  <c r="D60" i="9"/>
  <c r="G60" i="9"/>
  <c r="G61" i="9" s="1"/>
  <c r="C60" i="9"/>
  <c r="C61" i="9" s="1"/>
  <c r="F60" i="9"/>
  <c r="F61" i="9" s="1"/>
  <c r="H60" i="9"/>
  <c r="D48" i="9"/>
  <c r="D49" i="9" s="1"/>
  <c r="G21" i="7"/>
  <c r="AZ19" i="7" s="1"/>
  <c r="E69" i="9"/>
  <c r="E70" i="9" s="1"/>
  <c r="D69" i="9"/>
  <c r="C54" i="9"/>
  <c r="C55" i="9" s="1"/>
  <c r="F54" i="9"/>
  <c r="F55" i="9" s="1"/>
  <c r="H54" i="9"/>
  <c r="H55" i="9" s="1"/>
  <c r="D54" i="9"/>
  <c r="G54" i="9"/>
  <c r="G55" i="9" s="1"/>
  <c r="E54" i="9"/>
  <c r="E55" i="9" s="1"/>
  <c r="G39" i="9"/>
  <c r="G40" i="9" s="1"/>
  <c r="F69" i="9"/>
  <c r="F70" i="9" s="1"/>
  <c r="I48" i="9"/>
  <c r="I49" i="9" s="1"/>
  <c r="C72" i="9"/>
  <c r="E72" i="9"/>
  <c r="E73" i="9" s="1"/>
  <c r="F72" i="9"/>
  <c r="F73" i="9" s="1"/>
  <c r="C39" i="9"/>
  <c r="C40" i="9" s="1"/>
  <c r="C69" i="9"/>
  <c r="A40" i="25"/>
  <c r="B40" i="25" s="1"/>
  <c r="H69" i="9"/>
  <c r="H72" i="9"/>
  <c r="H73" i="9" s="1"/>
  <c r="I72" i="9"/>
  <c r="I73" i="9" s="1"/>
  <c r="D72" i="9"/>
  <c r="D73" i="9" s="1"/>
  <c r="D36" i="9"/>
  <c r="D37" i="9" s="1"/>
  <c r="G69" i="9"/>
  <c r="G70" i="9" s="1"/>
  <c r="G36" i="9"/>
  <c r="G37" i="9" s="1"/>
  <c r="G72" i="9"/>
  <c r="G73" i="9" s="1"/>
  <c r="A43" i="9"/>
  <c r="F12" i="8"/>
  <c r="F34" i="8" s="1"/>
  <c r="F56" i="8" s="1"/>
  <c r="B48" i="9"/>
  <c r="B49" i="9" s="1"/>
  <c r="F20" i="8"/>
  <c r="F42" i="8" s="1"/>
  <c r="F64" i="8" s="1"/>
  <c r="B69" i="9"/>
  <c r="B70" i="9" s="1"/>
  <c r="F7" i="8"/>
  <c r="F29" i="8" s="1"/>
  <c r="F51" i="8" s="1"/>
  <c r="B36" i="9"/>
  <c r="B37" i="9" s="1"/>
  <c r="F39" i="9"/>
  <c r="F40" i="9" s="1"/>
  <c r="F42" i="9"/>
  <c r="F43" i="9" s="1"/>
  <c r="M12" i="8"/>
  <c r="M34" i="8" s="1"/>
  <c r="M56" i="8" s="1"/>
  <c r="M7" i="8"/>
  <c r="M29" i="8" s="1"/>
  <c r="M51" i="8" s="1"/>
  <c r="F75" i="9"/>
  <c r="F76" i="9" s="1"/>
  <c r="A55" i="9"/>
  <c r="G75" i="9"/>
  <c r="G76" i="9" s="1"/>
  <c r="I39" i="9"/>
  <c r="I40" i="9" s="1"/>
  <c r="I42" i="9"/>
  <c r="I43" i="9" s="1"/>
  <c r="I75" i="9"/>
  <c r="I76" i="9" s="1"/>
  <c r="M22" i="8"/>
  <c r="M44" i="8" s="1"/>
  <c r="M66" i="8" s="1"/>
  <c r="A70" i="9"/>
  <c r="A40" i="9"/>
  <c r="A76" i="9"/>
  <c r="F8" i="8"/>
  <c r="F30" i="8" s="1"/>
  <c r="F52" i="8" s="1"/>
  <c r="B39" i="9"/>
  <c r="B40" i="9" s="1"/>
  <c r="D39" i="9"/>
  <c r="D40" i="9" s="1"/>
  <c r="D42" i="9"/>
  <c r="D43" i="9" s="1"/>
  <c r="F22" i="8"/>
  <c r="F44" i="8" s="1"/>
  <c r="F66" i="8" s="1"/>
  <c r="B75" i="9"/>
  <c r="B76" i="9" s="1"/>
  <c r="I54" i="9"/>
  <c r="I55" i="9" s="1"/>
  <c r="E75" i="9"/>
  <c r="E76" i="9" s="1"/>
  <c r="A61" i="9"/>
  <c r="H75" i="9"/>
  <c r="H76" i="9" s="1"/>
  <c r="I69" i="9"/>
  <c r="I70" i="9" s="1"/>
  <c r="F21" i="8"/>
  <c r="F43" i="8" s="1"/>
  <c r="F65" i="8" s="1"/>
  <c r="B72" i="9"/>
  <c r="B73" i="9" s="1"/>
  <c r="M22" i="23"/>
  <c r="A51" i="9"/>
  <c r="F10" i="8"/>
  <c r="F32" i="8" s="1"/>
  <c r="F54" i="8" s="1"/>
  <c r="B42" i="9"/>
  <c r="B43" i="9" s="1"/>
  <c r="F19" i="8"/>
  <c r="F41" i="8" s="1"/>
  <c r="F63" i="8" s="1"/>
  <c r="F14" i="8"/>
  <c r="F36" i="8" s="1"/>
  <c r="F58" i="8" s="1"/>
  <c r="B54" i="9"/>
  <c r="B55" i="9" s="1"/>
  <c r="C42" i="9"/>
  <c r="C43" i="9" s="1"/>
  <c r="F16" i="8"/>
  <c r="F38" i="8" s="1"/>
  <c r="F60" i="8" s="1"/>
  <c r="B60" i="9"/>
  <c r="B61" i="9" s="1"/>
  <c r="M24" i="23"/>
  <c r="A57" i="9"/>
  <c r="E42" i="9"/>
  <c r="E43" i="9" s="1"/>
  <c r="E39" i="9"/>
  <c r="E40" i="9" s="1"/>
  <c r="H42" i="9"/>
  <c r="H43" i="9" s="1"/>
  <c r="H39" i="9"/>
  <c r="H40" i="9" s="1"/>
  <c r="M21" i="8"/>
  <c r="M43" i="8" s="1"/>
  <c r="M65" i="8" s="1"/>
  <c r="A73" i="9"/>
  <c r="A37" i="9"/>
  <c r="C75" i="9"/>
  <c r="C76" i="9" s="1"/>
  <c r="I60" i="9"/>
  <c r="I61" i="9" s="1"/>
  <c r="A49" i="9"/>
  <c r="D75" i="9"/>
  <c r="D76" i="9" s="1"/>
  <c r="G78" i="8"/>
  <c r="K78" i="8"/>
  <c r="J78" i="8"/>
  <c r="F78" i="8"/>
  <c r="H78" i="8"/>
  <c r="L78" i="8"/>
  <c r="I78" i="8"/>
  <c r="M78" i="8"/>
  <c r="H84" i="8"/>
  <c r="I84" i="8"/>
  <c r="I72" i="8"/>
  <c r="K72" i="8"/>
  <c r="G72" i="8"/>
  <c r="H72" i="8"/>
  <c r="H79" i="8"/>
  <c r="L79" i="8"/>
  <c r="F79" i="8"/>
  <c r="K79" i="8"/>
  <c r="I79" i="8"/>
  <c r="M79" i="8"/>
  <c r="J79" i="8"/>
  <c r="G79" i="8"/>
  <c r="I76" i="8"/>
  <c r="M76" i="8"/>
  <c r="H76" i="8"/>
  <c r="J76" i="8"/>
  <c r="F76" i="8"/>
  <c r="G76" i="8"/>
  <c r="K76" i="8"/>
  <c r="L76" i="8"/>
  <c r="I85" i="8"/>
  <c r="F85" i="8"/>
  <c r="G82" i="8"/>
  <c r="L82" i="8"/>
  <c r="I82" i="8"/>
  <c r="F82" i="8"/>
  <c r="L71" i="8"/>
  <c r="F71" i="8"/>
  <c r="K71" i="8"/>
  <c r="H71" i="8"/>
  <c r="I71" i="8"/>
  <c r="M71" i="8"/>
  <c r="G71" i="8"/>
  <c r="J71" i="8"/>
  <c r="G73" i="8"/>
  <c r="K73" i="8"/>
  <c r="H73" i="8"/>
  <c r="L73" i="8"/>
  <c r="I73" i="8"/>
  <c r="M73" i="8"/>
  <c r="J73" i="8"/>
  <c r="F73" i="8"/>
  <c r="G87" i="8"/>
  <c r="K87" i="8"/>
  <c r="I87" i="8"/>
  <c r="J87" i="8"/>
  <c r="F87" i="8"/>
  <c r="H87" i="8"/>
  <c r="L87" i="8"/>
  <c r="M87" i="8"/>
  <c r="I80" i="8"/>
  <c r="J80" i="8"/>
  <c r="F80" i="8"/>
  <c r="H80" i="8"/>
  <c r="H88" i="8"/>
  <c r="K88" i="8"/>
  <c r="H75" i="8"/>
  <c r="L75" i="8"/>
  <c r="F75" i="8"/>
  <c r="G75" i="8"/>
  <c r="I75" i="8"/>
  <c r="M75" i="8"/>
  <c r="J75" i="8"/>
  <c r="K75" i="8"/>
  <c r="J81" i="8"/>
  <c r="M81" i="8"/>
  <c r="G81" i="8"/>
  <c r="K81" i="8"/>
  <c r="H81" i="8"/>
  <c r="L81" i="8"/>
  <c r="F81" i="8"/>
  <c r="I81" i="8"/>
  <c r="J86" i="8"/>
  <c r="G86" i="8"/>
  <c r="J77" i="8"/>
  <c r="F77" i="8"/>
  <c r="I77" i="8"/>
  <c r="G77" i="8"/>
  <c r="K77" i="8"/>
  <c r="H77" i="8"/>
  <c r="L77" i="8"/>
  <c r="M77" i="8"/>
  <c r="G10" i="8"/>
  <c r="G32" i="8" s="1"/>
  <c r="G54" i="8" s="1"/>
  <c r="I12" i="8"/>
  <c r="I34" i="8" s="1"/>
  <c r="I56" i="8" s="1"/>
  <c r="I20" i="8"/>
  <c r="I42" i="8" s="1"/>
  <c r="I64" i="8" s="1"/>
  <c r="I14" i="8"/>
  <c r="I36" i="8" s="1"/>
  <c r="I58" i="8" s="1"/>
  <c r="I7" i="8"/>
  <c r="I29" i="8" s="1"/>
  <c r="I51" i="8" s="1"/>
  <c r="E37" i="9"/>
  <c r="I19" i="8"/>
  <c r="I41" i="8" s="1"/>
  <c r="I63" i="8" s="1"/>
  <c r="J21" i="8"/>
  <c r="J43" i="8" s="1"/>
  <c r="J65" i="8" s="1"/>
  <c r="J8" i="8"/>
  <c r="J30" i="8" s="1"/>
  <c r="J52" i="8" s="1"/>
  <c r="J10" i="8"/>
  <c r="J32" i="8" s="1"/>
  <c r="J54" i="8" s="1"/>
  <c r="J7" i="8"/>
  <c r="J29" i="8" s="1"/>
  <c r="J51" i="8" s="1"/>
  <c r="G46" i="9"/>
  <c r="K11" i="8"/>
  <c r="K33" i="8" s="1"/>
  <c r="K55" i="8" s="1"/>
  <c r="H49" i="9"/>
  <c r="L12" i="8"/>
  <c r="L34" i="8" s="1"/>
  <c r="L56" i="8" s="1"/>
  <c r="H70" i="9"/>
  <c r="L20" i="8"/>
  <c r="L42" i="8" s="1"/>
  <c r="L64" i="8" s="1"/>
  <c r="L7" i="8"/>
  <c r="L29" i="8" s="1"/>
  <c r="L51" i="8" s="1"/>
  <c r="L21" i="8"/>
  <c r="L43" i="8" s="1"/>
  <c r="L65" i="8" s="1"/>
  <c r="L19" i="8"/>
  <c r="L41" i="8" s="1"/>
  <c r="L63" i="8" s="1"/>
  <c r="G8" i="8"/>
  <c r="G30" i="8" s="1"/>
  <c r="G52" i="8" s="1"/>
  <c r="G21" i="8"/>
  <c r="G43" i="8" s="1"/>
  <c r="G65" i="8" s="1"/>
  <c r="G12" i="8"/>
  <c r="G34" i="8" s="1"/>
  <c r="G56" i="8" s="1"/>
  <c r="C49" i="9"/>
  <c r="G20" i="8"/>
  <c r="G42" i="8" s="1"/>
  <c r="G64" i="8" s="1"/>
  <c r="G7" i="8"/>
  <c r="G29" i="8" s="1"/>
  <c r="G51" i="8" s="1"/>
  <c r="G11" i="8"/>
  <c r="G33" i="8" s="1"/>
  <c r="G55" i="8" s="1"/>
  <c r="C46" i="9"/>
  <c r="H21" i="8"/>
  <c r="H43" i="8" s="1"/>
  <c r="H65" i="8" s="1"/>
  <c r="H8" i="8"/>
  <c r="H30" i="8" s="1"/>
  <c r="H52" i="8" s="1"/>
  <c r="H17" i="8"/>
  <c r="H39" i="8" s="1"/>
  <c r="H61" i="8" s="1"/>
  <c r="H10" i="8"/>
  <c r="H32" i="8" s="1"/>
  <c r="H54" i="8" s="1"/>
  <c r="H7" i="8"/>
  <c r="H29" i="8" s="1"/>
  <c r="H51" i="8" s="1"/>
  <c r="J11" i="8"/>
  <c r="J33" i="8" s="1"/>
  <c r="J55" i="8" s="1"/>
  <c r="K12" i="8"/>
  <c r="K34" i="8" s="1"/>
  <c r="K56" i="8" s="1"/>
  <c r="K20" i="8"/>
  <c r="K42" i="8" s="1"/>
  <c r="K64" i="8" s="1"/>
  <c r="K7" i="8"/>
  <c r="K29" i="8" s="1"/>
  <c r="K51" i="8" s="1"/>
  <c r="K21" i="8"/>
  <c r="K43" i="8" s="1"/>
  <c r="K65" i="8" s="1"/>
  <c r="K19" i="8"/>
  <c r="K41" i="8" s="1"/>
  <c r="K63" i="8" s="1"/>
  <c r="I17" i="8"/>
  <c r="I39" i="8" s="1"/>
  <c r="I61" i="8" s="1"/>
  <c r="I10" i="8"/>
  <c r="I32" i="8" s="1"/>
  <c r="I54" i="8" s="1"/>
  <c r="I21" i="8"/>
  <c r="I43" i="8" s="1"/>
  <c r="I65" i="8" s="1"/>
  <c r="I8" i="8"/>
  <c r="I30" i="8" s="1"/>
  <c r="I52" i="8" s="1"/>
  <c r="I16" i="8"/>
  <c r="I38" i="8" s="1"/>
  <c r="I60" i="8" s="1"/>
  <c r="H11" i="8"/>
  <c r="H33" i="8" s="1"/>
  <c r="H55" i="8" s="1"/>
  <c r="D46" i="9"/>
  <c r="J14" i="8"/>
  <c r="J36" i="8" s="1"/>
  <c r="J58" i="8" s="1"/>
  <c r="J19" i="8"/>
  <c r="J41" i="8" s="1"/>
  <c r="J63" i="8" s="1"/>
  <c r="F49" i="9"/>
  <c r="J12" i="8"/>
  <c r="J34" i="8" s="1"/>
  <c r="J56" i="8" s="1"/>
  <c r="J20" i="8"/>
  <c r="J42" i="8" s="1"/>
  <c r="J64" i="8" s="1"/>
  <c r="J16" i="8"/>
  <c r="J38" i="8" s="1"/>
  <c r="J60" i="8" s="1"/>
  <c r="L17" i="8"/>
  <c r="L39" i="8" s="1"/>
  <c r="L61" i="8" s="1"/>
  <c r="L10" i="8"/>
  <c r="L32" i="8" s="1"/>
  <c r="L54" i="8" s="1"/>
  <c r="L8" i="8"/>
  <c r="L30" i="8" s="1"/>
  <c r="L52" i="8" s="1"/>
  <c r="H61" i="9"/>
  <c r="L16" i="8"/>
  <c r="L38" i="8" s="1"/>
  <c r="L60" i="8" s="1"/>
  <c r="L14" i="8"/>
  <c r="L36" i="8" s="1"/>
  <c r="L58" i="8" s="1"/>
  <c r="I46" i="9"/>
  <c r="M11" i="8"/>
  <c r="M33" i="8" s="1"/>
  <c r="M55" i="8" s="1"/>
  <c r="G19" i="8"/>
  <c r="G41" i="8" s="1"/>
  <c r="G63" i="8" s="1"/>
  <c r="G14" i="8"/>
  <c r="G36" i="8" s="1"/>
  <c r="G58" i="8" s="1"/>
  <c r="G16" i="8"/>
  <c r="G38" i="8" s="1"/>
  <c r="G60" i="8" s="1"/>
  <c r="I11" i="8"/>
  <c r="I33" i="8" s="1"/>
  <c r="I55" i="8" s="1"/>
  <c r="E46" i="9"/>
  <c r="H14" i="8"/>
  <c r="H36" i="8" s="1"/>
  <c r="H58" i="8" s="1"/>
  <c r="D55" i="9"/>
  <c r="H19" i="8"/>
  <c r="H41" i="8" s="1"/>
  <c r="H63" i="8" s="1"/>
  <c r="H12" i="8"/>
  <c r="H34" i="8" s="1"/>
  <c r="H56" i="8" s="1"/>
  <c r="H20" i="8"/>
  <c r="H42" i="8" s="1"/>
  <c r="H64" i="8" s="1"/>
  <c r="D70" i="9"/>
  <c r="H16" i="8"/>
  <c r="H38" i="8" s="1"/>
  <c r="H60" i="8" s="1"/>
  <c r="D61" i="9"/>
  <c r="K10" i="8"/>
  <c r="K32" i="8" s="1"/>
  <c r="K54" i="8" s="1"/>
  <c r="K8" i="8"/>
  <c r="K30" i="8" s="1"/>
  <c r="K52" i="8" s="1"/>
  <c r="K16" i="8"/>
  <c r="K38" i="8" s="1"/>
  <c r="K60" i="8" s="1"/>
  <c r="K14" i="8"/>
  <c r="K36" i="8" s="1"/>
  <c r="K58" i="8" s="1"/>
  <c r="L11" i="8"/>
  <c r="L33" i="8" s="1"/>
  <c r="L55" i="8" s="1"/>
  <c r="M15" i="22"/>
  <c r="M15" i="23"/>
  <c r="M32" i="22"/>
  <c r="M32" i="23"/>
  <c r="M24" i="21"/>
  <c r="M24" i="22"/>
  <c r="M22" i="21"/>
  <c r="M22" i="22"/>
  <c r="M32" i="20"/>
  <c r="M32" i="21"/>
  <c r="M15" i="20"/>
  <c r="M15" i="21"/>
  <c r="M24" i="19"/>
  <c r="M24" i="20"/>
  <c r="M22" i="19"/>
  <c r="M22" i="20"/>
  <c r="M15" i="18"/>
  <c r="M15" i="19"/>
  <c r="M32" i="18"/>
  <c r="M32" i="19"/>
  <c r="M24" i="18"/>
  <c r="M22" i="18"/>
  <c r="M24" i="10"/>
  <c r="M32" i="4"/>
  <c r="M15" i="10"/>
  <c r="M24" i="4"/>
  <c r="M32" i="10"/>
  <c r="K44" i="7"/>
  <c r="G20" i="7"/>
  <c r="AG18" i="7" s="1"/>
  <c r="H31" i="7"/>
  <c r="K31" i="7" s="1"/>
  <c r="G9" i="7"/>
  <c r="AZ14" i="7" s="1"/>
  <c r="G14" i="7"/>
  <c r="AZ16" i="7" s="1"/>
  <c r="H35" i="7"/>
  <c r="K35" i="7" s="1"/>
  <c r="H39" i="7"/>
  <c r="K39" i="7" s="1"/>
  <c r="H37" i="7"/>
  <c r="K37" i="7" s="1"/>
  <c r="G10" i="7"/>
  <c r="AG12" i="7" s="1"/>
  <c r="H33" i="7"/>
  <c r="K33" i="7" s="1"/>
  <c r="H32" i="7"/>
  <c r="K32" i="7" s="1"/>
  <c r="G16" i="7"/>
  <c r="AZ17" i="7" s="1"/>
  <c r="H43" i="7"/>
  <c r="K43" i="7" s="1"/>
  <c r="G12" i="7"/>
  <c r="AZ15" i="7" s="1"/>
  <c r="G8" i="7"/>
  <c r="AZ13" i="7" s="1"/>
  <c r="G11" i="7"/>
  <c r="AG13" i="7" s="1"/>
  <c r="F11" i="8"/>
  <c r="F33" i="8" s="1"/>
  <c r="F55" i="8" s="1"/>
  <c r="M22" i="4"/>
  <c r="M22" i="10"/>
  <c r="F6" i="8"/>
  <c r="G18" i="7"/>
  <c r="AG17" i="7" s="1"/>
  <c r="H42" i="7"/>
  <c r="K42" i="7" s="1"/>
  <c r="H41" i="7"/>
  <c r="K41" i="7" s="1"/>
  <c r="G19" i="7"/>
  <c r="AZ18" i="7" s="1"/>
  <c r="H34" i="7"/>
  <c r="K34" i="7" s="1"/>
  <c r="C66" i="9" l="1"/>
  <c r="C67" i="9" s="1"/>
  <c r="F66" i="9"/>
  <c r="F67" i="9" s="1"/>
  <c r="A67" i="9"/>
  <c r="H66" i="9"/>
  <c r="H67" i="9" s="1"/>
  <c r="D66" i="9"/>
  <c r="D67" i="9" s="1"/>
  <c r="E66" i="9"/>
  <c r="E67" i="9" s="1"/>
  <c r="G66" i="9"/>
  <c r="G67" i="9" s="1"/>
  <c r="B66" i="9"/>
  <c r="B67" i="9" s="1"/>
  <c r="I66" i="9"/>
  <c r="I67" i="9" s="1"/>
  <c r="D78" i="9"/>
  <c r="G33" i="9"/>
  <c r="I78" i="9"/>
  <c r="F33" i="9"/>
  <c r="AH38" i="4"/>
  <c r="AH39" i="4" s="1"/>
  <c r="D33" i="9"/>
  <c r="G78" i="9"/>
  <c r="G79" i="9" s="1"/>
  <c r="I33" i="9"/>
  <c r="AD38" i="4"/>
  <c r="X37" i="4"/>
  <c r="AD37" i="4"/>
  <c r="X38" i="4"/>
  <c r="X39" i="4" s="1"/>
  <c r="C78" i="9"/>
  <c r="E78" i="9"/>
  <c r="H78" i="9"/>
  <c r="H79" i="9" s="1"/>
  <c r="E33" i="9"/>
  <c r="F78" i="9"/>
  <c r="H33" i="9"/>
  <c r="J17" i="8"/>
  <c r="J39" i="8" s="1"/>
  <c r="J61" i="8" s="1"/>
  <c r="I63" i="9"/>
  <c r="I64" i="9" s="1"/>
  <c r="L103" i="8"/>
  <c r="K103" i="8"/>
  <c r="J103" i="8"/>
  <c r="I103" i="8"/>
  <c r="M103" i="8"/>
  <c r="G103" i="8"/>
  <c r="F103" i="8"/>
  <c r="H103" i="8"/>
  <c r="K105" i="8"/>
  <c r="J105" i="8"/>
  <c r="I105" i="8"/>
  <c r="I125" i="8" s="1"/>
  <c r="H105" i="8"/>
  <c r="H125" i="8" s="1"/>
  <c r="G105" i="8"/>
  <c r="G125" i="8" s="1"/>
  <c r="F105" i="8"/>
  <c r="F125" i="8" s="1"/>
  <c r="L105" i="8"/>
  <c r="L125" i="8" s="1"/>
  <c r="M105" i="8"/>
  <c r="M125" i="8" s="1"/>
  <c r="M86" i="8"/>
  <c r="G88" i="8"/>
  <c r="K84" i="8"/>
  <c r="K102" i="8"/>
  <c r="K122" i="8" s="1"/>
  <c r="I102" i="8"/>
  <c r="I122" i="8" s="1"/>
  <c r="G102" i="8"/>
  <c r="G122" i="8" s="1"/>
  <c r="F102" i="8"/>
  <c r="F122" i="8" s="1"/>
  <c r="H102" i="8"/>
  <c r="H122" i="8" s="1"/>
  <c r="M102" i="8"/>
  <c r="M122" i="8" s="1"/>
  <c r="J102" i="8"/>
  <c r="J122" i="8" s="1"/>
  <c r="L102" i="8"/>
  <c r="L122" i="8" s="1"/>
  <c r="L100" i="8"/>
  <c r="L120" i="8" s="1"/>
  <c r="J100" i="8"/>
  <c r="J120" i="8" s="1"/>
  <c r="H100" i="8"/>
  <c r="H120" i="8" s="1"/>
  <c r="M100" i="8"/>
  <c r="M120" i="8" s="1"/>
  <c r="K100" i="8"/>
  <c r="K120" i="8" s="1"/>
  <c r="I100" i="8"/>
  <c r="I120" i="8" s="1"/>
  <c r="G100" i="8"/>
  <c r="G120" i="8" s="1"/>
  <c r="F100" i="8"/>
  <c r="F120" i="8" s="1"/>
  <c r="L110" i="8"/>
  <c r="L130" i="8" s="1"/>
  <c r="K110" i="8"/>
  <c r="K130" i="8" s="1"/>
  <c r="J110" i="8"/>
  <c r="J130" i="8" s="1"/>
  <c r="I110" i="8"/>
  <c r="I130" i="8" s="1"/>
  <c r="H110" i="8"/>
  <c r="H130" i="8" s="1"/>
  <c r="G110" i="8"/>
  <c r="G130" i="8" s="1"/>
  <c r="F110" i="8"/>
  <c r="F130" i="8" s="1"/>
  <c r="M110" i="8"/>
  <c r="M130" i="8" s="1"/>
  <c r="L86" i="8"/>
  <c r="F86" i="8"/>
  <c r="F88" i="8"/>
  <c r="J88" i="8"/>
  <c r="K80" i="8"/>
  <c r="L80" i="8"/>
  <c r="J82" i="8"/>
  <c r="H82" i="8"/>
  <c r="K85" i="8"/>
  <c r="H85" i="8"/>
  <c r="F72" i="8"/>
  <c r="M72" i="8"/>
  <c r="J84" i="8"/>
  <c r="F84" i="8"/>
  <c r="L98" i="8"/>
  <c r="L118" i="8" s="1"/>
  <c r="M98" i="8"/>
  <c r="M118" i="8" s="1"/>
  <c r="K98" i="8"/>
  <c r="K118" i="8" s="1"/>
  <c r="J98" i="8"/>
  <c r="J118" i="8" s="1"/>
  <c r="F98" i="8"/>
  <c r="F118" i="8" s="1"/>
  <c r="H98" i="8"/>
  <c r="H118" i="8" s="1"/>
  <c r="G98" i="8"/>
  <c r="G118" i="8" s="1"/>
  <c r="I98" i="8"/>
  <c r="I118" i="8" s="1"/>
  <c r="H96" i="8"/>
  <c r="H116" i="8" s="1"/>
  <c r="J96" i="8"/>
  <c r="J116" i="8" s="1"/>
  <c r="L96" i="8"/>
  <c r="L116" i="8" s="1"/>
  <c r="K96" i="8"/>
  <c r="K116" i="8" s="1"/>
  <c r="M96" i="8"/>
  <c r="M116" i="8" s="1"/>
  <c r="G96" i="8"/>
  <c r="G116" i="8" s="1"/>
  <c r="I96" i="8"/>
  <c r="I116" i="8" s="1"/>
  <c r="F96" i="8"/>
  <c r="F116" i="8" s="1"/>
  <c r="M99" i="8"/>
  <c r="M119" i="8" s="1"/>
  <c r="F99" i="8"/>
  <c r="F119" i="8" s="1"/>
  <c r="L99" i="8"/>
  <c r="L119" i="8" s="1"/>
  <c r="J99" i="8"/>
  <c r="J119" i="8" s="1"/>
  <c r="H99" i="8"/>
  <c r="H119" i="8" s="1"/>
  <c r="G99" i="8"/>
  <c r="G119" i="8" s="1"/>
  <c r="I99" i="8"/>
  <c r="I119" i="8" s="1"/>
  <c r="K99" i="8"/>
  <c r="K119" i="8" s="1"/>
  <c r="K101" i="8"/>
  <c r="H101" i="8"/>
  <c r="J101" i="8"/>
  <c r="L101" i="8"/>
  <c r="I101" i="8"/>
  <c r="G101" i="8"/>
  <c r="F101" i="8"/>
  <c r="M101" i="8"/>
  <c r="F95" i="8"/>
  <c r="F115" i="8" s="1"/>
  <c r="I95" i="8"/>
  <c r="I115" i="8" s="1"/>
  <c r="H95" i="8"/>
  <c r="H115" i="8" s="1"/>
  <c r="G95" i="8"/>
  <c r="G115" i="8" s="1"/>
  <c r="M95" i="8"/>
  <c r="M115" i="8" s="1"/>
  <c r="K95" i="8"/>
  <c r="K115" i="8" s="1"/>
  <c r="J95" i="8"/>
  <c r="J115" i="8" s="1"/>
  <c r="L95" i="8"/>
  <c r="L115" i="8" s="1"/>
  <c r="I86" i="8"/>
  <c r="M88" i="8"/>
  <c r="L85" i="8"/>
  <c r="J85" i="8"/>
  <c r="G84" i="8"/>
  <c r="L94" i="8"/>
  <c r="F94" i="8"/>
  <c r="K94" i="8"/>
  <c r="H94" i="8"/>
  <c r="J94" i="8"/>
  <c r="M94" i="8"/>
  <c r="I94" i="8"/>
  <c r="G94" i="8"/>
  <c r="J104" i="8"/>
  <c r="J124" i="8" s="1"/>
  <c r="H104" i="8"/>
  <c r="H124" i="8" s="1"/>
  <c r="M104" i="8"/>
  <c r="M124" i="8" s="1"/>
  <c r="K104" i="8"/>
  <c r="K124" i="8" s="1"/>
  <c r="L104" i="8"/>
  <c r="L124" i="8" s="1"/>
  <c r="I104" i="8"/>
  <c r="I124" i="8" s="1"/>
  <c r="G104" i="8"/>
  <c r="G124" i="8" s="1"/>
  <c r="F104" i="8"/>
  <c r="F124" i="8" s="1"/>
  <c r="K86" i="8"/>
  <c r="I88" i="8"/>
  <c r="G80" i="8"/>
  <c r="M82" i="8"/>
  <c r="G85" i="8"/>
  <c r="L72" i="8"/>
  <c r="M84" i="8"/>
  <c r="I108" i="8"/>
  <c r="I128" i="8" s="1"/>
  <c r="K108" i="8"/>
  <c r="K128" i="8" s="1"/>
  <c r="L108" i="8"/>
  <c r="L128" i="8" s="1"/>
  <c r="J108" i="8"/>
  <c r="J128" i="8" s="1"/>
  <c r="H108" i="8"/>
  <c r="H128" i="8" s="1"/>
  <c r="M108" i="8"/>
  <c r="M128" i="8" s="1"/>
  <c r="G108" i="8"/>
  <c r="G128" i="8" s="1"/>
  <c r="F108" i="8"/>
  <c r="F128" i="8" s="1"/>
  <c r="L107" i="8"/>
  <c r="L127" i="8" s="1"/>
  <c r="K107" i="8"/>
  <c r="K127" i="8" s="1"/>
  <c r="J107" i="8"/>
  <c r="J127" i="8" s="1"/>
  <c r="F107" i="8"/>
  <c r="F127" i="8" s="1"/>
  <c r="H107" i="8"/>
  <c r="H127" i="8" s="1"/>
  <c r="M107" i="8"/>
  <c r="M127" i="8" s="1"/>
  <c r="G107" i="8"/>
  <c r="G127" i="8" s="1"/>
  <c r="I107" i="8"/>
  <c r="I127" i="8" s="1"/>
  <c r="J109" i="8"/>
  <c r="J129" i="8" s="1"/>
  <c r="H109" i="8"/>
  <c r="H129" i="8" s="1"/>
  <c r="M109" i="8"/>
  <c r="M129" i="8" s="1"/>
  <c r="K109" i="8"/>
  <c r="K129" i="8" s="1"/>
  <c r="I109" i="8"/>
  <c r="I129" i="8" s="1"/>
  <c r="G109" i="8"/>
  <c r="G129" i="8" s="1"/>
  <c r="L109" i="8"/>
  <c r="L129" i="8" s="1"/>
  <c r="F109" i="8"/>
  <c r="F129" i="8" s="1"/>
  <c r="M111" i="8"/>
  <c r="K111" i="8"/>
  <c r="H111" i="8"/>
  <c r="I111" i="8"/>
  <c r="G111" i="8"/>
  <c r="F111" i="8"/>
  <c r="J111" i="8"/>
  <c r="L111" i="8"/>
  <c r="A64" i="9"/>
  <c r="E63" i="9"/>
  <c r="E64" i="9" s="1"/>
  <c r="H40" i="7"/>
  <c r="K40" i="7" s="1"/>
  <c r="B63" i="9"/>
  <c r="B64" i="9" s="1"/>
  <c r="G17" i="7"/>
  <c r="AG16" i="7" s="1"/>
  <c r="G63" i="9"/>
  <c r="G64" i="9" s="1"/>
  <c r="K17" i="8"/>
  <c r="K39" i="8" s="1"/>
  <c r="K61" i="8" s="1"/>
  <c r="D63" i="9"/>
  <c r="D64" i="9" s="1"/>
  <c r="H21" i="7"/>
  <c r="BA19" i="7" s="1"/>
  <c r="C63" i="9"/>
  <c r="C64" i="9" s="1"/>
  <c r="H51" i="9"/>
  <c r="H52" i="9" s="1"/>
  <c r="F51" i="9"/>
  <c r="D51" i="9"/>
  <c r="G51" i="9"/>
  <c r="G52" i="9" s="1"/>
  <c r="B51" i="9"/>
  <c r="B52" i="9" s="1"/>
  <c r="E51" i="9"/>
  <c r="E52" i="9" s="1"/>
  <c r="C57" i="9"/>
  <c r="C58" i="9" s="1"/>
  <c r="A67" i="25"/>
  <c r="B67" i="25" s="1"/>
  <c r="F57" i="9"/>
  <c r="F58" i="9" s="1"/>
  <c r="H57" i="9"/>
  <c r="H58" i="9" s="1"/>
  <c r="A64" i="25"/>
  <c r="B64" i="25" s="1"/>
  <c r="A55" i="25"/>
  <c r="B55" i="25" s="1"/>
  <c r="A44" i="25"/>
  <c r="B44" i="25" s="1"/>
  <c r="B33" i="9"/>
  <c r="B34" i="9" s="1"/>
  <c r="I51" i="9"/>
  <c r="I52" i="9" s="1"/>
  <c r="C51" i="9"/>
  <c r="C52" i="9" s="1"/>
  <c r="E57" i="9"/>
  <c r="E58" i="9" s="1"/>
  <c r="D57" i="9"/>
  <c r="D58" i="9" s="1"/>
  <c r="G57" i="9"/>
  <c r="G58" i="9" s="1"/>
  <c r="A41" i="25"/>
  <c r="B41" i="25" s="1"/>
  <c r="C70" i="9"/>
  <c r="A65" i="25" s="1"/>
  <c r="B65" i="25" s="1"/>
  <c r="C73" i="9"/>
  <c r="A68" i="25" s="1"/>
  <c r="B68" i="25" s="1"/>
  <c r="I57" i="9"/>
  <c r="I58" i="9" s="1"/>
  <c r="A71" i="25"/>
  <c r="B71" i="25" s="1"/>
  <c r="M13" i="8"/>
  <c r="M35" i="8" s="1"/>
  <c r="M57" i="8" s="1"/>
  <c r="M15" i="8"/>
  <c r="M37" i="8" s="1"/>
  <c r="M59" i="8" s="1"/>
  <c r="A32" i="25"/>
  <c r="B32" i="25" s="1"/>
  <c r="A62" i="25"/>
  <c r="B62" i="25" s="1"/>
  <c r="A70" i="25"/>
  <c r="B70" i="25" s="1"/>
  <c r="A50" i="25"/>
  <c r="B50" i="25" s="1"/>
  <c r="F15" i="8"/>
  <c r="F37" i="8" s="1"/>
  <c r="F59" i="8" s="1"/>
  <c r="B57" i="9"/>
  <c r="B58" i="9" s="1"/>
  <c r="A31" i="25"/>
  <c r="B31" i="25" s="1"/>
  <c r="A35" i="25"/>
  <c r="B35" i="25" s="1"/>
  <c r="A49" i="25"/>
  <c r="B49" i="25" s="1"/>
  <c r="A38" i="25"/>
  <c r="B38" i="25" s="1"/>
  <c r="F23" i="8"/>
  <c r="F45" i="8" s="1"/>
  <c r="F67" i="8" s="1"/>
  <c r="B78" i="9"/>
  <c r="A43" i="25"/>
  <c r="B43" i="25" s="1"/>
  <c r="C33" i="9"/>
  <c r="A58" i="9"/>
  <c r="A52" i="9"/>
  <c r="A56" i="25"/>
  <c r="B56" i="25" s="1"/>
  <c r="A34" i="25"/>
  <c r="B34" i="25" s="1"/>
  <c r="A37" i="25"/>
  <c r="B37" i="25" s="1"/>
  <c r="I23" i="8"/>
  <c r="I45" i="8" s="1"/>
  <c r="I67" i="8" s="1"/>
  <c r="E79" i="9"/>
  <c r="F34" i="9"/>
  <c r="J6" i="8"/>
  <c r="J28" i="8" s="1"/>
  <c r="J50" i="8" s="1"/>
  <c r="L23" i="8"/>
  <c r="L45" i="8" s="1"/>
  <c r="L67" i="8" s="1"/>
  <c r="G13" i="8"/>
  <c r="G35" i="8" s="1"/>
  <c r="G57" i="8" s="1"/>
  <c r="I15" i="8"/>
  <c r="I37" i="8" s="1"/>
  <c r="I59" i="8" s="1"/>
  <c r="H6" i="8"/>
  <c r="H28" i="8" s="1"/>
  <c r="H50" i="8" s="1"/>
  <c r="D34" i="9"/>
  <c r="J15" i="8"/>
  <c r="J37" i="8" s="1"/>
  <c r="J59" i="8" s="1"/>
  <c r="K23" i="8"/>
  <c r="K45" i="8" s="1"/>
  <c r="K67" i="8" s="1"/>
  <c r="L15" i="8"/>
  <c r="L37" i="8" s="1"/>
  <c r="L59" i="8" s="1"/>
  <c r="I34" i="9"/>
  <c r="M6" i="8"/>
  <c r="M28" i="8" s="1"/>
  <c r="M50" i="8" s="1"/>
  <c r="F79" i="9"/>
  <c r="J23" i="8"/>
  <c r="J45" i="8" s="1"/>
  <c r="J67" i="8" s="1"/>
  <c r="H34" i="9"/>
  <c r="L6" i="8"/>
  <c r="L28" i="8" s="1"/>
  <c r="L50" i="8" s="1"/>
  <c r="G15" i="8"/>
  <c r="G37" i="8" s="1"/>
  <c r="G59" i="8" s="1"/>
  <c r="I6" i="8"/>
  <c r="I28" i="8" s="1"/>
  <c r="I50" i="8" s="1"/>
  <c r="E34" i="9"/>
  <c r="H15" i="8"/>
  <c r="H37" i="8" s="1"/>
  <c r="H59" i="8" s="1"/>
  <c r="K15" i="8"/>
  <c r="K37" i="8" s="1"/>
  <c r="K59" i="8" s="1"/>
  <c r="I13" i="8"/>
  <c r="I35" i="8" s="1"/>
  <c r="I57" i="8" s="1"/>
  <c r="H23" i="8"/>
  <c r="H45" i="8" s="1"/>
  <c r="H67" i="8" s="1"/>
  <c r="D79" i="9"/>
  <c r="F52" i="9"/>
  <c r="J13" i="8"/>
  <c r="J35" i="8" s="1"/>
  <c r="J57" i="8" s="1"/>
  <c r="G34" i="9"/>
  <c r="K6" i="8"/>
  <c r="K28" i="8" s="1"/>
  <c r="K50" i="8" s="1"/>
  <c r="L13" i="8"/>
  <c r="L35" i="8" s="1"/>
  <c r="L57" i="8" s="1"/>
  <c r="I79" i="9"/>
  <c r="M23" i="8"/>
  <c r="M45" i="8" s="1"/>
  <c r="M67" i="8" s="1"/>
  <c r="G23" i="8"/>
  <c r="G45" i="8" s="1"/>
  <c r="G67" i="8" s="1"/>
  <c r="C79" i="9"/>
  <c r="H13" i="8"/>
  <c r="H35" i="8" s="1"/>
  <c r="H57" i="8" s="1"/>
  <c r="K13" i="8"/>
  <c r="K35" i="8" s="1"/>
  <c r="K57" i="8" s="1"/>
  <c r="H45" i="7"/>
  <c r="K45" i="7" s="1"/>
  <c r="H38" i="7"/>
  <c r="K38" i="7" s="1"/>
  <c r="G22" i="7"/>
  <c r="AG19" i="7" s="1"/>
  <c r="G15" i="7"/>
  <c r="AG15" i="7" s="1"/>
  <c r="H20" i="7"/>
  <c r="AH18" i="7" s="1"/>
  <c r="G6" i="8"/>
  <c r="G28" i="8" s="1"/>
  <c r="G50" i="8" s="1"/>
  <c r="H12" i="7"/>
  <c r="BA15" i="7" s="1"/>
  <c r="H9" i="7"/>
  <c r="BA14" i="7" s="1"/>
  <c r="H14" i="7"/>
  <c r="BA16" i="7" s="1"/>
  <c r="H17" i="7"/>
  <c r="AH16" i="7" s="1"/>
  <c r="H19" i="7"/>
  <c r="BA18" i="7" s="1"/>
  <c r="H8" i="7"/>
  <c r="BA13" i="7" s="1"/>
  <c r="H10" i="7"/>
  <c r="AH12" i="7" s="1"/>
  <c r="H16" i="7"/>
  <c r="BA17" i="7" s="1"/>
  <c r="H18" i="7"/>
  <c r="AH17" i="7" s="1"/>
  <c r="F28" i="8"/>
  <c r="F50" i="8" s="1"/>
  <c r="H30" i="7"/>
  <c r="K30" i="7" s="1"/>
  <c r="G7" i="7"/>
  <c r="H36" i="7"/>
  <c r="K36" i="7" s="1"/>
  <c r="F13" i="8"/>
  <c r="F35" i="8" s="1"/>
  <c r="F57" i="8" s="1"/>
  <c r="G13" i="7"/>
  <c r="H11" i="7"/>
  <c r="AH13" i="7" s="1"/>
  <c r="J125" i="8" l="1"/>
  <c r="AD39" i="4"/>
  <c r="A61" i="25"/>
  <c r="B61" i="25" s="1"/>
  <c r="F114" i="8"/>
  <c r="Q102" i="8"/>
  <c r="M121" i="8"/>
  <c r="L121" i="8"/>
  <c r="H131" i="8"/>
  <c r="M123" i="8"/>
  <c r="K125" i="8"/>
  <c r="K121" i="8"/>
  <c r="I121" i="8"/>
  <c r="K114" i="8"/>
  <c r="G121" i="8"/>
  <c r="M114" i="8"/>
  <c r="J123" i="8"/>
  <c r="K131" i="8"/>
  <c r="F123" i="8"/>
  <c r="H123" i="8"/>
  <c r="L114" i="8"/>
  <c r="I123" i="8"/>
  <c r="J114" i="8"/>
  <c r="F131" i="8"/>
  <c r="G131" i="8"/>
  <c r="M131" i="8"/>
  <c r="F121" i="8"/>
  <c r="H121" i="8"/>
  <c r="J121" i="8"/>
  <c r="I114" i="8"/>
  <c r="J131" i="8"/>
  <c r="L123" i="8"/>
  <c r="L131" i="8"/>
  <c r="G114" i="8"/>
  <c r="K123" i="8"/>
  <c r="G123" i="8"/>
  <c r="H114" i="8"/>
  <c r="I131" i="8"/>
  <c r="A58" i="25"/>
  <c r="B58" i="25" s="1"/>
  <c r="A59" i="25"/>
  <c r="B59" i="25" s="1"/>
  <c r="A46" i="25"/>
  <c r="B46" i="25" s="1"/>
  <c r="D52" i="9"/>
  <c r="A47" i="25" s="1"/>
  <c r="B47" i="25" s="1"/>
  <c r="A28" i="25"/>
  <c r="B28" i="25" s="1"/>
  <c r="C34" i="9"/>
  <c r="A29" i="25" s="1"/>
  <c r="B29" i="25" s="1"/>
  <c r="K47" i="7"/>
  <c r="A52" i="25"/>
  <c r="B52" i="25" s="1"/>
  <c r="A53" i="25"/>
  <c r="B53" i="25" s="1"/>
  <c r="K48" i="7"/>
  <c r="K46" i="7"/>
  <c r="B79" i="9"/>
  <c r="A74" i="25" s="1"/>
  <c r="B74" i="25" s="1"/>
  <c r="A73" i="25"/>
  <c r="B73" i="25" s="1"/>
  <c r="H15" i="7"/>
  <c r="AH15" i="7" s="1"/>
  <c r="H22" i="7"/>
  <c r="AH19" i="7" s="1"/>
  <c r="AG14" i="7"/>
  <c r="H13" i="7"/>
  <c r="AH14" i="7" s="1"/>
  <c r="AZ12" i="7"/>
  <c r="H7" i="7"/>
  <c r="Q100" i="8" l="1"/>
  <c r="Q101" i="8"/>
  <c r="Q99" i="8"/>
  <c r="Q103" i="8"/>
  <c r="AH25" i="7"/>
  <c r="AH26" i="7" s="1"/>
  <c r="AH27" i="7" s="1"/>
  <c r="N23" i="7"/>
  <c r="N24" i="7"/>
  <c r="N25" i="7" s="1"/>
  <c r="N26" i="7" s="1"/>
  <c r="AH24" i="7"/>
  <c r="BA12" i="7"/>
  <c r="AY24" i="7" l="1"/>
  <c r="AY25" i="7"/>
  <c r="AY26" i="7" l="1"/>
  <c r="AY27"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7" authorId="0" shapeId="0" xr:uid="{DB5E551F-42AB-472E-A0C7-EB81925DC892}">
      <text>
        <r>
          <rPr>
            <b/>
            <sz val="9"/>
            <color indexed="81"/>
            <rFont val="Tahoma"/>
            <family val="2"/>
          </rPr>
          <t>Author:</t>
        </r>
        <r>
          <rPr>
            <sz val="9"/>
            <color indexed="81"/>
            <rFont val="Tahoma"/>
            <family val="2"/>
          </rPr>
          <t xml:space="preserve">
Not really sure whether the exponent should be 1 or 2</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Paul Russo</author>
  </authors>
  <commentList>
    <comment ref="I13" authorId="0" shapeId="0" xr:uid="{3F98EDE5-3388-4666-A368-3493A859EDAB}">
      <text>
        <r>
          <rPr>
            <b/>
            <sz val="9"/>
            <color indexed="81"/>
            <rFont val="Tahoma"/>
            <family val="2"/>
          </rPr>
          <t>Author:</t>
        </r>
        <r>
          <rPr>
            <sz val="9"/>
            <color indexed="81"/>
            <rFont val="Tahoma"/>
            <family val="2"/>
          </rPr>
          <t xml:space="preserve">
Or toluene, if you're using it to normlize.</t>
        </r>
      </text>
    </comment>
    <comment ref="L13" authorId="0" shapeId="0" xr:uid="{1BEE34D5-465F-453F-9729-54B60BFD4625}">
      <text>
        <r>
          <rPr>
            <b/>
            <sz val="9"/>
            <color indexed="81"/>
            <rFont val="Tahoma"/>
            <family val="2"/>
          </rPr>
          <t>Author:</t>
        </r>
        <r>
          <rPr>
            <sz val="9"/>
            <color indexed="81"/>
            <rFont val="Tahoma"/>
            <family val="2"/>
          </rPr>
          <t xml:space="preserve">
Or dark count, if you're using toluene to normalize</t>
        </r>
      </text>
    </comment>
    <comment ref="R14" authorId="0" shapeId="0" xr:uid="{13218E83-681B-48DE-9C82-5BE8EF7B8756}">
      <text>
        <r>
          <rPr>
            <b/>
            <sz val="9"/>
            <color indexed="81"/>
            <rFont val="Tahoma"/>
            <family val="2"/>
          </rPr>
          <t>Author:</t>
        </r>
        <r>
          <rPr>
            <sz val="9"/>
            <color indexed="81"/>
            <rFont val="Tahoma"/>
            <family val="2"/>
          </rPr>
          <t xml:space="preserve">
Or toluene if normalizing on toluene
</t>
        </r>
      </text>
    </comment>
    <comment ref="U14" authorId="0" shapeId="0" xr:uid="{7C3BD5DC-B71A-4FE2-9698-BE1301C6121F}">
      <text>
        <r>
          <rPr>
            <b/>
            <sz val="9"/>
            <color indexed="81"/>
            <rFont val="Tahoma"/>
            <family val="2"/>
          </rPr>
          <t>Author:</t>
        </r>
        <r>
          <rPr>
            <sz val="9"/>
            <color indexed="81"/>
            <rFont val="Tahoma"/>
            <family val="2"/>
          </rPr>
          <t xml:space="preserve">
Or dark count, if normalizing on toluene</t>
        </r>
      </text>
    </comment>
    <comment ref="U19" authorId="1" shapeId="0" xr:uid="{20506389-BC29-4DC0-9917-186B0E8E7161}">
      <text>
        <r>
          <rPr>
            <b/>
            <sz val="9"/>
            <color indexed="81"/>
            <rFont val="Tahoma"/>
            <family val="2"/>
          </rPr>
          <t>Paul Russo:</t>
        </r>
        <r>
          <rPr>
            <sz val="9"/>
            <color indexed="81"/>
            <rFont val="Tahoma"/>
            <family val="2"/>
          </rPr>
          <t xml:space="preserve">
Bad detector?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52C6A7F3-16F8-410F-BE9A-3C0CBB74FF7E}">
      <text>
        <r>
          <rPr>
            <b/>
            <sz val="9"/>
            <color indexed="81"/>
            <rFont val="Tahoma"/>
            <family val="2"/>
          </rPr>
          <t>Author:</t>
        </r>
        <r>
          <rPr>
            <sz val="9"/>
            <color indexed="81"/>
            <rFont val="Tahoma"/>
            <family val="2"/>
          </rPr>
          <t xml:space="preserve">
From DLS results; enter 1
 if not yet known</t>
        </r>
      </text>
    </comment>
    <comment ref="J9" authorId="0" shapeId="0" xr:uid="{6CB500F6-8976-4707-BEED-93FBBDA51BDC}">
      <text>
        <r>
          <rPr>
            <b/>
            <sz val="9"/>
            <color indexed="81"/>
            <rFont val="Tahoma"/>
            <family val="2"/>
          </rPr>
          <t>Author:</t>
        </r>
        <r>
          <rPr>
            <sz val="9"/>
            <color indexed="81"/>
            <rFont val="Tahoma"/>
            <family val="2"/>
          </rPr>
          <t xml:space="preserve">
Light wavelength relative to scatterer size</t>
        </r>
      </text>
    </comment>
    <comment ref="J10" authorId="0" shapeId="0" xr:uid="{4E628910-0ABE-48F1-AAF6-4CBFEDB33751}">
      <text>
        <r>
          <rPr>
            <b/>
            <sz val="9"/>
            <color indexed="81"/>
            <rFont val="Tahoma"/>
            <family val="2"/>
          </rPr>
          <t>Author:</t>
        </r>
        <r>
          <rPr>
            <sz val="9"/>
            <color indexed="81"/>
            <rFont val="Tahoma"/>
            <family val="2"/>
          </rPr>
          <t xml:space="preserve">
&lt;1 implies you are in Guinier region</t>
        </r>
      </text>
    </comment>
    <comment ref="J11" authorId="0" shapeId="0" xr:uid="{F86E7D03-0384-4E1A-825A-A5A968412FFB}">
      <text>
        <r>
          <rPr>
            <b/>
            <sz val="9"/>
            <color indexed="81"/>
            <rFont val="Tahoma"/>
            <family val="2"/>
          </rPr>
          <t>Author:</t>
        </r>
        <r>
          <rPr>
            <sz val="9"/>
            <color indexed="81"/>
            <rFont val="Tahoma"/>
            <family val="2"/>
          </rPr>
          <t xml:space="preserve">
The deviation from 1 shows how much there is to measure. Roughly speaking, anything lower than 0.9 is a good sign.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AC013FFB-C857-49AF-B268-D8B4416653E2}">
      <text>
        <r>
          <rPr>
            <b/>
            <sz val="9"/>
            <color indexed="81"/>
            <rFont val="Tahoma"/>
            <family val="2"/>
          </rPr>
          <t>Author:</t>
        </r>
        <r>
          <rPr>
            <sz val="9"/>
            <color indexed="81"/>
            <rFont val="Tahoma"/>
            <family val="2"/>
          </rPr>
          <t xml:space="preserve">
From DLS results; enter 1 if not yet known</t>
        </r>
      </text>
    </comment>
    <comment ref="J9" authorId="0" shapeId="0" xr:uid="{27E82AEF-0873-4D39-BA40-16F14D43B919}">
      <text>
        <r>
          <rPr>
            <b/>
            <sz val="9"/>
            <color indexed="81"/>
            <rFont val="Tahoma"/>
            <family val="2"/>
          </rPr>
          <t>Author:</t>
        </r>
        <r>
          <rPr>
            <sz val="9"/>
            <color indexed="81"/>
            <rFont val="Tahoma"/>
            <family val="2"/>
          </rPr>
          <t xml:space="preserve">
Light wavelength relative to scatterer size</t>
        </r>
      </text>
    </comment>
    <comment ref="J10" authorId="0" shapeId="0" xr:uid="{2BA3EE16-7420-42F2-A871-E037AC790BA0}">
      <text>
        <r>
          <rPr>
            <b/>
            <sz val="9"/>
            <color indexed="81"/>
            <rFont val="Tahoma"/>
            <family val="2"/>
          </rPr>
          <t>Author:</t>
        </r>
        <r>
          <rPr>
            <sz val="9"/>
            <color indexed="81"/>
            <rFont val="Tahoma"/>
            <family val="2"/>
          </rPr>
          <t xml:space="preserve">
&lt;1 implies you are in Guinier region</t>
        </r>
      </text>
    </comment>
    <comment ref="J11" authorId="0" shapeId="0" xr:uid="{22E11214-79D3-4007-8906-12CD83FC3741}">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FFEF3FE8-5FF2-4964-BEEB-2298EA1A9B23}">
      <text>
        <r>
          <rPr>
            <b/>
            <sz val="9"/>
            <color indexed="81"/>
            <rFont val="Tahoma"/>
            <family val="2"/>
          </rPr>
          <t>Author:</t>
        </r>
        <r>
          <rPr>
            <sz val="9"/>
            <color indexed="81"/>
            <rFont val="Tahoma"/>
            <family val="2"/>
          </rPr>
          <t xml:space="preserve">
From DLS results; enter 1 if not yet known</t>
        </r>
      </text>
    </comment>
    <comment ref="J9" authorId="0" shapeId="0" xr:uid="{DF6CC008-BA82-47BA-9495-08BFDD9ED743}">
      <text>
        <r>
          <rPr>
            <b/>
            <sz val="9"/>
            <color indexed="81"/>
            <rFont val="Tahoma"/>
            <family val="2"/>
          </rPr>
          <t>Author:</t>
        </r>
        <r>
          <rPr>
            <sz val="9"/>
            <color indexed="81"/>
            <rFont val="Tahoma"/>
            <family val="2"/>
          </rPr>
          <t xml:space="preserve">
Light wavelength relative to scatterer size</t>
        </r>
      </text>
    </comment>
    <comment ref="J10" authorId="0" shapeId="0" xr:uid="{0CF1933C-F3AF-4433-A275-E55A3A29C152}">
      <text>
        <r>
          <rPr>
            <b/>
            <sz val="9"/>
            <color indexed="81"/>
            <rFont val="Tahoma"/>
            <family val="2"/>
          </rPr>
          <t>Author:</t>
        </r>
        <r>
          <rPr>
            <sz val="9"/>
            <color indexed="81"/>
            <rFont val="Tahoma"/>
            <family val="2"/>
          </rPr>
          <t xml:space="preserve">
&lt;1 implies you are in Guinier region</t>
        </r>
      </text>
    </comment>
    <comment ref="J11" authorId="0" shapeId="0" xr:uid="{206C643E-A4E6-4D7C-ABC8-F89E875AE09F}">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CB07922B-0270-4F42-ADAD-DDEF1FB8B49D}">
      <text>
        <r>
          <rPr>
            <b/>
            <sz val="9"/>
            <color indexed="81"/>
            <rFont val="Tahoma"/>
            <family val="2"/>
          </rPr>
          <t>Author:</t>
        </r>
        <r>
          <rPr>
            <sz val="9"/>
            <color indexed="81"/>
            <rFont val="Tahoma"/>
            <family val="2"/>
          </rPr>
          <t xml:space="preserve">
From DLS results; enter 1 if not yet known</t>
        </r>
      </text>
    </comment>
    <comment ref="J9" authorId="0" shapeId="0" xr:uid="{EE713D56-173B-419B-B63A-79FCF141B425}">
      <text>
        <r>
          <rPr>
            <b/>
            <sz val="9"/>
            <color indexed="81"/>
            <rFont val="Tahoma"/>
            <family val="2"/>
          </rPr>
          <t>Author:</t>
        </r>
        <r>
          <rPr>
            <sz val="9"/>
            <color indexed="81"/>
            <rFont val="Tahoma"/>
            <family val="2"/>
          </rPr>
          <t xml:space="preserve">
Light wavelength relative to scatterer size</t>
        </r>
      </text>
    </comment>
    <comment ref="J10" authorId="0" shapeId="0" xr:uid="{42FEFFFF-0D23-41AB-9AF6-A2A2DC4ADFBE}">
      <text>
        <r>
          <rPr>
            <b/>
            <sz val="9"/>
            <color indexed="81"/>
            <rFont val="Tahoma"/>
            <family val="2"/>
          </rPr>
          <t>Author:</t>
        </r>
        <r>
          <rPr>
            <sz val="9"/>
            <color indexed="81"/>
            <rFont val="Tahoma"/>
            <family val="2"/>
          </rPr>
          <t xml:space="preserve">
&lt;1 implies you are in Guinier region</t>
        </r>
      </text>
    </comment>
    <comment ref="J11" authorId="0" shapeId="0" xr:uid="{5E017205-CED5-4964-9701-CBE1B0ADD489}">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ED61AC7F-E0D6-45A2-AB66-94887749BFE9}">
      <text>
        <r>
          <rPr>
            <b/>
            <sz val="9"/>
            <color indexed="81"/>
            <rFont val="Tahoma"/>
            <family val="2"/>
          </rPr>
          <t>Author:</t>
        </r>
        <r>
          <rPr>
            <sz val="9"/>
            <color indexed="81"/>
            <rFont val="Tahoma"/>
            <family val="2"/>
          </rPr>
          <t xml:space="preserve">
From DLS results; enter 1 if not yet known</t>
        </r>
      </text>
    </comment>
    <comment ref="J9" authorId="0" shapeId="0" xr:uid="{E249C7DA-55B2-459E-890B-600812FF0408}">
      <text>
        <r>
          <rPr>
            <b/>
            <sz val="9"/>
            <color indexed="81"/>
            <rFont val="Tahoma"/>
            <family val="2"/>
          </rPr>
          <t>Author:</t>
        </r>
        <r>
          <rPr>
            <sz val="9"/>
            <color indexed="81"/>
            <rFont val="Tahoma"/>
            <family val="2"/>
          </rPr>
          <t xml:space="preserve">
Light wavelength relative to scatterer size</t>
        </r>
      </text>
    </comment>
    <comment ref="J10" authorId="0" shapeId="0" xr:uid="{0DCE664A-67DB-4BC0-B72F-A72DC3466A66}">
      <text>
        <r>
          <rPr>
            <b/>
            <sz val="9"/>
            <color indexed="81"/>
            <rFont val="Tahoma"/>
            <family val="2"/>
          </rPr>
          <t>Author:</t>
        </r>
        <r>
          <rPr>
            <sz val="9"/>
            <color indexed="81"/>
            <rFont val="Tahoma"/>
            <family val="2"/>
          </rPr>
          <t xml:space="preserve">
&lt;1 implies you are in Guinier region</t>
        </r>
      </text>
    </comment>
    <comment ref="J11" authorId="0" shapeId="0" xr:uid="{DB7C3216-B9EE-4A5F-BA7E-68E500CA3A56}">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3D0080A2-E693-4C28-9329-82A7D8D68ABF}">
      <text>
        <r>
          <rPr>
            <b/>
            <sz val="9"/>
            <color indexed="81"/>
            <rFont val="Tahoma"/>
            <family val="2"/>
          </rPr>
          <t>Author:</t>
        </r>
        <r>
          <rPr>
            <sz val="9"/>
            <color indexed="81"/>
            <rFont val="Tahoma"/>
            <family val="2"/>
          </rPr>
          <t xml:space="preserve">
From DLS results; enter 1 if not yet known</t>
        </r>
      </text>
    </comment>
    <comment ref="J9" authorId="0" shapeId="0" xr:uid="{7F0572F0-FC64-48F9-868B-388622F2A92A}">
      <text>
        <r>
          <rPr>
            <b/>
            <sz val="9"/>
            <color indexed="81"/>
            <rFont val="Tahoma"/>
            <family val="2"/>
          </rPr>
          <t>Author:</t>
        </r>
        <r>
          <rPr>
            <sz val="9"/>
            <color indexed="81"/>
            <rFont val="Tahoma"/>
            <family val="2"/>
          </rPr>
          <t xml:space="preserve">
Light wavelength relative to scatterer size</t>
        </r>
      </text>
    </comment>
    <comment ref="J10" authorId="0" shapeId="0" xr:uid="{FF0E4438-4828-4967-A821-756A8D3428E2}">
      <text>
        <r>
          <rPr>
            <b/>
            <sz val="9"/>
            <color indexed="81"/>
            <rFont val="Tahoma"/>
            <family val="2"/>
          </rPr>
          <t>Author:</t>
        </r>
        <r>
          <rPr>
            <sz val="9"/>
            <color indexed="81"/>
            <rFont val="Tahoma"/>
            <family val="2"/>
          </rPr>
          <t xml:space="preserve">
&lt;1 implies you are in Guinier region</t>
        </r>
      </text>
    </comment>
    <comment ref="J11" authorId="0" shapeId="0" xr:uid="{DC276FAC-6F70-49EE-BD9E-03A83BDB3C21}">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359367C6-A35E-4F15-94CD-4CABA61E555C}">
      <text>
        <r>
          <rPr>
            <b/>
            <sz val="9"/>
            <color indexed="81"/>
            <rFont val="Tahoma"/>
            <family val="2"/>
          </rPr>
          <t>Author:</t>
        </r>
        <r>
          <rPr>
            <sz val="9"/>
            <color indexed="81"/>
            <rFont val="Tahoma"/>
            <family val="2"/>
          </rPr>
          <t xml:space="preserve">
From DLS results; enter 1 if not yet known</t>
        </r>
      </text>
    </comment>
    <comment ref="J9" authorId="0" shapeId="0" xr:uid="{C5ADF246-8A0A-46CD-93D8-4CEC6BF20D6A}">
      <text>
        <r>
          <rPr>
            <b/>
            <sz val="9"/>
            <color indexed="81"/>
            <rFont val="Tahoma"/>
            <family val="2"/>
          </rPr>
          <t>Author:</t>
        </r>
        <r>
          <rPr>
            <sz val="9"/>
            <color indexed="81"/>
            <rFont val="Tahoma"/>
            <family val="2"/>
          </rPr>
          <t xml:space="preserve">
Light wavelength relative to scatterer size</t>
        </r>
      </text>
    </comment>
    <comment ref="J10" authorId="0" shapeId="0" xr:uid="{07DFC81B-3B25-4440-BC27-7B32A24B71F6}">
      <text>
        <r>
          <rPr>
            <b/>
            <sz val="9"/>
            <color indexed="81"/>
            <rFont val="Tahoma"/>
            <family val="2"/>
          </rPr>
          <t>Author:</t>
        </r>
        <r>
          <rPr>
            <sz val="9"/>
            <color indexed="81"/>
            <rFont val="Tahoma"/>
            <family val="2"/>
          </rPr>
          <t xml:space="preserve">
&lt;1 implies you are in Guinier region</t>
        </r>
      </text>
    </comment>
    <comment ref="J11" authorId="0" shapeId="0" xr:uid="{024CEE7B-790D-411A-8C34-983CBA82F588}">
      <text>
        <r>
          <rPr>
            <b/>
            <sz val="9"/>
            <color indexed="81"/>
            <rFont val="Tahoma"/>
            <family val="2"/>
          </rPr>
          <t>Author:</t>
        </r>
        <r>
          <rPr>
            <sz val="9"/>
            <color indexed="81"/>
            <rFont val="Tahoma"/>
            <family val="2"/>
          </rPr>
          <t xml:space="preserve">
The deviation from 1 shows how much there is to measure.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J7" authorId="0" shapeId="0" xr:uid="{254CBB1C-DA9C-4414-B337-E7578AA2F7A2}">
      <text>
        <r>
          <rPr>
            <b/>
            <sz val="9"/>
            <color indexed="81"/>
            <rFont val="Tahoma"/>
            <family val="2"/>
          </rPr>
          <t>Author:</t>
        </r>
        <r>
          <rPr>
            <sz val="9"/>
            <color indexed="81"/>
            <rFont val="Tahoma"/>
            <family val="2"/>
          </rPr>
          <t xml:space="preserve">
From DLS results; enter 1 if not yet known</t>
        </r>
      </text>
    </comment>
    <comment ref="J9" authorId="0" shapeId="0" xr:uid="{80910316-DFC0-4098-AF5D-3CF034073EAD}">
      <text>
        <r>
          <rPr>
            <b/>
            <sz val="9"/>
            <color indexed="81"/>
            <rFont val="Tahoma"/>
            <family val="2"/>
          </rPr>
          <t>Author:</t>
        </r>
        <r>
          <rPr>
            <sz val="9"/>
            <color indexed="81"/>
            <rFont val="Tahoma"/>
            <family val="2"/>
          </rPr>
          <t xml:space="preserve">
Light wavelength relative to scatterer size</t>
        </r>
      </text>
    </comment>
    <comment ref="J10" authorId="0" shapeId="0" xr:uid="{CCFCA915-AFCB-4A3E-A51A-A08BC5C76912}">
      <text>
        <r>
          <rPr>
            <b/>
            <sz val="9"/>
            <color indexed="81"/>
            <rFont val="Tahoma"/>
            <family val="2"/>
          </rPr>
          <t>Author:</t>
        </r>
        <r>
          <rPr>
            <sz val="9"/>
            <color indexed="81"/>
            <rFont val="Tahoma"/>
            <family val="2"/>
          </rPr>
          <t xml:space="preserve">
&lt;1 implies you are in Guinier region</t>
        </r>
      </text>
    </comment>
    <comment ref="J11" authorId="0" shapeId="0" xr:uid="{070EB66F-0FD8-4078-8DD9-192FC6E647E3}">
      <text>
        <r>
          <rPr>
            <b/>
            <sz val="9"/>
            <color indexed="81"/>
            <rFont val="Tahoma"/>
            <family val="2"/>
          </rPr>
          <t>Author:</t>
        </r>
        <r>
          <rPr>
            <sz val="9"/>
            <color indexed="81"/>
            <rFont val="Tahoma"/>
            <family val="2"/>
          </rPr>
          <t xml:space="preserve">
The deviation from 1 shows how much there is to measure. </t>
        </r>
      </text>
    </comment>
  </commentList>
</comments>
</file>

<file path=xl/sharedStrings.xml><?xml version="1.0" encoding="utf-8"?>
<sst xmlns="http://schemas.openxmlformats.org/spreadsheetml/2006/main" count="1215" uniqueCount="402">
  <si>
    <t>Detector type</t>
  </si>
  <si>
    <t>Fiber/APD</t>
  </si>
  <si>
    <t>Wyatt diode</t>
  </si>
  <si>
    <t>Wyatt Reading</t>
  </si>
  <si>
    <t>ALV Reading</t>
  </si>
  <si>
    <t>Front</t>
  </si>
  <si>
    <t>beam stop (y/n)</t>
  </si>
  <si>
    <t>Wavelength/nm</t>
  </si>
  <si>
    <t>Wavelength/cm</t>
  </si>
  <si>
    <t>p1</t>
  </si>
  <si>
    <t>p2</t>
  </si>
  <si>
    <t>p3</t>
  </si>
  <si>
    <t>LC</t>
  </si>
  <si>
    <t>L</t>
  </si>
  <si>
    <t>Port #</t>
  </si>
  <si>
    <t>Monitors</t>
  </si>
  <si>
    <r>
      <t>Comment</t>
    </r>
    <r>
      <rPr>
        <b/>
        <sz val="11"/>
        <color indexed="8"/>
        <rFont val="Symbol"/>
        <family val="1"/>
        <charset val="2"/>
      </rPr>
      <t>¯</t>
    </r>
  </si>
  <si>
    <t>Normalizing standard</t>
  </si>
  <si>
    <t>nm</t>
  </si>
  <si>
    <r>
      <rPr>
        <sz val="11"/>
        <color indexed="8"/>
        <rFont val="Symbol"/>
        <family val="1"/>
        <charset val="2"/>
      </rPr>
      <t>l</t>
    </r>
    <r>
      <rPr>
        <vertAlign val="subscript"/>
        <sz val="11"/>
        <color indexed="8"/>
        <rFont val="Symbol"/>
        <family val="1"/>
        <charset val="2"/>
      </rPr>
      <t>o</t>
    </r>
    <r>
      <rPr>
        <sz val="11"/>
        <color theme="1"/>
        <rFont val="Calibri"/>
        <family val="2"/>
        <scheme val="minor"/>
      </rPr>
      <t>/(n*DLS radius)</t>
    </r>
  </si>
  <si>
    <r>
      <t>R</t>
    </r>
    <r>
      <rPr>
        <vertAlign val="subscript"/>
        <sz val="11"/>
        <color indexed="8"/>
        <rFont val="Calibri"/>
        <family val="2"/>
      </rPr>
      <t>h</t>
    </r>
  </si>
  <si>
    <r>
      <t>R</t>
    </r>
    <r>
      <rPr>
        <vertAlign val="subscript"/>
        <sz val="11"/>
        <color indexed="8"/>
        <rFont val="Calibri"/>
        <family val="2"/>
      </rPr>
      <t>g</t>
    </r>
    <r>
      <rPr>
        <sz val="11"/>
        <color theme="1"/>
        <rFont val="Calibri"/>
        <family val="2"/>
        <scheme val="minor"/>
      </rPr>
      <t xml:space="preserve"> (sphere)</t>
    </r>
  </si>
  <si>
    <t>Signal</t>
  </si>
  <si>
    <t>Date of normalization</t>
  </si>
  <si>
    <t>Russo</t>
  </si>
  <si>
    <t>ALV Reading/kHz</t>
  </si>
  <si>
    <t>MeanCR1 [kHz]   :</t>
  </si>
  <si>
    <t>MeanCR2 [kHz]   :</t>
  </si>
  <si>
    <t>MeanCR3 [kHz]   :</t>
  </si>
  <si>
    <t>MeanCR4 [kHz]   :</t>
  </si>
  <si>
    <t>MeanCR5 [kHz]   :</t>
  </si>
  <si>
    <t>MeanCR6 [kHz]   :</t>
  </si>
  <si>
    <t>MeanCR7 [kHz]   :</t>
  </si>
  <si>
    <t>MeanCR8 [kHz]   :</t>
  </si>
  <si>
    <t>here from .ASC file</t>
  </si>
  <si>
    <t>Angle/degrees</t>
  </si>
  <si>
    <t>Zero-ref</t>
  </si>
  <si>
    <t>----</t>
  </si>
  <si>
    <t>a small latex particle, bovine serum albumen, or Brij-97 microemulsion.</t>
  </si>
  <si>
    <t>The Wyatt detectors can most easily be read from the front panel display.</t>
  </si>
  <si>
    <t xml:space="preserve">The unit of measurement is probably in volts, but it does not matter. </t>
  </si>
  <si>
    <t>That will be good enough for any sensible normalization standard, but the equation</t>
  </si>
  <si>
    <t xml:space="preserve">could be replaced with a detailed expression for, say, a larger latex sphere. </t>
  </si>
  <si>
    <t xml:space="preserve">stray light. </t>
  </si>
  <si>
    <r>
      <t>q</t>
    </r>
    <r>
      <rPr>
        <vertAlign val="subscript"/>
        <sz val="11"/>
        <color indexed="8"/>
        <rFont val="Calibri"/>
        <family val="2"/>
      </rPr>
      <t>max</t>
    </r>
    <r>
      <rPr>
        <sz val="11"/>
        <color theme="1"/>
        <rFont val="Calibri"/>
        <family val="2"/>
        <scheme val="minor"/>
      </rPr>
      <t>R</t>
    </r>
    <r>
      <rPr>
        <vertAlign val="subscript"/>
        <sz val="11"/>
        <color indexed="8"/>
        <rFont val="Calibri"/>
        <family val="2"/>
      </rPr>
      <t>g</t>
    </r>
    <r>
      <rPr>
        <sz val="11"/>
        <color theme="1"/>
        <rFont val="Calibri"/>
        <family val="2"/>
        <scheme val="minor"/>
      </rPr>
      <t xml:space="preserve"> </t>
    </r>
  </si>
  <si>
    <r>
      <t>1-(q</t>
    </r>
    <r>
      <rPr>
        <vertAlign val="subscript"/>
        <sz val="11"/>
        <color indexed="8"/>
        <rFont val="Calibri"/>
        <family val="2"/>
      </rPr>
      <t>max</t>
    </r>
    <r>
      <rPr>
        <sz val="11"/>
        <color theme="1"/>
        <rFont val="Calibri"/>
        <family val="2"/>
        <scheme val="minor"/>
      </rPr>
      <t>R</t>
    </r>
    <r>
      <rPr>
        <vertAlign val="subscript"/>
        <sz val="11"/>
        <color indexed="8"/>
        <rFont val="Calibri"/>
        <family val="2"/>
      </rPr>
      <t>g</t>
    </r>
    <r>
      <rPr>
        <sz val="11"/>
        <color theme="1"/>
        <rFont val="Calibri"/>
        <family val="2"/>
        <scheme val="minor"/>
      </rPr>
      <t>)</t>
    </r>
    <r>
      <rPr>
        <vertAlign val="superscript"/>
        <sz val="11"/>
        <color indexed="8"/>
        <rFont val="Calibri"/>
        <family val="2"/>
      </rPr>
      <t>2</t>
    </r>
    <r>
      <rPr>
        <sz val="11"/>
        <color theme="1"/>
        <rFont val="Calibri"/>
        <family val="2"/>
        <scheme val="minor"/>
      </rPr>
      <t>/3</t>
    </r>
  </si>
  <si>
    <t>Normalization</t>
  </si>
  <si>
    <t>Factor</t>
  </si>
  <si>
    <t xml:space="preserve">          Normalizing solution</t>
  </si>
  <si>
    <r>
      <t>P(</t>
    </r>
    <r>
      <rPr>
        <b/>
        <sz val="11"/>
        <color indexed="8"/>
        <rFont val="Symbol"/>
        <family val="1"/>
        <charset val="2"/>
      </rPr>
      <t>q</t>
    </r>
    <r>
      <rPr>
        <b/>
        <sz val="11"/>
        <color indexed="8"/>
        <rFont val="Calibri"/>
        <family val="2"/>
      </rPr>
      <t>)</t>
    </r>
  </si>
  <si>
    <r>
      <t xml:space="preserve">Drop </t>
    </r>
    <r>
      <rPr>
        <b/>
        <u/>
        <sz val="11"/>
        <color indexed="43"/>
        <rFont val="Calibri"/>
        <family val="2"/>
      </rPr>
      <t>solvent</t>
    </r>
    <r>
      <rPr>
        <b/>
        <sz val="11"/>
        <color indexed="22"/>
        <rFont val="Calibri"/>
        <family val="2"/>
      </rPr>
      <t xml:space="preserve"> count rates </t>
    </r>
  </si>
  <si>
    <t>At this point, your normalization constants should be ready.</t>
  </si>
  <si>
    <t>Empty</t>
  </si>
  <si>
    <t>---</t>
  </si>
  <si>
    <t xml:space="preserve">Operator                           </t>
  </si>
  <si>
    <t>Parameter</t>
  </si>
  <si>
    <t>Purpose:</t>
  </si>
  <si>
    <t>Principle:</t>
  </si>
  <si>
    <t>Port</t>
  </si>
  <si>
    <t>Normalized</t>
  </si>
  <si>
    <t>intensity, I</t>
  </si>
  <si>
    <t>Intercept</t>
  </si>
  <si>
    <r>
      <t>R</t>
    </r>
    <r>
      <rPr>
        <vertAlign val="subscript"/>
        <sz val="11"/>
        <color indexed="8"/>
        <rFont val="Calibri"/>
        <family val="2"/>
      </rPr>
      <t>g,Guinier</t>
    </r>
  </si>
  <si>
    <t>R if sphere</t>
  </si>
  <si>
    <r>
      <t>R</t>
    </r>
    <r>
      <rPr>
        <vertAlign val="subscript"/>
        <sz val="11"/>
        <color indexed="8"/>
        <rFont val="Calibri"/>
        <family val="2"/>
      </rPr>
      <t>h</t>
    </r>
    <r>
      <rPr>
        <sz val="11"/>
        <color theme="1"/>
        <rFont val="Calibri"/>
        <family val="2"/>
        <scheme val="minor"/>
      </rPr>
      <t xml:space="preserve"> from DLS</t>
    </r>
  </si>
  <si>
    <t>Developed May-June 2022 by Paul Russo</t>
  </si>
  <si>
    <t>Date of measurement</t>
  </si>
  <si>
    <t>Sample</t>
  </si>
  <si>
    <t xml:space="preserve">There is no such thing as a perfect Rayleigh scatterer. Typically, we might use </t>
  </si>
  <si>
    <r>
      <t>R</t>
    </r>
    <r>
      <rPr>
        <vertAlign val="subscript"/>
        <sz val="11"/>
        <color theme="1"/>
        <rFont val="Calibri"/>
        <family val="2"/>
        <scheme val="minor"/>
      </rPr>
      <t>sphere</t>
    </r>
    <r>
      <rPr>
        <sz val="11"/>
        <color theme="1"/>
        <rFont val="Calibri"/>
        <family val="2"/>
        <scheme val="minor"/>
      </rPr>
      <t>/nm</t>
    </r>
  </si>
  <si>
    <r>
      <t>I</t>
    </r>
    <r>
      <rPr>
        <vertAlign val="subscript"/>
        <sz val="11"/>
        <color theme="1"/>
        <rFont val="Calibri"/>
        <family val="2"/>
        <scheme val="minor"/>
      </rPr>
      <t>zero</t>
    </r>
    <r>
      <rPr>
        <sz val="11"/>
        <color theme="1"/>
        <rFont val="Calibri"/>
        <family val="2"/>
        <scheme val="minor"/>
      </rPr>
      <t>/Arbitrary</t>
    </r>
  </si>
  <si>
    <t>Sq.Err.</t>
  </si>
  <si>
    <t>Izero*Icalc,pt by pt</t>
  </si>
  <si>
    <t>x=qR</t>
  </si>
  <si>
    <r>
      <t>q/nm</t>
    </r>
    <r>
      <rPr>
        <vertAlign val="superscript"/>
        <sz val="11"/>
        <color theme="1"/>
        <rFont val="Calibri"/>
        <family val="2"/>
        <scheme val="minor"/>
      </rPr>
      <t>-1</t>
    </r>
  </si>
  <si>
    <t>Icalc</t>
  </si>
  <si>
    <t>PthetaCalc</t>
  </si>
  <si>
    <r>
      <t>q/cm</t>
    </r>
    <r>
      <rPr>
        <vertAlign val="superscript"/>
        <sz val="11"/>
        <color theme="1"/>
        <rFont val="Calibri"/>
        <family val="2"/>
        <scheme val="minor"/>
      </rPr>
      <t>-1</t>
    </r>
  </si>
  <si>
    <t>CalcInten</t>
  </si>
  <si>
    <t>Measured</t>
  </si>
  <si>
    <t>SMALS Det #</t>
  </si>
  <si>
    <t xml:space="preserve">The APD detectors measure photocounts in kHz, a totally different thing. </t>
  </si>
  <si>
    <t>PS Cmax 100</t>
  </si>
  <si>
    <t>Wyatt Diode</t>
  </si>
  <si>
    <t>ALV APD</t>
  </si>
  <si>
    <t>Color key</t>
  </si>
  <si>
    <t>Row #</t>
  </si>
  <si>
    <t>Made separate Guinier plots for ALV and Wyatt detectors at ORNL</t>
  </si>
  <si>
    <t>Changed log(I) to ln(I)</t>
  </si>
  <si>
    <r>
      <t>q/cm</t>
    </r>
    <r>
      <rPr>
        <b/>
        <vertAlign val="superscript"/>
        <sz val="11"/>
        <color indexed="8"/>
        <rFont val="Calibri"/>
        <family val="2"/>
      </rPr>
      <t>-1</t>
    </r>
  </si>
  <si>
    <r>
      <t>q</t>
    </r>
    <r>
      <rPr>
        <b/>
        <vertAlign val="superscript"/>
        <sz val="11"/>
        <color indexed="8"/>
        <rFont val="Calibri"/>
        <family val="2"/>
      </rPr>
      <t>2</t>
    </r>
    <r>
      <rPr>
        <b/>
        <sz val="11"/>
        <color theme="1"/>
        <rFont val="Calibri"/>
        <family val="2"/>
        <scheme val="minor"/>
      </rPr>
      <t>/10</t>
    </r>
    <r>
      <rPr>
        <b/>
        <vertAlign val="superscript"/>
        <sz val="11"/>
        <color indexed="8"/>
        <rFont val="Calibri"/>
        <family val="2"/>
      </rPr>
      <t>10</t>
    </r>
    <r>
      <rPr>
        <b/>
        <sz val="11"/>
        <color theme="1"/>
        <rFont val="Calibri"/>
        <family val="2"/>
        <scheme val="minor"/>
      </rPr>
      <t>cm</t>
    </r>
    <r>
      <rPr>
        <b/>
        <vertAlign val="superscript"/>
        <sz val="11"/>
        <color indexed="8"/>
        <rFont val="Calibri"/>
        <family val="2"/>
      </rPr>
      <t>-2</t>
    </r>
  </si>
  <si>
    <r>
      <t>q</t>
    </r>
    <r>
      <rPr>
        <b/>
        <vertAlign val="superscript"/>
        <sz val="11"/>
        <color indexed="8"/>
        <rFont val="Calibri"/>
        <family val="2"/>
      </rPr>
      <t>2</t>
    </r>
    <r>
      <rPr>
        <b/>
        <sz val="11"/>
        <color theme="1"/>
        <rFont val="Calibri"/>
        <family val="2"/>
        <scheme val="minor"/>
      </rPr>
      <t>/10</t>
    </r>
    <r>
      <rPr>
        <b/>
        <vertAlign val="superscript"/>
        <sz val="11"/>
        <color indexed="8"/>
        <rFont val="Calibri"/>
        <family val="2"/>
      </rPr>
      <t>-4</t>
    </r>
    <r>
      <rPr>
        <b/>
        <sz val="11"/>
        <color theme="1"/>
        <rFont val="Calibri"/>
        <family val="2"/>
        <scheme val="minor"/>
      </rPr>
      <t>nm</t>
    </r>
    <r>
      <rPr>
        <b/>
        <vertAlign val="superscript"/>
        <sz val="11"/>
        <color indexed="8"/>
        <rFont val="Calibri"/>
        <family val="2"/>
      </rPr>
      <t>-2</t>
    </r>
  </si>
  <si>
    <r>
      <t xml:space="preserve"> </t>
    </r>
    <r>
      <rPr>
        <b/>
        <sz val="11"/>
        <color indexed="8"/>
        <rFont val="Script MT Bold"/>
        <family val="4"/>
      </rPr>
      <t xml:space="preserve"> ln</t>
    </r>
    <r>
      <rPr>
        <b/>
        <sz val="11"/>
        <color indexed="8"/>
        <rFont val="script"/>
      </rPr>
      <t xml:space="preserve"> </t>
    </r>
    <r>
      <rPr>
        <b/>
        <sz val="11"/>
        <color theme="1"/>
        <rFont val="Calibri"/>
        <family val="2"/>
        <scheme val="minor"/>
      </rPr>
      <t>(I)</t>
    </r>
  </si>
  <si>
    <t>arb.</t>
  </si>
  <si>
    <r>
      <t>nm</t>
    </r>
    <r>
      <rPr>
        <vertAlign val="superscript"/>
        <sz val="11"/>
        <color theme="1"/>
        <rFont val="Calibri"/>
        <family val="2"/>
        <scheme val="minor"/>
      </rPr>
      <t>2</t>
    </r>
  </si>
  <si>
    <r>
      <rPr>
        <b/>
        <sz val="11"/>
        <color theme="1"/>
        <rFont val="Symbol"/>
        <family val="1"/>
        <charset val="2"/>
      </rPr>
      <t>q</t>
    </r>
    <r>
      <rPr>
        <b/>
        <sz val="11"/>
        <color theme="1"/>
        <rFont val="Calibri"/>
        <family val="2"/>
        <scheme val="minor"/>
      </rPr>
      <t>/degrees</t>
    </r>
  </si>
  <si>
    <t>ALV APD Results</t>
  </si>
  <si>
    <t>Wyatt diode results</t>
  </si>
  <si>
    <t>All Detectors Results</t>
  </si>
  <si>
    <t>Normalized Intensity, I</t>
  </si>
  <si>
    <t xml:space="preserve">                                    Normalizing solvent background</t>
  </si>
  <si>
    <t xml:space="preserve">          Solution reading</t>
  </si>
  <si>
    <t xml:space="preserve">         Solvent background</t>
  </si>
  <si>
    <t>Wyatt reading</t>
  </si>
  <si>
    <t>ALV reading/kHz</t>
  </si>
  <si>
    <t>ALV reading</t>
  </si>
  <si>
    <t>Sep5_2023</t>
  </si>
  <si>
    <t>Modified Guinier page; cosmetic changes</t>
  </si>
  <si>
    <t>Refractive index of solutions &amp; solvent</t>
  </si>
  <si>
    <t>Refactive index of Rayleigh standard</t>
  </si>
  <si>
    <t>Volume expansion exponent, m</t>
  </si>
  <si>
    <t>Toluene</t>
  </si>
  <si>
    <t>Solvent for solutions</t>
  </si>
  <si>
    <t>Rayleigh factor of toluene</t>
  </si>
  <si>
    <t>dn/dc in mL/gram</t>
  </si>
  <si>
    <t>Caveat:</t>
  </si>
  <si>
    <t xml:space="preserve">Similar to a GUI program, it is incumbent on the user to remember to enter data, update labels, etc. </t>
  </si>
  <si>
    <r>
      <t>Drop</t>
    </r>
    <r>
      <rPr>
        <b/>
        <sz val="11"/>
        <color rgb="FFFFFF99"/>
        <rFont val="Calibri"/>
        <family val="2"/>
      </rPr>
      <t xml:space="preserve"> </t>
    </r>
    <r>
      <rPr>
        <b/>
        <u/>
        <sz val="11"/>
        <color rgb="FFFFFF99"/>
        <rFont val="Calibri"/>
        <family val="2"/>
      </rPr>
      <t>solution</t>
    </r>
    <r>
      <rPr>
        <b/>
        <sz val="11"/>
        <color indexed="22"/>
        <rFont val="Calibri"/>
        <family val="2"/>
      </rPr>
      <t xml:space="preserve"> count rates </t>
    </r>
  </si>
  <si>
    <t>Limitation:</t>
  </si>
  <si>
    <t>Rayleigh factors:</t>
  </si>
  <si>
    <t xml:space="preserve">Data from NormaSize can be extracted for Zimm plot creation as follows. </t>
  </si>
  <si>
    <t>it's still a great way to present a snapshot of a polymer's molecular weight, size and virial coefficient.</t>
  </si>
  <si>
    <t xml:space="preserve">3. Data from the Excelitas APDs can be copy/pasted from the .ASC file into the marked boxes --&gt;   </t>
  </si>
  <si>
    <t xml:space="preserve">4. Data from the Wyatt pin photodiodes can be entered manually. At low angles, </t>
  </si>
  <si>
    <t xml:space="preserve">    That will automatically populate the appropriate cells for those detectors</t>
  </si>
  <si>
    <t xml:space="preserve">     It is also possible to use Wyatt Astra software to record these values. Refer to the Astra manual. </t>
  </si>
  <si>
    <t>5.  The angle/intensity data are in columns D and M, respectively.</t>
  </si>
  <si>
    <t>Zimm plots:</t>
  </si>
  <si>
    <t>Angle/deg</t>
  </si>
  <si>
    <t>Detector</t>
  </si>
  <si>
    <t>Type</t>
  </si>
  <si>
    <t>Wyatt</t>
  </si>
  <si>
    <t>Blank</t>
  </si>
  <si>
    <t xml:space="preserve">These equations are intended for rotating detectors. </t>
  </si>
  <si>
    <t xml:space="preserve">An important caveat here about using the SMALS apparatus: we have only </t>
  </si>
  <si>
    <t xml:space="preserve">listed the Rayleigh factors at 90 degrees scattering angle. There are no </t>
  </si>
  <si>
    <t xml:space="preserve">for SLS, one must still make a measurement at 90 degrees with the </t>
  </si>
  <si>
    <t xml:space="preserve">Wyatt's diode detector at that angle. </t>
  </si>
  <si>
    <t xml:space="preserve">A:RUN4157.GAL </t>
  </si>
  <si>
    <t>The name of the file</t>
  </si>
  <si>
    <t>start time</t>
  </si>
  <si>
    <t>start date</t>
  </si>
  <si>
    <t>end time</t>
  </si>
  <si>
    <t>end date</t>
  </si>
  <si>
    <r>
      <t xml:space="preserve">DOW 1683 POLYSTYRENE IN TOLUENE. . . . . . . . . . . . . . . . . . . . . . . . . . . </t>
    </r>
    <r>
      <rPr>
        <i/>
        <sz val="12"/>
        <color rgb="FF0000FF"/>
        <rFont val="Times New Roman"/>
        <family val="1"/>
      </rPr>
      <t>first label</t>
    </r>
  </si>
  <si>
    <r>
      <t xml:space="preserve">WIESLAW WORST DAY. . . . . . . . . . . . . . . . . . . . . . . . . . . . . . . . . . . . . . . </t>
    </r>
    <r>
      <rPr>
        <i/>
        <sz val="12"/>
        <color rgb="FF0000FF"/>
        <rFont val="Times New Roman"/>
        <family val="1"/>
      </rPr>
      <t>second label</t>
    </r>
  </si>
  <si>
    <t xml:space="preserve">WS. . . . . . . . </t>
  </si>
  <si>
    <t>operator</t>
  </si>
  <si>
    <t>wavelength in Angstroms</t>
  </si>
  <si>
    <t xml:space="preserve">TOLUENE. . . . . . . </t>
  </si>
  <si>
    <t>Rayleigh standard material</t>
  </si>
  <si>
    <t>refractive index of Rayleigh standard</t>
  </si>
  <si>
    <t>refractive index of solvent for the polymer solutions</t>
  </si>
  <si>
    <t>m = volume exponent (see documentation)</t>
  </si>
  <si>
    <t>lowest temperature during measurement</t>
  </si>
  <si>
    <t>highest temperature during measurement</t>
  </si>
  <si>
    <t>dark count</t>
  </si>
  <si>
    <t xml:space="preserve">Rayleigh standard intensity = Istd </t>
  </si>
  <si>
    <t>uncertainty of Istd</t>
  </si>
  <si>
    <t>angle where Rayleigh standard was measured</t>
  </si>
  <si>
    <t>number of angles = Nang</t>
  </si>
  <si>
    <t>number of concentrations = Nconc; includes solvent as c=0</t>
  </si>
  <si>
    <t>c1</t>
  </si>
  <si>
    <t>c2</t>
  </si>
  <si>
    <t>c3</t>
  </si>
  <si>
    <t>c4</t>
  </si>
  <si>
    <t>c5</t>
  </si>
  <si>
    <t>c6</t>
  </si>
  <si>
    <t>c7</t>
  </si>
  <si>
    <t>c8</t>
  </si>
  <si>
    <t>c9</t>
  </si>
  <si>
    <t xml:space="preserve"> 81428.38  97591.7  122109.7  162909.5  197399.6  252660.4  301346.8  345541.3  373001.3</t>
  </si>
  <si>
    <t xml:space="preserve"> 189.3396  1144.371  75.31445  854.0734  235.379  396.2553  522.5136  2446.77  1101.427</t>
  </si>
  <si>
    <t xml:space="preserve"> 55574.58  66837.77  84346.55  112079.5  136769.3  177428.5  214188.9  232087  261054</t>
  </si>
  <si>
    <t xml:space="preserve"> 197.434  392.5005  324.2591  173.9281  403.8692  568.4637  619.549  392.1764  669.6632</t>
  </si>
  <si>
    <t xml:space="preserve"> 43341.26  51996.1  65401.65  87735.49  106350.9  138269.6  166658.1  179940.2  203643.3</t>
  </si>
  <si>
    <t xml:space="preserve"> 239.8559  261.1551  328.7555  248.4714  564.8671  214.7371  180.5043  537.835  635.0795</t>
  </si>
  <si>
    <t xml:space="preserve"> 32257.47  38655.18  48411.66  62924.06  78320.7  102318.9  119509.9  132199.1 148991</t>
  </si>
  <si>
    <t xml:space="preserve"> 106.8938  102.5643  131.3934  215.5929  239.1338  440.27  302.6808  93.53061  286.8959</t>
  </si>
  <si>
    <t xml:space="preserve"> 28955.09  33923.45  42198.49  55891.61  68934.62  90674.13  105791.5  116571.6  131802.6</t>
  </si>
  <si>
    <t xml:space="preserve"> 150.9799  122.7043  159.0369  253.9555  388.7278  110.6202  293.2361  286.2568  516.4243</t>
  </si>
  <si>
    <t xml:space="preserve"> 27126.31  32055.37  39665.98  51456.23  62408.91  84488.31  98041.87  105803.9  122512.3</t>
  </si>
  <si>
    <t xml:space="preserve"> 95.50737  194.1532  109.4389  230.5697  135.4062  152.2081  149.2928  281.5163  146.4149</t>
  </si>
  <si>
    <t xml:space="preserve"> 29638.82  34479.8  42685.7  54635.88  67755.86  89103.03  104593  114505.7  130324.7</t>
  </si>
  <si>
    <t xml:space="preserve"> 96.0753  157.568  165.4995  108.4058  114.0652  86.36407  222.5477  229.0522  273.5556</t>
  </si>
  <si>
    <t xml:space="preserve"> 32521.76  36138.69  46225.73  59356.04  73573.95  95478.31  110844.5  122913.1  140521</t>
  </si>
  <si>
    <t xml:space="preserve"> 170.4942  112.1322  216.0858  107.3936  102.3973  236.4535  258.8731  319.9878  372.4431</t>
  </si>
  <si>
    <t>EXAMPLE FROM ROTATING ARM INSTRUMENT</t>
  </si>
  <si>
    <r>
      <t xml:space="preserve">first angle; next row is intensity (c=0 &amp; up) and then </t>
    </r>
    <r>
      <rPr>
        <i/>
        <sz val="12"/>
        <color rgb="FF0000FF"/>
        <rFont val="Symbol"/>
        <family val="1"/>
        <charset val="2"/>
      </rPr>
      <t>s</t>
    </r>
    <r>
      <rPr>
        <i/>
        <sz val="12"/>
        <color rgb="FF0000FF"/>
        <rFont val="Times New Roman"/>
        <family val="1"/>
      </rPr>
      <t>intensity</t>
    </r>
  </si>
  <si>
    <t>Excess, Normalized Intensities (arbitrary units)</t>
  </si>
  <si>
    <t>Rayleigh calibration standard</t>
  </si>
  <si>
    <t>Rayleigh factor for calib. Std.</t>
  </si>
  <si>
    <t>(from Wyatt front panel display)</t>
  </si>
  <si>
    <t>Volume exponent, m</t>
  </si>
  <si>
    <t>Measured intensity Rayleigh Std at 90 deg.</t>
  </si>
  <si>
    <t xml:space="preserve">APD detectors at this angle. So, even if the plan is to use just the APD detectors </t>
  </si>
  <si>
    <r>
      <t>cm</t>
    </r>
    <r>
      <rPr>
        <vertAlign val="superscript"/>
        <sz val="11"/>
        <color theme="1"/>
        <rFont val="Calibri"/>
        <family val="2"/>
        <scheme val="minor"/>
      </rPr>
      <t>-1</t>
    </r>
  </si>
  <si>
    <r>
      <rPr>
        <sz val="11"/>
        <color theme="1"/>
        <rFont val="Colonna MT"/>
        <family val="5"/>
      </rPr>
      <t>R</t>
    </r>
    <r>
      <rPr>
        <sz val="11"/>
        <color theme="1"/>
        <rFont val="Calibri"/>
        <family val="2"/>
        <scheme val="minor"/>
      </rPr>
      <t xml:space="preserve"> in cm</t>
    </r>
    <r>
      <rPr>
        <vertAlign val="superscript"/>
        <sz val="11"/>
        <color theme="1"/>
        <rFont val="Calibri"/>
        <family val="2"/>
        <scheme val="minor"/>
      </rPr>
      <t>-1</t>
    </r>
  </si>
  <si>
    <r>
      <t xml:space="preserve">  28.07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532 nm (Frequency doubled diode)</t>
    </r>
  </si>
  <si>
    <r>
      <t xml:space="preserve">  32.08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514.5 nm (Argon ion green)</t>
    </r>
  </si>
  <si>
    <r>
      <t xml:space="preserve">  39.64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488 nm (Argon ion blue)</t>
    </r>
  </si>
  <si>
    <r>
      <t>R</t>
    </r>
    <r>
      <rPr>
        <vertAlign val="subscript"/>
        <sz val="11"/>
        <color theme="1"/>
        <rFont val="Calibri  "/>
      </rPr>
      <t>tol,Uv</t>
    </r>
    <r>
      <rPr>
        <sz val="11"/>
        <color theme="1"/>
        <rFont val="Calibri  "/>
      </rPr>
      <t xml:space="preserve"> =     </t>
    </r>
  </si>
  <si>
    <r>
      <t xml:space="preserve">  14.02 x 10</t>
    </r>
    <r>
      <rPr>
        <vertAlign val="superscript"/>
        <sz val="10"/>
        <color theme="1"/>
        <rFont val="Calibri"/>
        <family val="2"/>
        <scheme val="minor"/>
      </rPr>
      <t>-6</t>
    </r>
    <r>
      <rPr>
        <sz val="10"/>
        <color theme="1"/>
        <rFont val="Calibri"/>
        <family val="2"/>
        <scheme val="minor"/>
      </rPr>
      <t xml:space="preserve"> cm</t>
    </r>
    <r>
      <rPr>
        <vertAlign val="superscript"/>
        <sz val="10"/>
        <color theme="1"/>
        <rFont val="Calibri"/>
        <family val="2"/>
        <scheme val="minor"/>
      </rPr>
      <t>-1</t>
    </r>
    <r>
      <rPr>
        <sz val="10"/>
        <color theme="1"/>
        <rFont val="Calibri"/>
        <family val="2"/>
        <scheme val="minor"/>
      </rPr>
      <t xml:space="preserve"> @ 632.8 nm (HeNe red)</t>
    </r>
  </si>
  <si>
    <t xml:space="preserve">These values were calculated using </t>
  </si>
  <si>
    <r>
      <t xml:space="preserve">assuming </t>
    </r>
    <r>
      <rPr>
        <sz val="11"/>
        <color theme="1"/>
        <rFont val="Symbol"/>
        <family val="1"/>
        <charset val="2"/>
      </rPr>
      <t>r</t>
    </r>
    <r>
      <rPr>
        <vertAlign val="subscript"/>
        <sz val="11"/>
        <color theme="1"/>
        <rFont val="Calibri"/>
        <family val="2"/>
        <scheme val="minor"/>
      </rPr>
      <t>u</t>
    </r>
    <r>
      <rPr>
        <sz val="11"/>
        <color theme="1"/>
        <rFont val="Calibri"/>
        <family val="2"/>
        <scheme val="minor"/>
      </rPr>
      <t xml:space="preserve"> = 0.495 from the data collected by Hu</t>
    </r>
  </si>
  <si>
    <t xml:space="preserve">The dispersion equation is from: </t>
  </si>
  <si>
    <r>
      <t>Moutzouris, K., Papamichael, M., Betsis, S.C. </t>
    </r>
    <r>
      <rPr>
        <i/>
        <sz val="9"/>
        <color rgb="FF222222"/>
        <rFont val="Arial"/>
        <family val="2"/>
      </rPr>
      <t>et al.</t>
    </r>
    <r>
      <rPr>
        <sz val="9"/>
        <color rgb="FF222222"/>
        <rFont val="Arial"/>
        <family val="2"/>
      </rPr>
      <t> Refractive, dispersive and thermo-optic properties of twelve organic solvents in the visible and near-infrared. </t>
    </r>
    <r>
      <rPr>
        <i/>
        <sz val="9"/>
        <color rgb="FF222222"/>
        <rFont val="Arial"/>
        <family val="2"/>
      </rPr>
      <t>Appl. Phys. B</t>
    </r>
    <r>
      <rPr>
        <sz val="9"/>
        <color rgb="FF222222"/>
        <rFont val="Arial"/>
        <family val="2"/>
      </rPr>
      <t> </t>
    </r>
    <r>
      <rPr>
        <b/>
        <sz val="9"/>
        <color rgb="FF222222"/>
        <rFont val="Arial"/>
        <family val="2"/>
      </rPr>
      <t>116</t>
    </r>
    <r>
      <rPr>
        <sz val="9"/>
        <color rgb="FF222222"/>
        <rFont val="Arial"/>
        <family val="2"/>
      </rPr>
      <t>, 617–622 (2014). https://doi.org/10.1007/s00340-013-5744-3</t>
    </r>
  </si>
  <si>
    <r>
      <t>A</t>
    </r>
    <r>
      <rPr>
        <vertAlign val="subscript"/>
        <sz val="11"/>
        <color theme="1"/>
        <rFont val="Calibri"/>
        <family val="2"/>
        <scheme val="minor"/>
      </rPr>
      <t>0</t>
    </r>
  </si>
  <si>
    <r>
      <t>A</t>
    </r>
    <r>
      <rPr>
        <vertAlign val="subscript"/>
        <sz val="11"/>
        <color theme="1"/>
        <rFont val="Calibri"/>
        <family val="2"/>
        <scheme val="minor"/>
      </rPr>
      <t>1</t>
    </r>
  </si>
  <si>
    <r>
      <t>A</t>
    </r>
    <r>
      <rPr>
        <vertAlign val="subscript"/>
        <sz val="11"/>
        <color theme="1"/>
        <rFont val="Calibri"/>
        <family val="2"/>
        <scheme val="minor"/>
      </rPr>
      <t>2</t>
    </r>
  </si>
  <si>
    <r>
      <t>A</t>
    </r>
    <r>
      <rPr>
        <vertAlign val="subscript"/>
        <sz val="11"/>
        <color theme="1"/>
        <rFont val="Calibri"/>
        <family val="2"/>
        <scheme val="minor"/>
      </rPr>
      <t>3</t>
    </r>
  </si>
  <si>
    <r>
      <t>A</t>
    </r>
    <r>
      <rPr>
        <vertAlign val="subscript"/>
        <sz val="11"/>
        <color theme="1"/>
        <rFont val="Calibri"/>
        <family val="2"/>
        <scheme val="minor"/>
      </rPr>
      <t>4</t>
    </r>
  </si>
  <si>
    <t xml:space="preserve">(633/488)^4 = </t>
  </si>
  <si>
    <t xml:space="preserve">(633/488)^4.17 = </t>
  </si>
  <si>
    <t>* H. Wu, Chemical Physics 367 (1), 44-47 (2010), https://doi.org/10.1016/j.chemphys.2009.10.019</t>
  </si>
  <si>
    <r>
      <t xml:space="preserve">&lt;&lt; use </t>
    </r>
    <r>
      <rPr>
        <sz val="11"/>
        <color theme="1"/>
        <rFont val="Symbol"/>
        <family val="1"/>
        <charset val="2"/>
      </rPr>
      <t>l</t>
    </r>
    <r>
      <rPr>
        <vertAlign val="subscript"/>
        <sz val="11"/>
        <color theme="1"/>
        <rFont val="Calibri"/>
        <family val="2"/>
        <scheme val="minor"/>
      </rPr>
      <t>o</t>
    </r>
    <r>
      <rPr>
        <sz val="11"/>
        <color theme="1"/>
        <rFont val="Calibri"/>
        <family val="2"/>
        <scheme val="minor"/>
      </rPr>
      <t xml:space="preserve"> not </t>
    </r>
    <r>
      <rPr>
        <sz val="11"/>
        <color theme="1"/>
        <rFont val="Symbol"/>
        <family val="1"/>
        <charset val="2"/>
      </rPr>
      <t>l</t>
    </r>
    <r>
      <rPr>
        <sz val="11"/>
        <color theme="1"/>
        <rFont val="Calibri"/>
        <family val="2"/>
        <scheme val="minor"/>
      </rPr>
      <t xml:space="preserve"> in all these expressions</t>
    </r>
  </si>
  <si>
    <t>%</t>
  </si>
  <si>
    <t>The 4.17 exponent values in N11 - N15 compare reasonably well to the 4.0 exponent values in K2 - K5</t>
  </si>
  <si>
    <r>
      <t>Using the normalization, you can then push ahead to measure R</t>
    </r>
    <r>
      <rPr>
        <vertAlign val="subscript"/>
        <sz val="11"/>
        <color theme="1"/>
        <rFont val="Calibri"/>
        <family val="2"/>
        <scheme val="minor"/>
      </rPr>
      <t>g</t>
    </r>
    <r>
      <rPr>
        <sz val="11"/>
        <color theme="1"/>
        <rFont val="Calibri"/>
        <family val="2"/>
        <scheme val="minor"/>
      </rPr>
      <t xml:space="preserve"> using the law of Guinier </t>
    </r>
  </si>
  <si>
    <t>Excelitas avalanche photodiode light sensors selected for DLS performance by ALV.</t>
  </si>
  <si>
    <t xml:space="preserve">The objective of normalization is to figure out what factor puts the measured intensities for the  </t>
  </si>
  <si>
    <r>
      <t xml:space="preserve">Drop </t>
    </r>
    <r>
      <rPr>
        <b/>
        <u/>
        <sz val="11"/>
        <color rgb="FFFFFF99"/>
        <rFont val="Calibri"/>
        <family val="2"/>
      </rPr>
      <t>solution</t>
    </r>
    <r>
      <rPr>
        <b/>
        <sz val="11"/>
        <color indexed="22"/>
        <rFont val="Calibri"/>
        <family val="2"/>
      </rPr>
      <t xml:space="preserve"> count rates </t>
    </r>
  </si>
  <si>
    <t xml:space="preserve">Enter your name and date in the appropriate green cells. </t>
  </si>
  <si>
    <t>Enter the name of normalization standard in F3.</t>
  </si>
  <si>
    <r>
      <rPr>
        <sz val="10"/>
        <color theme="1"/>
        <rFont val="Symbol"/>
        <family val="1"/>
        <charset val="2"/>
      </rPr>
      <t>l</t>
    </r>
    <r>
      <rPr>
        <vertAlign val="subscript"/>
        <sz val="10"/>
        <color theme="1"/>
        <rFont val="Symbol"/>
        <family val="1"/>
        <charset val="2"/>
      </rPr>
      <t>o</t>
    </r>
    <r>
      <rPr>
        <sz val="10"/>
        <color theme="1"/>
        <rFont val="Symbol"/>
        <family val="1"/>
        <charset val="2"/>
      </rPr>
      <t>/</t>
    </r>
    <r>
      <rPr>
        <sz val="10"/>
        <color theme="1"/>
        <rFont val="Calibri "/>
      </rPr>
      <t>nm</t>
    </r>
    <r>
      <rPr>
        <sz val="10"/>
        <color theme="1"/>
        <rFont val="Calibri"/>
        <family val="2"/>
        <scheme val="minor"/>
      </rPr>
      <t xml:space="preserve"> </t>
    </r>
  </si>
  <si>
    <t>Almost always toluene</t>
  </si>
  <si>
    <t xml:space="preserve"> </t>
  </si>
  <si>
    <t>TO USE:</t>
  </si>
  <si>
    <t>SIZE MEASUREMENT OF A DISSOLVED SOLUTE</t>
  </si>
  <si>
    <t>NORMALIZATION USING A SOLUTION (E.G., BSA, BRIJ MICROEMULSION OR PS/TOL)</t>
  </si>
  <si>
    <t xml:space="preserve">Make a DLS run on your normalization solution, save as .ASC file. </t>
  </si>
  <si>
    <r>
      <t>R</t>
    </r>
    <r>
      <rPr>
        <vertAlign val="subscript"/>
        <sz val="11"/>
        <color indexed="8"/>
        <rFont val="Calibri"/>
        <family val="2"/>
      </rPr>
      <t>g</t>
    </r>
    <r>
      <rPr>
        <sz val="11"/>
        <color theme="1"/>
        <rFont val="Calibri"/>
        <family val="2"/>
        <scheme val="minor"/>
      </rPr>
      <t xml:space="preserve"> estimate (sphere)</t>
    </r>
  </si>
  <si>
    <r>
      <t>q</t>
    </r>
    <r>
      <rPr>
        <vertAlign val="subscript"/>
        <sz val="11"/>
        <color indexed="8"/>
        <rFont val="Calibri"/>
        <family val="2"/>
      </rPr>
      <t>max</t>
    </r>
    <r>
      <rPr>
        <sz val="11"/>
        <color rgb="FF000000"/>
        <rFont val="Calibri"/>
        <family val="2"/>
      </rPr>
      <t>*Estimated</t>
    </r>
    <r>
      <rPr>
        <vertAlign val="subscript"/>
        <sz val="11"/>
        <color indexed="8"/>
        <rFont val="Calibri"/>
        <family val="2"/>
      </rPr>
      <t xml:space="preserve"> </t>
    </r>
    <r>
      <rPr>
        <sz val="11"/>
        <color theme="1"/>
        <rFont val="Calibri"/>
        <family val="2"/>
        <scheme val="minor"/>
      </rPr>
      <t>R</t>
    </r>
    <r>
      <rPr>
        <vertAlign val="subscript"/>
        <sz val="11"/>
        <color indexed="8"/>
        <rFont val="Calibri"/>
        <family val="2"/>
      </rPr>
      <t>g</t>
    </r>
    <r>
      <rPr>
        <sz val="11"/>
        <color theme="1"/>
        <rFont val="Calibri"/>
        <family val="2"/>
        <scheme val="minor"/>
      </rPr>
      <t xml:space="preserve"> </t>
    </r>
  </si>
  <si>
    <r>
      <t>1-(q</t>
    </r>
    <r>
      <rPr>
        <vertAlign val="subscript"/>
        <sz val="11"/>
        <color indexed="8"/>
        <rFont val="Calibri"/>
        <family val="2"/>
      </rPr>
      <t>max</t>
    </r>
    <r>
      <rPr>
        <sz val="11"/>
        <color rgb="FF000000"/>
        <rFont val="Calibri"/>
        <family val="2"/>
      </rPr>
      <t>*estimated</t>
    </r>
    <r>
      <rPr>
        <vertAlign val="subscript"/>
        <sz val="11"/>
        <color indexed="8"/>
        <rFont val="Calibri"/>
        <family val="2"/>
      </rPr>
      <t xml:space="preserve"> </t>
    </r>
    <r>
      <rPr>
        <sz val="11"/>
        <color theme="1"/>
        <rFont val="Calibri"/>
        <family val="2"/>
        <scheme val="minor"/>
      </rPr>
      <t>R</t>
    </r>
    <r>
      <rPr>
        <vertAlign val="subscript"/>
        <sz val="11"/>
        <color indexed="8"/>
        <rFont val="Calibri"/>
        <family val="2"/>
      </rPr>
      <t>g</t>
    </r>
    <r>
      <rPr>
        <sz val="11"/>
        <color theme="1"/>
        <rFont val="Calibri"/>
        <family val="2"/>
        <scheme val="minor"/>
      </rPr>
      <t>)</t>
    </r>
    <r>
      <rPr>
        <vertAlign val="superscript"/>
        <sz val="11"/>
        <color indexed="8"/>
        <rFont val="Calibri"/>
        <family val="2"/>
      </rPr>
      <t>2</t>
    </r>
    <r>
      <rPr>
        <sz val="11"/>
        <color theme="1"/>
        <rFont val="Calibri"/>
        <family val="2"/>
        <scheme val="minor"/>
      </rPr>
      <t>/3</t>
    </r>
  </si>
  <si>
    <t>Will SLS work?</t>
  </si>
  <si>
    <t>For the Wyatt diode detectors enter the front panel readings in the blue cells of columns G and J, respectively.</t>
  </si>
  <si>
    <r>
      <t>Then you can get R</t>
    </r>
    <r>
      <rPr>
        <vertAlign val="subscript"/>
        <sz val="11"/>
        <color theme="1"/>
        <rFont val="Calibri"/>
        <family val="2"/>
        <scheme val="minor"/>
      </rPr>
      <t>g</t>
    </r>
    <r>
      <rPr>
        <sz val="11"/>
        <color theme="1"/>
        <rFont val="Calibri"/>
        <family val="2"/>
        <scheme val="minor"/>
      </rPr>
      <t>/R</t>
    </r>
    <r>
      <rPr>
        <vertAlign val="subscript"/>
        <sz val="11"/>
        <color theme="1"/>
        <rFont val="Calibri"/>
        <family val="2"/>
        <scheme val="minor"/>
      </rPr>
      <t>h</t>
    </r>
    <r>
      <rPr>
        <sz val="11"/>
        <color theme="1"/>
        <rFont val="Calibri"/>
        <family val="2"/>
        <scheme val="minor"/>
      </rPr>
      <t xml:space="preserve"> for shape analysis (e.g., should be sqrt(3/5) for solid, uniform spheres).</t>
    </r>
  </si>
  <si>
    <t>REPEAT FOR EACH CONCENTRATION</t>
  </si>
  <si>
    <t>EXTRAPOLATE THE SIZE RESULTS TO c = 0</t>
  </si>
  <si>
    <t xml:space="preserve">It has been many years since the Zimm plot was an efficient way to process SLS data, but </t>
  </si>
  <si>
    <t>2. Measure the sample and solvent as described above and briefly repeated below.</t>
  </si>
  <si>
    <t xml:space="preserve">     can provide a reading). </t>
  </si>
  <si>
    <r>
      <t>q/cm</t>
    </r>
    <r>
      <rPr>
        <b/>
        <vertAlign val="superscript"/>
        <sz val="11"/>
        <color theme="1"/>
        <rFont val="Calibri"/>
        <family val="2"/>
        <scheme val="minor"/>
      </rPr>
      <t>-1</t>
    </r>
  </si>
  <si>
    <r>
      <t>q</t>
    </r>
    <r>
      <rPr>
        <b/>
        <vertAlign val="superscript"/>
        <sz val="11"/>
        <color theme="1"/>
        <rFont val="Calibri"/>
        <family val="2"/>
        <scheme val="minor"/>
      </rPr>
      <t>2</t>
    </r>
    <r>
      <rPr>
        <b/>
        <sz val="11"/>
        <color theme="1"/>
        <rFont val="Calibri"/>
        <family val="2"/>
        <scheme val="minor"/>
      </rPr>
      <t>/cm</t>
    </r>
    <r>
      <rPr>
        <b/>
        <vertAlign val="superscript"/>
        <sz val="11"/>
        <color theme="1"/>
        <rFont val="Calibri"/>
        <family val="2"/>
        <scheme val="minor"/>
      </rPr>
      <t>-2</t>
    </r>
  </si>
  <si>
    <r>
      <t>c1/g.mL</t>
    </r>
    <r>
      <rPr>
        <b/>
        <vertAlign val="superscript"/>
        <sz val="11"/>
        <color theme="1"/>
        <rFont val="Calibri"/>
        <family val="2"/>
        <scheme val="minor"/>
      </rPr>
      <t>-1</t>
    </r>
  </si>
  <si>
    <r>
      <t>c2/g.mL</t>
    </r>
    <r>
      <rPr>
        <b/>
        <vertAlign val="superscript"/>
        <sz val="11"/>
        <color theme="1"/>
        <rFont val="Calibri"/>
        <family val="2"/>
        <scheme val="minor"/>
      </rPr>
      <t>-1</t>
    </r>
  </si>
  <si>
    <r>
      <t>c3/g.mL</t>
    </r>
    <r>
      <rPr>
        <b/>
        <vertAlign val="superscript"/>
        <sz val="11"/>
        <color theme="1"/>
        <rFont val="Calibri"/>
        <family val="2"/>
        <scheme val="minor"/>
      </rPr>
      <t>-1</t>
    </r>
  </si>
  <si>
    <r>
      <t>c4/g.mL</t>
    </r>
    <r>
      <rPr>
        <b/>
        <vertAlign val="superscript"/>
        <sz val="11"/>
        <color theme="1"/>
        <rFont val="Calibri"/>
        <family val="2"/>
        <scheme val="minor"/>
      </rPr>
      <t>-1</t>
    </r>
  </si>
  <si>
    <r>
      <t>c5/g.mL</t>
    </r>
    <r>
      <rPr>
        <b/>
        <vertAlign val="superscript"/>
        <sz val="11"/>
        <color theme="1"/>
        <rFont val="Calibri"/>
        <family val="2"/>
        <scheme val="minor"/>
      </rPr>
      <t>-1</t>
    </r>
  </si>
  <si>
    <r>
      <t>c6/g.mL</t>
    </r>
    <r>
      <rPr>
        <b/>
        <vertAlign val="superscript"/>
        <sz val="11"/>
        <color theme="1"/>
        <rFont val="Calibri"/>
        <family val="2"/>
        <scheme val="minor"/>
      </rPr>
      <t>-1</t>
    </r>
  </si>
  <si>
    <r>
      <t>c7/g.mL</t>
    </r>
    <r>
      <rPr>
        <b/>
        <vertAlign val="superscript"/>
        <sz val="11"/>
        <color theme="1"/>
        <rFont val="Calibri"/>
        <family val="2"/>
        <scheme val="minor"/>
      </rPr>
      <t>-1</t>
    </r>
  </si>
  <si>
    <r>
      <t>c8/g.mL</t>
    </r>
    <r>
      <rPr>
        <b/>
        <vertAlign val="superscript"/>
        <sz val="11"/>
        <color theme="1"/>
        <rFont val="Calibri"/>
        <family val="2"/>
        <scheme val="minor"/>
      </rPr>
      <t>-1</t>
    </r>
  </si>
  <si>
    <t>&lt;&lt;</t>
  </si>
  <si>
    <r>
      <t>Excess Rayleigh factors in cm</t>
    </r>
    <r>
      <rPr>
        <b/>
        <vertAlign val="superscript"/>
        <sz val="11"/>
        <color theme="1"/>
        <rFont val="Calibri"/>
        <family val="2"/>
        <scheme val="minor"/>
      </rPr>
      <t>-1</t>
    </r>
  </si>
  <si>
    <r>
      <t>Kc/Excess Rayleigh factor in mol.g</t>
    </r>
    <r>
      <rPr>
        <b/>
        <vertAlign val="superscript"/>
        <sz val="11"/>
        <color theme="1"/>
        <rFont val="Calibri"/>
        <family val="2"/>
        <scheme val="minor"/>
      </rPr>
      <t>-1</t>
    </r>
  </si>
  <si>
    <t>mL/g</t>
  </si>
  <si>
    <r>
      <t>k</t>
    </r>
    <r>
      <rPr>
        <b/>
        <vertAlign val="subscript"/>
        <sz val="11"/>
        <color theme="1"/>
        <rFont val="Calibri"/>
        <family val="2"/>
        <scheme val="minor"/>
      </rPr>
      <t>scale</t>
    </r>
    <r>
      <rPr>
        <b/>
        <sz val="11"/>
        <color theme="1"/>
        <rFont val="Calibri"/>
        <family val="2"/>
        <scheme val="minor"/>
      </rPr>
      <t>:</t>
    </r>
  </si>
  <si>
    <t>April 5, 2024 Brij</t>
  </si>
  <si>
    <t>April 5, 2024 Dirty Water</t>
  </si>
  <si>
    <r>
      <t>cm</t>
    </r>
    <r>
      <rPr>
        <vertAlign val="superscript"/>
        <sz val="11"/>
        <color theme="1"/>
        <rFont val="Calibri"/>
        <family val="2"/>
        <scheme val="minor"/>
      </rPr>
      <t>-1</t>
    </r>
    <r>
      <rPr>
        <sz val="11"/>
        <color theme="1"/>
        <rFont val="Calibri"/>
        <family val="2"/>
        <scheme val="minor"/>
      </rPr>
      <t>; reminder:</t>
    </r>
  </si>
  <si>
    <t>refractive index dispersion by Wu* and the values claimed for toluene are:</t>
  </si>
  <si>
    <t>Uu geometry*</t>
  </si>
  <si>
    <t>Uv geometry (** our own calculation, based on Wu's collection of literature data, adjusted from Uu to Uv)</t>
  </si>
  <si>
    <r>
      <t>** R</t>
    </r>
    <r>
      <rPr>
        <vertAlign val="subscript"/>
        <sz val="11"/>
        <color theme="1"/>
        <rFont val="Calibri"/>
        <family val="2"/>
        <scheme val="minor"/>
      </rPr>
      <t xml:space="preserve">Uv  </t>
    </r>
    <r>
      <rPr>
        <sz val="11"/>
        <color theme="1"/>
        <rFont val="Calibri"/>
        <family val="2"/>
        <scheme val="minor"/>
      </rPr>
      <t>analysis from our own WavelengthDispersion spreadsheet &amp; associated Origin non-linear fit to data with error bars</t>
    </r>
  </si>
  <si>
    <t>% Difference</t>
  </si>
  <si>
    <t>See our spreadsheet WavelengthDispersion.xlsx and associated Origin files RayleighVsWavelength.opj (2 files with different error assumptions)</t>
  </si>
  <si>
    <r>
      <rPr>
        <b/>
        <sz val="14"/>
        <color theme="1"/>
        <rFont val="Colonna MT"/>
        <family val="5"/>
      </rPr>
      <t>R</t>
    </r>
    <r>
      <rPr>
        <b/>
        <vertAlign val="subscript"/>
        <sz val="14"/>
        <color theme="1"/>
        <rFont val="Colonna MT"/>
        <family val="5"/>
      </rPr>
      <t>tol,Uu</t>
    </r>
    <r>
      <rPr>
        <b/>
        <sz val="11"/>
        <color theme="1"/>
        <rFont val="Calibri"/>
        <family val="2"/>
        <scheme val="minor"/>
      </rPr>
      <t xml:space="preserve"> = 4.9 x 10</t>
    </r>
    <r>
      <rPr>
        <b/>
        <vertAlign val="superscript"/>
        <sz val="11"/>
        <color theme="1"/>
        <rFont val="Calibri"/>
        <family val="2"/>
        <scheme val="minor"/>
      </rPr>
      <t>6</t>
    </r>
    <r>
      <rPr>
        <b/>
        <sz val="11"/>
        <color theme="1"/>
        <rFont val="Calibri"/>
        <family val="2"/>
        <scheme val="minor"/>
      </rPr>
      <t xml:space="preserve">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4.17</t>
    </r>
    <r>
      <rPr>
        <b/>
        <sz val="11"/>
        <color theme="1"/>
        <rFont val="Calibri"/>
        <family val="5"/>
        <scheme val="minor"/>
      </rPr>
      <t xml:space="preserve">  *</t>
    </r>
  </si>
  <si>
    <r>
      <t>in cm</t>
    </r>
    <r>
      <rPr>
        <b/>
        <vertAlign val="superscript"/>
        <sz val="11"/>
        <color theme="1"/>
        <rFont val="Calibri"/>
        <family val="2"/>
        <scheme val="minor"/>
      </rPr>
      <t>-1</t>
    </r>
    <r>
      <rPr>
        <b/>
        <sz val="11"/>
        <color theme="1"/>
        <rFont val="Calibri"/>
        <family val="2"/>
        <scheme val="minor"/>
      </rPr>
      <t xml:space="preserve"> with </t>
    </r>
    <r>
      <rPr>
        <b/>
        <sz val="11"/>
        <color theme="1"/>
        <rFont val="Symbol"/>
        <family val="1"/>
        <charset val="2"/>
      </rPr>
      <t>l</t>
    </r>
    <r>
      <rPr>
        <b/>
        <vertAlign val="subscript"/>
        <sz val="11"/>
        <color theme="1"/>
        <rFont val="Symbol"/>
        <family val="1"/>
        <charset val="2"/>
      </rPr>
      <t>o</t>
    </r>
    <r>
      <rPr>
        <b/>
        <sz val="11"/>
        <color theme="1"/>
        <rFont val="Calibri"/>
        <family val="2"/>
        <scheme val="minor"/>
      </rPr>
      <t xml:space="preserve"> given in nm</t>
    </r>
  </si>
  <si>
    <r>
      <rPr>
        <b/>
        <sz val="14"/>
        <color theme="1"/>
        <rFont val="Colonna MT"/>
        <family val="5"/>
      </rPr>
      <t>R</t>
    </r>
    <r>
      <rPr>
        <b/>
        <vertAlign val="subscript"/>
        <sz val="14"/>
        <color theme="1"/>
        <rFont val="Colonna MT"/>
        <family val="5"/>
      </rPr>
      <t>tol,Uv</t>
    </r>
    <r>
      <rPr>
        <b/>
        <sz val="14"/>
        <color theme="1"/>
        <rFont val="Calibri"/>
        <family val="2"/>
        <scheme val="minor"/>
      </rPr>
      <t xml:space="preserve"> </t>
    </r>
    <r>
      <rPr>
        <b/>
        <sz val="11"/>
        <color theme="1"/>
        <rFont val="Calibri"/>
        <family val="2"/>
        <scheme val="minor"/>
      </rPr>
      <t>= 6.653 x 10</t>
    </r>
    <r>
      <rPr>
        <b/>
        <vertAlign val="superscript"/>
        <sz val="11"/>
        <color theme="1"/>
        <rFont val="Calibri"/>
        <family val="2"/>
        <scheme val="minor"/>
      </rPr>
      <t>6</t>
    </r>
    <r>
      <rPr>
        <b/>
        <sz val="11"/>
        <color theme="1"/>
        <rFont val="Calibri"/>
        <family val="2"/>
        <scheme val="minor"/>
      </rPr>
      <t xml:space="preserve">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4.17</t>
    </r>
    <r>
      <rPr>
        <b/>
        <sz val="11"/>
        <color theme="1"/>
        <rFont val="Calibri"/>
        <family val="5"/>
        <scheme val="minor"/>
      </rPr>
      <t xml:space="preserve">  **</t>
    </r>
  </si>
  <si>
    <r>
      <t>in cm</t>
    </r>
    <r>
      <rPr>
        <b/>
        <vertAlign val="superscript"/>
        <sz val="11"/>
        <color theme="1"/>
        <rFont val="Calibri"/>
        <family val="2"/>
        <scheme val="minor"/>
      </rPr>
      <t>-1</t>
    </r>
    <r>
      <rPr>
        <b/>
        <sz val="11"/>
        <color theme="1"/>
        <rFont val="Calibri"/>
        <family val="2"/>
        <scheme val="minor"/>
      </rPr>
      <t xml:space="preserve"> with </t>
    </r>
    <r>
      <rPr>
        <b/>
        <sz val="11"/>
        <color theme="1"/>
        <rFont val="Symbol"/>
        <family val="1"/>
        <charset val="2"/>
      </rPr>
      <t>l</t>
    </r>
    <r>
      <rPr>
        <b/>
        <vertAlign val="subscript"/>
        <sz val="11"/>
        <color theme="1"/>
        <rFont val="Symbol"/>
        <family val="1"/>
        <charset val="2"/>
      </rPr>
      <t>o</t>
    </r>
    <r>
      <rPr>
        <b/>
        <sz val="11"/>
        <color theme="1"/>
        <rFont val="Calibri"/>
        <family val="2"/>
        <scheme val="minor"/>
      </rPr>
      <t xml:space="preserve">  in nm</t>
    </r>
  </si>
  <si>
    <r>
      <t xml:space="preserve">These traditional values assume a </t>
    </r>
    <r>
      <rPr>
        <b/>
        <sz val="11"/>
        <color theme="1"/>
        <rFont val="Symbol"/>
        <family val="1"/>
        <charset val="2"/>
      </rPr>
      <t>l</t>
    </r>
    <r>
      <rPr>
        <b/>
        <vertAlign val="subscript"/>
        <sz val="11"/>
        <color theme="1"/>
        <rFont val="Symbol"/>
        <family val="1"/>
        <charset val="2"/>
      </rPr>
      <t>o</t>
    </r>
    <r>
      <rPr>
        <b/>
        <vertAlign val="superscript"/>
        <sz val="11"/>
        <color theme="1"/>
        <rFont val="Calibri"/>
        <family val="2"/>
        <scheme val="minor"/>
      </rPr>
      <t>-4</t>
    </r>
    <r>
      <rPr>
        <b/>
        <sz val="11"/>
        <color theme="1"/>
        <rFont val="Calibri"/>
        <family val="2"/>
        <scheme val="minor"/>
      </rPr>
      <t xml:space="preserve"> dependence. The wavelength dependence was re-examined to account for </t>
    </r>
  </si>
  <si>
    <r>
      <t>Optical constant K/cm</t>
    </r>
    <r>
      <rPr>
        <b/>
        <vertAlign val="superscript"/>
        <sz val="11"/>
        <color theme="1"/>
        <rFont val="Calibri"/>
        <family val="2"/>
        <scheme val="minor"/>
      </rPr>
      <t>2</t>
    </r>
    <r>
      <rPr>
        <b/>
        <sz val="11"/>
        <color theme="1"/>
        <rFont val="Calibri"/>
        <family val="2"/>
        <scheme val="minor"/>
      </rPr>
      <t>.mol.g</t>
    </r>
    <r>
      <rPr>
        <b/>
        <vertAlign val="superscript"/>
        <sz val="11"/>
        <color theme="1"/>
        <rFont val="Calibri"/>
        <family val="2"/>
        <scheme val="minor"/>
      </rPr>
      <t>-2</t>
    </r>
  </si>
  <si>
    <t>Taken from Conc1 Sheet</t>
  </si>
  <si>
    <r>
      <t>R</t>
    </r>
    <r>
      <rPr>
        <vertAlign val="subscript"/>
        <sz val="11"/>
        <color indexed="8"/>
        <rFont val="Calibri"/>
        <family val="2"/>
      </rPr>
      <t>h</t>
    </r>
    <r>
      <rPr>
        <sz val="11"/>
        <color theme="1"/>
        <rFont val="Calibri"/>
        <family val="2"/>
        <scheme val="minor"/>
      </rPr>
      <t xml:space="preserve"> (if avail from DLS)</t>
    </r>
  </si>
  <si>
    <t>Y</t>
  </si>
  <si>
    <t>Metadata and solvent intensity values are inherited from the Conc1 worksheet</t>
  </si>
  <si>
    <t xml:space="preserve">c1 </t>
  </si>
  <si>
    <t>scint vial</t>
  </si>
  <si>
    <t>plus pellet</t>
  </si>
  <si>
    <t>plus toluene</t>
  </si>
  <si>
    <t>For c2 and c3, probably the filter was broken....catch the dust later</t>
  </si>
  <si>
    <t>PS 170 pellets</t>
  </si>
  <si>
    <t>PALL 0.2 um nylon filters</t>
  </si>
  <si>
    <t xml:space="preserve">Solute:  </t>
  </si>
  <si>
    <t xml:space="preserve">Solvent:  </t>
  </si>
  <si>
    <t xml:space="preserve">Solvent filter size and type:  </t>
  </si>
  <si>
    <t>Partial specific volume v2bar</t>
  </si>
  <si>
    <t>pellets, if applicable</t>
  </si>
  <si>
    <t>est. tol, mL</t>
  </si>
  <si>
    <t>https://nvlpubs.nist.gov/nistpubs/jres/52/jresv52n4p217_a1b.pdf</t>
  </si>
  <si>
    <t>sample label</t>
  </si>
  <si>
    <t>solute</t>
  </si>
  <si>
    <t>solvent</t>
  </si>
  <si>
    <t>solvent density</t>
  </si>
  <si>
    <t>partial specific vol reference</t>
  </si>
  <si>
    <t>solvent reference</t>
  </si>
  <si>
    <t>measurement temperature</t>
  </si>
  <si>
    <r>
      <rPr>
        <vertAlign val="superscript"/>
        <sz val="11"/>
        <color theme="1"/>
        <rFont val="Calibri"/>
        <family val="2"/>
        <scheme val="minor"/>
      </rPr>
      <t>o</t>
    </r>
    <r>
      <rPr>
        <sz val="11"/>
        <color theme="1"/>
        <rFont val="Calibri"/>
        <family val="2"/>
        <scheme val="minor"/>
      </rPr>
      <t>C</t>
    </r>
  </si>
  <si>
    <r>
      <t>c/g·mL</t>
    </r>
    <r>
      <rPr>
        <b/>
        <vertAlign val="superscript"/>
        <sz val="11"/>
        <color theme="1"/>
        <rFont val="Calibri"/>
        <family val="2"/>
        <scheme val="minor"/>
      </rPr>
      <t>-1</t>
    </r>
  </si>
  <si>
    <t>notes &amp; observations</t>
  </si>
  <si>
    <t>I measured at 25C, but the v2bar and rho1 data are at ~27C</t>
  </si>
  <si>
    <t>SAMPLE PREPARATION BY WEIGHT (PARTIAL SPECIFIC VOLUME OF SOLUTE &amp; SOLVENT DENSITY)</t>
  </si>
  <si>
    <t>adjustments (solvent evaporation, centrifugation or filtration to remove dust/aggregates)</t>
  </si>
  <si>
    <r>
      <t>c</t>
    </r>
    <r>
      <rPr>
        <b/>
        <vertAlign val="subscript"/>
        <sz val="11"/>
        <color theme="1"/>
        <rFont val="Calibri"/>
        <family val="2"/>
        <scheme val="minor"/>
      </rPr>
      <t>final</t>
    </r>
    <r>
      <rPr>
        <b/>
        <sz val="11"/>
        <color theme="1"/>
        <rFont val="Calibri"/>
        <family val="2"/>
        <scheme val="minor"/>
      </rPr>
      <t>/g·mL</t>
    </r>
    <r>
      <rPr>
        <b/>
        <vertAlign val="superscript"/>
        <sz val="11"/>
        <color theme="1"/>
        <rFont val="Calibri"/>
        <family val="2"/>
        <scheme val="minor"/>
      </rPr>
      <t>-1</t>
    </r>
  </si>
  <si>
    <t>None</t>
  </si>
  <si>
    <r>
      <t>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cm</t>
    </r>
    <r>
      <rPr>
        <b/>
        <vertAlign val="superscript"/>
        <sz val="11"/>
        <color theme="1"/>
        <rFont val="Calibri"/>
        <family val="2"/>
        <scheme val="minor"/>
      </rPr>
      <t>-2</t>
    </r>
  </si>
  <si>
    <r>
      <t>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cm</t>
    </r>
    <r>
      <rPr>
        <b/>
        <vertAlign val="superscript"/>
        <sz val="11"/>
        <color theme="1"/>
        <rFont val="Calibri"/>
        <family val="2"/>
        <scheme val="minor"/>
      </rPr>
      <t xml:space="preserve">-2  </t>
    </r>
    <r>
      <rPr>
        <b/>
        <sz val="11"/>
        <color theme="1"/>
        <rFont val="Calibri"/>
        <family val="2"/>
        <scheme val="minor"/>
      </rPr>
      <t>+ k</t>
    </r>
    <r>
      <rPr>
        <b/>
        <vertAlign val="subscript"/>
        <sz val="11"/>
        <color theme="1"/>
        <rFont val="Calibri"/>
        <family val="2"/>
        <scheme val="minor"/>
      </rPr>
      <t>scale</t>
    </r>
    <r>
      <rPr>
        <b/>
        <sz val="11"/>
        <color theme="1"/>
        <rFont val="Calibri"/>
        <family val="2"/>
        <scheme val="minor"/>
      </rPr>
      <t>·c  &gt;&gt;</t>
    </r>
  </si>
  <si>
    <t>&lt;&lt;Dummy values stored for nonexistent concentrations to prevent computational overflows</t>
  </si>
  <si>
    <t>Normalized XS intensity</t>
  </si>
  <si>
    <t>Normalized solvent intensity for NonZimm</t>
  </si>
  <si>
    <r>
      <t xml:space="preserve">INSERT KEY OFF, THEN </t>
    </r>
    <r>
      <rPr>
        <b/>
        <u/>
        <sz val="12"/>
        <color theme="1"/>
        <rFont val="Calibri"/>
        <family val="2"/>
        <scheme val="minor"/>
      </rPr>
      <t>OVERWRITE</t>
    </r>
    <r>
      <rPr>
        <b/>
        <sz val="12"/>
        <color theme="1"/>
        <rFont val="Calibri"/>
        <family val="2"/>
        <scheme val="minor"/>
      </rPr>
      <t xml:space="preserve"> WITH YOUR DATA (SEE FORMAT IN THE EXAMPLE AT RIGHT)</t>
    </r>
  </si>
  <si>
    <r>
      <t>Matrix to generate q</t>
    </r>
    <r>
      <rPr>
        <b/>
        <vertAlign val="superscript"/>
        <sz val="11"/>
        <color theme="1"/>
        <rFont val="Calibri"/>
        <family val="2"/>
        <scheme val="minor"/>
      </rPr>
      <t>2</t>
    </r>
    <r>
      <rPr>
        <b/>
        <sz val="11"/>
        <color theme="1"/>
        <rFont val="Calibri"/>
        <family val="2"/>
        <scheme val="minor"/>
      </rPr>
      <t>/10</t>
    </r>
    <r>
      <rPr>
        <b/>
        <vertAlign val="superscript"/>
        <sz val="11"/>
        <color theme="1"/>
        <rFont val="Calibri"/>
        <family val="2"/>
        <scheme val="minor"/>
      </rPr>
      <t>10</t>
    </r>
    <r>
      <rPr>
        <b/>
        <sz val="11"/>
        <color theme="1"/>
        <rFont val="Calibri"/>
        <family val="2"/>
        <scheme val="minor"/>
      </rPr>
      <t xml:space="preserve">cm-2  + kscale·c  </t>
    </r>
  </si>
  <si>
    <t>LABEL1-60-CHARACTERSXXXXXXXXXXXXXXXXXXXXXXXXXXXXXXXXXXXXXXXX</t>
  </si>
  <si>
    <t>LABEL2-60-CHARACTERSXXXXXXXXXXXXXXXXXXXXXXXXXXXXXXXXXXXXXXXX</t>
  </si>
  <si>
    <t>USER10CHAR</t>
  </si>
  <si>
    <t>X:RUNXXXX.GAL</t>
  </si>
  <si>
    <t>TOLUENE.......</t>
  </si>
  <si>
    <t>May24_2024</t>
  </si>
  <si>
    <t xml:space="preserve">Zimm plot and export to NonZimm.exe </t>
  </si>
  <si>
    <t>(unlike a blank template). Be sure to cover these tracks with your new data.</t>
  </si>
  <si>
    <r>
      <t>The master version contains data from a normalization and R</t>
    </r>
    <r>
      <rPr>
        <vertAlign val="subscript"/>
        <sz val="11"/>
        <color theme="1"/>
        <rFont val="Calibri"/>
        <family val="2"/>
        <scheme val="minor"/>
      </rPr>
      <t>g</t>
    </r>
    <r>
      <rPr>
        <sz val="11"/>
        <color theme="1"/>
        <rFont val="Calibri"/>
        <family val="2"/>
        <scheme val="minor"/>
      </rPr>
      <t xml:space="preserve"> measurement </t>
    </r>
  </si>
  <si>
    <t xml:space="preserve">The SMALS instrument has two kinds of detectors: Wyatt pin photodiodes and  </t>
  </si>
  <si>
    <t>This workbook permits us to normalize detectors to a standard of finite (but usually small) size.</t>
  </si>
  <si>
    <t xml:space="preserve">Enter "Y' or "N" in F6 to indicate whether or not a beamstop was used. </t>
  </si>
  <si>
    <t xml:space="preserve">Your Master document may have been populated only for the Excelitas APD detectors. </t>
  </si>
  <si>
    <t>We will modify  the last one for SMALS.</t>
  </si>
  <si>
    <r>
      <t xml:space="preserve">Traditional values we have always used (e.g., GuiDe/NonZimm documentation) are scaled by </t>
    </r>
    <r>
      <rPr>
        <b/>
        <sz val="11"/>
        <color theme="1"/>
        <rFont val="Symbol"/>
        <family val="1"/>
        <charset val="2"/>
      </rPr>
      <t>l</t>
    </r>
    <r>
      <rPr>
        <b/>
        <vertAlign val="subscript"/>
        <sz val="11"/>
        <color theme="1"/>
        <rFont val="Calibri"/>
        <family val="2"/>
        <scheme val="minor"/>
      </rPr>
      <t>o</t>
    </r>
    <r>
      <rPr>
        <b/>
        <vertAlign val="superscript"/>
        <sz val="11"/>
        <color theme="1"/>
        <rFont val="Calibri"/>
        <family val="2"/>
        <scheme val="minor"/>
      </rPr>
      <t>-4</t>
    </r>
    <r>
      <rPr>
        <b/>
        <sz val="11"/>
        <color theme="1"/>
        <rFont val="Calibri"/>
        <family val="2"/>
        <scheme val="minor"/>
      </rPr>
      <t xml:space="preserve"> from a 632.8 nm result, probably Kaye &amp; McDaniel. </t>
    </r>
  </si>
  <si>
    <r>
      <t>Normally, this will give you the automatic cumulants Gamma value, a R</t>
    </r>
    <r>
      <rPr>
        <vertAlign val="subscript"/>
        <sz val="11"/>
        <color theme="1"/>
        <rFont val="Calibri"/>
        <family val="2"/>
        <scheme val="minor"/>
      </rPr>
      <t>h</t>
    </r>
    <r>
      <rPr>
        <sz val="11"/>
        <color theme="1"/>
        <rFont val="Calibri"/>
        <family val="2"/>
        <scheme val="minor"/>
      </rPr>
      <t xml:space="preserve"> value,</t>
    </r>
  </si>
  <si>
    <t xml:space="preserve"> and intensities for each APD detector. Copy the intensities.</t>
  </si>
  <si>
    <t xml:space="preserve">Select the NormStandard sheet; paste the intensities from .ASC file into the yellow cells (cursor on Q16). </t>
  </si>
  <si>
    <r>
      <t>normalization standard on the correct P(</t>
    </r>
    <r>
      <rPr>
        <sz val="11"/>
        <color indexed="8"/>
        <rFont val="Symbol"/>
        <family val="1"/>
        <charset val="2"/>
      </rPr>
      <t>q</t>
    </r>
    <r>
      <rPr>
        <sz val="11"/>
        <color theme="1"/>
        <rFont val="Calibri"/>
        <family val="2"/>
        <scheme val="minor"/>
      </rPr>
      <t>) curve. We calculate the curve from the low-order P(</t>
    </r>
    <r>
      <rPr>
        <sz val="11"/>
        <color indexed="8"/>
        <rFont val="Symbol"/>
        <family val="1"/>
        <charset val="2"/>
      </rPr>
      <t>q</t>
    </r>
    <r>
      <rPr>
        <sz val="11"/>
        <color theme="1"/>
        <rFont val="Calibri"/>
        <family val="2"/>
        <scheme val="minor"/>
      </rPr>
      <t xml:space="preserve">) </t>
    </r>
  </si>
  <si>
    <t xml:space="preserve">Read the ALV's front panel display for the laser monitor and all angles by gently pressing </t>
  </si>
  <si>
    <t xml:space="preserve">Repeat the previous 2 steps for the normalization standard's solvent (usually a much weaker scatterer) </t>
  </si>
  <si>
    <t xml:space="preserve"> but paste intensites to cell T16 and type the panel readings into the blue cells of column K. </t>
  </si>
  <si>
    <r>
      <t>You can enter the solute's R</t>
    </r>
    <r>
      <rPr>
        <vertAlign val="subscript"/>
        <sz val="11"/>
        <color theme="1"/>
        <rFont val="Calibri"/>
        <family val="2"/>
        <scheme val="minor"/>
      </rPr>
      <t>h</t>
    </r>
    <r>
      <rPr>
        <sz val="11"/>
        <color theme="1"/>
        <rFont val="Calibri"/>
        <family val="2"/>
        <scheme val="minor"/>
      </rPr>
      <t xml:space="preserve"> value from DLS in cell J7; a DLS-based R</t>
    </r>
    <r>
      <rPr>
        <vertAlign val="subscript"/>
        <sz val="11"/>
        <color theme="1"/>
        <rFont val="Calibri"/>
        <family val="2"/>
        <scheme val="minor"/>
      </rPr>
      <t>g</t>
    </r>
    <r>
      <rPr>
        <sz val="11"/>
        <color theme="1"/>
        <rFont val="Calibri"/>
        <family val="2"/>
        <scheme val="minor"/>
      </rPr>
      <t xml:space="preserve"> estimate will be </t>
    </r>
  </si>
  <si>
    <r>
      <t>calculated automatically from a sphere model, along with comparisons to wavelength and the P(</t>
    </r>
    <r>
      <rPr>
        <sz val="11"/>
        <color theme="1"/>
        <rFont val="Symbol"/>
        <family val="1"/>
        <charset val="2"/>
      </rPr>
      <t>q</t>
    </r>
    <r>
      <rPr>
        <sz val="11"/>
        <color theme="1"/>
        <rFont val="Calibri"/>
        <family val="2"/>
        <scheme val="minor"/>
      </rPr>
      <t xml:space="preserve">) estimate at max angle;  </t>
    </r>
  </si>
  <si>
    <t>This assertion is developed in a J. Chem. Ed. Article: (see: https://pubs.acs.org/doi/abs/10.1021/ed076p1534 ).</t>
  </si>
  <si>
    <t xml:space="preserve">The equations and figure below come from the Macromolecular Study </t>
  </si>
  <si>
    <t xml:space="preserve">Group's HowTo: https://macro.lsu.edu/HowTo/guide/guide.doc </t>
  </si>
  <si>
    <t xml:space="preserve">In a good GUI language (e.g., Visual C) it is easy to flag users when data is not updated or omitted.  </t>
  </si>
  <si>
    <t xml:space="preserve">See the Parameters worksheet for informaton about choosing the </t>
  </si>
  <si>
    <t>numeric values to use for the Raylegh factor standard, usually toluene.</t>
  </si>
  <si>
    <t xml:space="preserve">The value in B8 is not used; for Toluene, enter the </t>
  </si>
  <si>
    <t>value from cells N11 - N15 to cell G3.</t>
  </si>
  <si>
    <t>Slope</t>
  </si>
  <si>
    <t>All points SSE--&gt;</t>
  </si>
  <si>
    <t>ALV APD points SSE--&gt;</t>
  </si>
  <si>
    <t>Wyatt Diode SSE--&gt;</t>
  </si>
  <si>
    <r>
      <t>Model-predicted Kc/Excess Rayleigh factor in mol.g</t>
    </r>
    <r>
      <rPr>
        <b/>
        <vertAlign val="superscript"/>
        <sz val="11"/>
        <color theme="1"/>
        <rFont val="Calibri"/>
        <family val="2"/>
        <scheme val="minor"/>
      </rPr>
      <t>-1</t>
    </r>
  </si>
  <si>
    <t>Model parameters</t>
  </si>
  <si>
    <r>
      <t>g.mol</t>
    </r>
    <r>
      <rPr>
        <b/>
        <vertAlign val="superscript"/>
        <sz val="11"/>
        <color theme="1"/>
        <rFont val="Calibri"/>
        <family val="2"/>
        <scheme val="minor"/>
      </rPr>
      <t>-1</t>
    </r>
  </si>
  <si>
    <r>
      <t>mL.mol.g</t>
    </r>
    <r>
      <rPr>
        <b/>
        <vertAlign val="superscript"/>
        <sz val="11"/>
        <color theme="1"/>
        <rFont val="Calibri"/>
        <family val="2"/>
        <scheme val="minor"/>
      </rPr>
      <t>-2</t>
    </r>
  </si>
  <si>
    <r>
      <t>A</t>
    </r>
    <r>
      <rPr>
        <b/>
        <vertAlign val="subscript"/>
        <sz val="11"/>
        <color theme="1"/>
        <rFont val="Calibri"/>
        <family val="2"/>
        <scheme val="minor"/>
      </rPr>
      <t>2</t>
    </r>
  </si>
  <si>
    <r>
      <t>R</t>
    </r>
    <r>
      <rPr>
        <b/>
        <vertAlign val="subscript"/>
        <sz val="11"/>
        <color theme="1"/>
        <rFont val="Calibri"/>
        <family val="2"/>
        <scheme val="minor"/>
      </rPr>
      <t>g</t>
    </r>
  </si>
  <si>
    <t>cm</t>
  </si>
  <si>
    <t>Wyatt Jumpers</t>
  </si>
  <si>
    <t>100X</t>
  </si>
  <si>
    <t>PS pellets</t>
  </si>
  <si>
    <t>Brij</t>
  </si>
  <si>
    <t>Left (x1)</t>
  </si>
  <si>
    <t>Average</t>
  </si>
  <si>
    <t>StDev</t>
  </si>
  <si>
    <t>%Stdev</t>
  </si>
  <si>
    <t>n</t>
  </si>
  <si>
    <t xml:space="preserve">The idea is to use something small that nevertheless scatters a lot, well above solvent level and any </t>
  </si>
  <si>
    <t>More accurate readings can be obtained by collecting data using the Astra software (requires Win98 for our old version).</t>
  </si>
  <si>
    <r>
      <t>expansion, 1-q</t>
    </r>
    <r>
      <rPr>
        <vertAlign val="superscript"/>
        <sz val="11"/>
        <color theme="1"/>
        <rFont val="Calibri"/>
        <family val="2"/>
        <scheme val="minor"/>
      </rPr>
      <t>2</t>
    </r>
    <r>
      <rPr>
        <sz val="11"/>
        <color theme="1"/>
        <rFont val="Calibri"/>
        <family val="2"/>
        <scheme val="minor"/>
      </rPr>
      <t>R</t>
    </r>
    <r>
      <rPr>
        <vertAlign val="subscript"/>
        <sz val="11"/>
        <color theme="1"/>
        <rFont val="Calibri"/>
        <family val="2"/>
        <scheme val="minor"/>
      </rPr>
      <t>g</t>
    </r>
    <r>
      <rPr>
        <vertAlign val="superscript"/>
        <sz val="11"/>
        <color theme="1"/>
        <rFont val="Calibri"/>
        <family val="2"/>
        <scheme val="minor"/>
      </rPr>
      <t>2</t>
    </r>
    <r>
      <rPr>
        <sz val="11"/>
        <color theme="1"/>
        <rFont val="Calibri"/>
        <family val="2"/>
        <scheme val="minor"/>
      </rPr>
      <t>/3. For a true Rayleigh scatterer, the "curve" would be just unity.</t>
    </r>
  </si>
  <si>
    <t>The ALV results are automatically copied to the cells where they belong.</t>
  </si>
  <si>
    <t xml:space="preserve">the red selector button on the Wyatt's front panel. Type the results into the blue cells in column H. </t>
  </si>
  <si>
    <t>(There is a spreadsheet WyattManualReadings to help with averaging the readings, if you like.)</t>
  </si>
  <si>
    <t xml:space="preserve">If you are normalizing on a pure solvent, such as toluene, measure the dark count by blocking the </t>
  </si>
  <si>
    <t xml:space="preserve">laser beam (e.g., black electrical tape on the cell, facing the laser). </t>
  </si>
  <si>
    <r>
      <t>Enter the normalization standard's R</t>
    </r>
    <r>
      <rPr>
        <vertAlign val="subscript"/>
        <sz val="11"/>
        <color indexed="8"/>
        <rFont val="Calibri"/>
        <family val="2"/>
      </rPr>
      <t>h</t>
    </r>
    <r>
      <rPr>
        <sz val="11"/>
        <color theme="1"/>
        <rFont val="Calibri"/>
        <family val="2"/>
        <scheme val="minor"/>
      </rPr>
      <t xml:space="preserve"> value (from .ASC file's automatic cumulant zone or any other analysis) into the K7 cell.</t>
    </r>
  </si>
  <si>
    <t>Select the Conc1 sheet &amp; measure your solution and solvent. For the ALV APD readings, past intensities from the .ASC files in cells O16 or R16, respectively.</t>
  </si>
  <si>
    <r>
      <t>these will tell you whether there is hope of getting a useful R</t>
    </r>
    <r>
      <rPr>
        <vertAlign val="subscript"/>
        <sz val="11"/>
        <color theme="1"/>
        <rFont val="Calibri"/>
        <family val="2"/>
        <scheme val="minor"/>
      </rPr>
      <t>g</t>
    </r>
    <r>
      <rPr>
        <sz val="11"/>
        <color theme="1"/>
        <rFont val="Calibri"/>
        <family val="2"/>
        <scheme val="minor"/>
      </rPr>
      <t xml:space="preserve"> from this sample. </t>
    </r>
  </si>
  <si>
    <t>If there is hope, a Guinier plot or similar should give you the apparent SLS size for that concentration.</t>
  </si>
  <si>
    <t>One thing: you do not have to remeasure the solvent; those cells are populated from the Conc1 sheet</t>
  </si>
  <si>
    <t>That's a little trickier in VB for Excel, but probably doable. Data entry enforcement is just not done here at all.</t>
  </si>
  <si>
    <t>1. Perform normalization as usual (or inherit a previous result by making a new copy of SMASH)</t>
  </si>
  <si>
    <t xml:space="preserve">     it may help to average several readings (See WyattManualReadings.xlsx but in teaching situations, several people </t>
  </si>
  <si>
    <t>Should they? Yes...here is how 4.0 and 4.17 exponents differ.</t>
  </si>
  <si>
    <t xml:space="preserve">Molecular weight measurements are not often more accurate than 4.33%, so the exponent dfference </t>
  </si>
  <si>
    <t xml:space="preserve">arsing from refractive index dspersion is not terribly important. </t>
  </si>
  <si>
    <t>09:20:05</t>
  </si>
  <si>
    <t>06-20-2024</t>
  </si>
  <si>
    <t>09:50:15</t>
  </si>
  <si>
    <t>All</t>
  </si>
  <si>
    <t xml:space="preserve">&lt;&lt;&lt; This is taking everything, even the bad angles. </t>
  </si>
  <si>
    <t>(Wyatt: 1-3, 7, 9, 11, 15, 17)</t>
  </si>
  <si>
    <t>(Fiber/APD: 5,6,8,10,12,14,16,18)</t>
  </si>
  <si>
    <t>All angles, even bad</t>
  </si>
  <si>
    <t>All Wyatt</t>
  </si>
  <si>
    <t>All Fiber/APD</t>
  </si>
  <si>
    <t>SSE Targets (scaled)</t>
  </si>
  <si>
    <t>(Wyatt: 2, 3, 7, 9, 11, 15, 17)</t>
  </si>
  <si>
    <r>
      <t>All Wyatt except 22.5</t>
    </r>
    <r>
      <rPr>
        <b/>
        <vertAlign val="superscript"/>
        <sz val="11"/>
        <color theme="1"/>
        <rFont val="Calibri"/>
        <family val="2"/>
        <scheme val="minor"/>
      </rPr>
      <t>o</t>
    </r>
  </si>
  <si>
    <r>
      <t>All except 22.5</t>
    </r>
    <r>
      <rPr>
        <b/>
        <vertAlign val="superscript"/>
        <sz val="11"/>
        <color theme="1"/>
        <rFont val="Calibri"/>
        <family val="2"/>
        <scheme val="minor"/>
      </rPr>
      <t>o</t>
    </r>
    <r>
      <rPr>
        <b/>
        <sz val="11"/>
        <color theme="1"/>
        <rFont val="Calibri"/>
        <family val="2"/>
        <scheme val="minor"/>
      </rPr>
      <t xml:space="preserve"> and 81</t>
    </r>
    <r>
      <rPr>
        <b/>
        <vertAlign val="superscript"/>
        <sz val="11"/>
        <color theme="1"/>
        <rFont val="Calibri"/>
        <family val="2"/>
        <scheme val="minor"/>
      </rPr>
      <t>o</t>
    </r>
  </si>
  <si>
    <t>SE x 100 --&gt;</t>
  </si>
  <si>
    <t xml:space="preserve">  </t>
  </si>
  <si>
    <t xml:space="preserve">M </t>
  </si>
  <si>
    <t>There are extensions to facilitate the gathering of data for a Zimm plot (intensity vs q and c).</t>
  </si>
  <si>
    <t>Replace with true concentrations if such data exist.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</si>
</sst>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164" formatCode="0.0000000"/>
    <numFmt numFmtId="165" formatCode="0.000"/>
    <numFmt numFmtId="166" formatCode="0.0"/>
    <numFmt numFmtId="167" formatCode="0.000E+00"/>
    <numFmt numFmtId="168" formatCode="0.0000"/>
    <numFmt numFmtId="169" formatCode="[$-409]mmmm\ d\,\ yyyy;@"/>
    <numFmt numFmtId="170" formatCode="[$-F400]h:mm:ss\ AM/PM"/>
    <numFmt numFmtId="171" formatCode="m\-d\-yyyy"/>
    <numFmt numFmtId="172" formatCode="0.000000"/>
  </numFmts>
  <fonts count="54">
    <font>
      <sz val="11"/>
      <color theme="1"/>
      <name val="Calibri"/>
      <family val="2"/>
      <scheme val="minor"/>
    </font>
    <font>
      <b/>
      <sz val="11"/>
      <color indexed="8"/>
      <name val="Calibri"/>
      <family val="2"/>
    </font>
    <font>
      <sz val="11"/>
      <color indexed="8"/>
      <name val="Symbol"/>
      <family val="1"/>
      <charset val="2"/>
    </font>
    <font>
      <b/>
      <sz val="11"/>
      <color indexed="8"/>
      <name val="Symbol"/>
      <family val="1"/>
      <charset val="2"/>
    </font>
    <font>
      <vertAlign val="subscript"/>
      <sz val="11"/>
      <color indexed="8"/>
      <name val="Symbol"/>
      <family val="1"/>
      <charset val="2"/>
    </font>
    <font>
      <vertAlign val="subscript"/>
      <sz val="11"/>
      <color indexed="8"/>
      <name val="Calibri"/>
      <family val="2"/>
    </font>
    <font>
      <vertAlign val="superscript"/>
      <sz val="11"/>
      <color indexed="8"/>
      <name val="Calibri"/>
      <family val="2"/>
    </font>
    <font>
      <b/>
      <sz val="11"/>
      <color indexed="22"/>
      <name val="Calibri"/>
      <family val="2"/>
    </font>
    <font>
      <b/>
      <u/>
      <sz val="11"/>
      <color indexed="43"/>
      <name val="Calibri"/>
      <family val="2"/>
    </font>
    <font>
      <b/>
      <sz val="11"/>
      <color indexed="8"/>
      <name val="script"/>
    </font>
    <font>
      <b/>
      <sz val="11"/>
      <color indexed="8"/>
      <name val="Script MT Bold"/>
      <family val="4"/>
    </font>
    <font>
      <sz val="8"/>
      <name val="Calibri"/>
      <family val="2"/>
    </font>
    <font>
      <vertAlign val="subscript"/>
      <sz val="11"/>
      <color theme="1"/>
      <name val="Calibri"/>
      <family val="2"/>
      <scheme val="minor"/>
    </font>
    <font>
      <vertAlign val="superscript"/>
      <sz val="11"/>
      <color theme="1"/>
      <name val="Calibri"/>
      <family val="2"/>
      <scheme val="minor"/>
    </font>
    <font>
      <b/>
      <sz val="11"/>
      <color theme="1"/>
      <name val="Calibri"/>
      <family val="2"/>
      <scheme val="minor"/>
    </font>
    <font>
      <b/>
      <vertAlign val="superscript"/>
      <sz val="11"/>
      <color indexed="8"/>
      <name val="Calibri"/>
      <family val="2"/>
    </font>
    <font>
      <b/>
      <sz val="11"/>
      <color theme="1"/>
      <name val="Symbol"/>
      <family val="1"/>
      <charset val="2"/>
    </font>
    <font>
      <b/>
      <sz val="11"/>
      <color theme="1"/>
      <name val="Calibri"/>
      <family val="1"/>
      <charset val="2"/>
      <scheme val="minor"/>
    </font>
    <font>
      <sz val="9"/>
      <color indexed="81"/>
      <name val="Tahoma"/>
      <family val="2"/>
    </font>
    <font>
      <b/>
      <sz val="9"/>
      <color indexed="81"/>
      <name val="Tahoma"/>
      <family val="2"/>
    </font>
    <font>
      <b/>
      <sz val="11"/>
      <color rgb="FFFFFF99"/>
      <name val="Calibri"/>
      <family val="2"/>
    </font>
    <font>
      <b/>
      <u/>
      <sz val="11"/>
      <color rgb="FFFFFF99"/>
      <name val="Calibri"/>
      <family val="2"/>
    </font>
    <font>
      <sz val="12"/>
      <color theme="1"/>
      <name val="Times New Roman"/>
      <family val="1"/>
    </font>
    <font>
      <i/>
      <sz val="12"/>
      <color rgb="FF0000FF"/>
      <name val="Times New Roman"/>
      <family val="1"/>
    </font>
    <font>
      <b/>
      <sz val="12"/>
      <color theme="1"/>
      <name val="Calibri"/>
      <family val="2"/>
      <scheme val="minor"/>
    </font>
    <font>
      <i/>
      <sz val="12"/>
      <color rgb="FF0000FF"/>
      <name val="Symbol"/>
      <family val="1"/>
      <charset val="2"/>
    </font>
    <font>
      <sz val="10"/>
      <color theme="1"/>
      <name val="Calibri"/>
      <family val="2"/>
      <scheme val="minor"/>
    </font>
    <font>
      <sz val="11"/>
      <color theme="1"/>
      <name val="Symbol"/>
      <family val="1"/>
      <charset val="2"/>
    </font>
    <font>
      <sz val="10"/>
      <color theme="1"/>
      <name val="Calibri "/>
    </font>
    <font>
      <sz val="10"/>
      <color theme="1"/>
      <name val="Symbol"/>
      <family val="1"/>
      <charset val="2"/>
    </font>
    <font>
      <sz val="11"/>
      <color theme="1"/>
      <name val="Colonna MT"/>
      <family val="5"/>
    </font>
    <font>
      <sz val="11"/>
      <color theme="1"/>
      <name val="Calibri"/>
      <family val="5"/>
      <scheme val="minor"/>
    </font>
    <font>
      <vertAlign val="superscript"/>
      <sz val="10"/>
      <color theme="1"/>
      <name val="Calibri"/>
      <family val="2"/>
      <scheme val="minor"/>
    </font>
    <font>
      <vertAlign val="subscript"/>
      <sz val="11"/>
      <color theme="1"/>
      <name val="Calibri  "/>
    </font>
    <font>
      <sz val="11"/>
      <color theme="1"/>
      <name val="Calibri  "/>
    </font>
    <font>
      <sz val="9"/>
      <color rgb="FF222222"/>
      <name val="Arial"/>
      <family val="2"/>
    </font>
    <font>
      <i/>
      <sz val="9"/>
      <color rgb="FF222222"/>
      <name val="Arial"/>
      <family val="2"/>
    </font>
    <font>
      <b/>
      <sz val="9"/>
      <color rgb="FF222222"/>
      <name val="Arial"/>
      <family val="2"/>
    </font>
    <font>
      <sz val="10"/>
      <color theme="1"/>
      <name val="Calibri"/>
      <family val="1"/>
      <charset val="2"/>
      <scheme val="minor"/>
    </font>
    <font>
      <vertAlign val="subscript"/>
      <sz val="10"/>
      <color theme="1"/>
      <name val="Symbol"/>
      <family val="1"/>
      <charset val="2"/>
    </font>
    <font>
      <sz val="11"/>
      <color rgb="FF000000"/>
      <name val="Calibri"/>
      <family val="2"/>
    </font>
    <font>
      <sz val="11"/>
      <color rgb="FFFFFF99"/>
      <name val="Calibri"/>
      <family val="2"/>
      <scheme val="minor"/>
    </font>
    <font>
      <b/>
      <vertAlign val="superscript"/>
      <sz val="11"/>
      <color theme="1"/>
      <name val="Calibri"/>
      <family val="2"/>
      <scheme val="minor"/>
    </font>
    <font>
      <b/>
      <vertAlign val="subscript"/>
      <sz val="11"/>
      <color theme="1"/>
      <name val="Calibri"/>
      <family val="2"/>
      <scheme val="minor"/>
    </font>
    <font>
      <sz val="11"/>
      <color rgb="FFFF0000"/>
      <name val="Calibri"/>
      <family val="2"/>
      <scheme val="minor"/>
    </font>
    <font>
      <b/>
      <sz val="11"/>
      <color theme="1"/>
      <name val="Calibri"/>
      <family val="5"/>
      <scheme val="minor"/>
    </font>
    <font>
      <b/>
      <sz val="14"/>
      <color theme="1"/>
      <name val="Colonna MT"/>
      <family val="5"/>
    </font>
    <font>
      <b/>
      <vertAlign val="subscript"/>
      <sz val="14"/>
      <color theme="1"/>
      <name val="Colonna MT"/>
      <family val="5"/>
    </font>
    <font>
      <b/>
      <vertAlign val="subscript"/>
      <sz val="11"/>
      <color theme="1"/>
      <name val="Symbol"/>
      <family val="1"/>
      <charset val="2"/>
    </font>
    <font>
      <b/>
      <sz val="14"/>
      <color theme="1"/>
      <name val="Calibri"/>
      <family val="2"/>
      <scheme val="minor"/>
    </font>
    <font>
      <b/>
      <sz val="11"/>
      <name val="Calibri"/>
      <family val="2"/>
    </font>
    <font>
      <sz val="11"/>
      <color rgb="FF00B050"/>
      <name val="Calibri"/>
      <family val="2"/>
      <scheme val="minor"/>
    </font>
    <font>
      <sz val="12"/>
      <color rgb="FF00B050"/>
      <name val="Times New Roman"/>
      <family val="1"/>
    </font>
    <font>
      <b/>
      <u/>
      <sz val="12"/>
      <color theme="1"/>
      <name val="Calibri"/>
      <family val="2"/>
      <scheme val="minor"/>
    </font>
  </fonts>
  <fills count="24">
    <fill>
      <patternFill patternType="none"/>
    </fill>
    <fill>
      <patternFill patternType="gray125"/>
    </fill>
    <fill>
      <patternFill patternType="solid">
        <fgColor indexed="44"/>
        <bgColor indexed="64"/>
      </patternFill>
    </fill>
    <fill>
      <patternFill patternType="solid">
        <fgColor indexed="43"/>
        <bgColor indexed="64"/>
      </patternFill>
    </fill>
    <fill>
      <patternFill patternType="solid">
        <fgColor indexed="8"/>
        <bgColor indexed="64"/>
      </patternFill>
    </fill>
    <fill>
      <patternFill patternType="solid">
        <fgColor indexed="57"/>
        <bgColor indexed="64"/>
      </patternFill>
    </fill>
    <fill>
      <patternFill patternType="solid">
        <fgColor indexed="10"/>
        <bgColor indexed="64"/>
      </patternFill>
    </fill>
    <fill>
      <patternFill patternType="solid">
        <fgColor indexed="9"/>
        <bgColor indexed="64"/>
      </patternFill>
    </fill>
    <fill>
      <patternFill patternType="solid">
        <fgColor indexed="40"/>
        <bgColor indexed="64"/>
      </patternFill>
    </fill>
    <fill>
      <patternFill patternType="solid">
        <fgColor indexed="50"/>
        <bgColor indexed="64"/>
      </patternFill>
    </fill>
    <fill>
      <patternFill patternType="solid">
        <fgColor rgb="FF92D050"/>
        <bgColor indexed="64"/>
      </patternFill>
    </fill>
    <fill>
      <patternFill patternType="solid">
        <fgColor rgb="FFFF0000"/>
        <bgColor indexed="64"/>
      </patternFill>
    </fill>
    <fill>
      <patternFill patternType="solid">
        <fgColor rgb="FFFFFFCC"/>
        <bgColor indexed="64"/>
      </patternFill>
    </fill>
    <fill>
      <patternFill patternType="solid">
        <fgColor theme="4" tint="0.39997558519241921"/>
        <bgColor indexed="64"/>
      </patternFill>
    </fill>
    <fill>
      <patternFill patternType="solid">
        <fgColor rgb="FFFFFF99"/>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9"/>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00"/>
        <bgColor indexed="64"/>
      </patternFill>
    </fill>
    <fill>
      <patternFill patternType="solid">
        <fgColor rgb="FFFF99CC"/>
        <bgColor indexed="64"/>
      </patternFill>
    </fill>
    <fill>
      <patternFill patternType="solid">
        <fgColor theme="4" tint="0.59999389629810485"/>
        <bgColor indexed="64"/>
      </patternFill>
    </fill>
  </fills>
  <borders count="42">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right style="thin">
        <color indexed="64"/>
      </right>
      <top/>
      <bottom/>
      <diagonal/>
    </border>
    <border>
      <left/>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s>
  <cellStyleXfs count="1">
    <xf numFmtId="0" fontId="0" fillId="0" borderId="0"/>
  </cellStyleXfs>
  <cellXfs count="297">
    <xf numFmtId="0" fontId="0" fillId="0" borderId="0" xfId="0"/>
    <xf numFmtId="0" fontId="0" fillId="0" borderId="1" xfId="0" applyBorder="1"/>
    <xf numFmtId="0" fontId="0" fillId="2" borderId="1" xfId="0" applyFill="1" applyBorder="1"/>
    <xf numFmtId="0" fontId="0" fillId="3" borderId="1" xfId="0" applyFill="1" applyBorder="1"/>
    <xf numFmtId="0" fontId="0" fillId="4" borderId="1" xfId="0" applyFill="1" applyBorder="1"/>
    <xf numFmtId="0" fontId="0" fillId="0" borderId="1" xfId="0" applyBorder="1" applyAlignment="1">
      <alignment horizontal="center"/>
    </xf>
    <xf numFmtId="0" fontId="1" fillId="0" borderId="1" xfId="0" applyFont="1" applyBorder="1"/>
    <xf numFmtId="0" fontId="1" fillId="0" borderId="1" xfId="0" applyFont="1" applyBorder="1" applyAlignment="1">
      <alignment horizontal="center"/>
    </xf>
    <xf numFmtId="165" fontId="0" fillId="0" borderId="1" xfId="0" applyNumberFormat="1" applyBorder="1" applyAlignment="1">
      <alignment horizontal="center"/>
    </xf>
    <xf numFmtId="2" fontId="0" fillId="0" borderId="1" xfId="0" applyNumberFormat="1" applyBorder="1" applyAlignment="1">
      <alignment horizontal="center"/>
    </xf>
    <xf numFmtId="1" fontId="0" fillId="0" borderId="1" xfId="0" applyNumberFormat="1" applyBorder="1" applyAlignment="1">
      <alignment horizontal="center"/>
    </xf>
    <xf numFmtId="0" fontId="1" fillId="0" borderId="0" xfId="0" applyFont="1"/>
    <xf numFmtId="0" fontId="0" fillId="0" borderId="0" xfId="0" applyFont="1"/>
    <xf numFmtId="0" fontId="0" fillId="0" borderId="2" xfId="0" applyBorder="1"/>
    <xf numFmtId="0" fontId="0" fillId="0" borderId="3" xfId="0" applyBorder="1"/>
    <xf numFmtId="0" fontId="1" fillId="0" borderId="3" xfId="0" applyFont="1" applyBorder="1"/>
    <xf numFmtId="0" fontId="1" fillId="0" borderId="4" xfId="0" applyFont="1" applyBorder="1"/>
    <xf numFmtId="0" fontId="1" fillId="0" borderId="2" xfId="0" applyFont="1" applyBorder="1"/>
    <xf numFmtId="0" fontId="0" fillId="0" borderId="5" xfId="0" applyBorder="1"/>
    <xf numFmtId="0" fontId="0" fillId="3" borderId="6" xfId="0" applyFill="1" applyBorder="1"/>
    <xf numFmtId="0" fontId="0" fillId="3" borderId="7" xfId="0" applyFill="1" applyBorder="1"/>
    <xf numFmtId="0" fontId="0" fillId="3" borderId="8" xfId="0" applyFill="1" applyBorder="1"/>
    <xf numFmtId="0" fontId="0" fillId="3" borderId="9" xfId="0" applyFill="1" applyBorder="1"/>
    <xf numFmtId="0" fontId="0" fillId="0" borderId="10" xfId="0" applyFill="1" applyBorder="1" applyAlignment="1">
      <alignment horizontal="center"/>
    </xf>
    <xf numFmtId="0" fontId="1" fillId="0" borderId="1" xfId="0" quotePrefix="1" applyFont="1" applyBorder="1" applyAlignment="1">
      <alignment horizontal="center"/>
    </xf>
    <xf numFmtId="164" fontId="0" fillId="2" borderId="1" xfId="0" applyNumberFormat="1" applyFill="1" applyBorder="1"/>
    <xf numFmtId="164" fontId="0" fillId="3" borderId="1" xfId="0" applyNumberFormat="1" applyFill="1" applyBorder="1"/>
    <xf numFmtId="0" fontId="7" fillId="5" borderId="11" xfId="0" applyFont="1" applyFill="1" applyBorder="1"/>
    <xf numFmtId="0" fontId="7" fillId="5" borderId="12" xfId="0" applyFont="1" applyFill="1" applyBorder="1"/>
    <xf numFmtId="0" fontId="7" fillId="5" borderId="6" xfId="0" applyFont="1" applyFill="1" applyBorder="1"/>
    <xf numFmtId="0" fontId="7" fillId="5" borderId="7" xfId="0" applyFont="1" applyFill="1" applyBorder="1"/>
    <xf numFmtId="0" fontId="0" fillId="6" borderId="1" xfId="0" applyFill="1" applyBorder="1"/>
    <xf numFmtId="0" fontId="0" fillId="6" borderId="1" xfId="0" quotePrefix="1" applyFill="1" applyBorder="1" applyAlignment="1">
      <alignment horizontal="center"/>
    </xf>
    <xf numFmtId="0" fontId="0" fillId="7" borderId="1" xfId="0" applyFill="1" applyBorder="1"/>
    <xf numFmtId="0" fontId="1" fillId="8" borderId="1" xfId="0" applyFont="1" applyFill="1" applyBorder="1"/>
    <xf numFmtId="0" fontId="0" fillId="8" borderId="1" xfId="0" applyFill="1" applyBorder="1"/>
    <xf numFmtId="0" fontId="1" fillId="0" borderId="2" xfId="0" applyFont="1" applyBorder="1" applyAlignment="1">
      <alignment horizontal="center"/>
    </xf>
    <xf numFmtId="0" fontId="1" fillId="0" borderId="13" xfId="0" applyFont="1" applyBorder="1" applyAlignment="1">
      <alignment horizontal="center"/>
    </xf>
    <xf numFmtId="0" fontId="1" fillId="0" borderId="4" xfId="0" applyFont="1" applyBorder="1" applyAlignment="1">
      <alignment horizontal="center"/>
    </xf>
    <xf numFmtId="0" fontId="0" fillId="0" borderId="0" xfId="0" applyBorder="1"/>
    <xf numFmtId="15" fontId="0" fillId="9" borderId="14" xfId="0" applyNumberFormat="1" applyFill="1" applyBorder="1"/>
    <xf numFmtId="0" fontId="0" fillId="9" borderId="14" xfId="0" applyFill="1" applyBorder="1"/>
    <xf numFmtId="0" fontId="0" fillId="9" borderId="15" xfId="0" applyFill="1" applyBorder="1"/>
    <xf numFmtId="0" fontId="0" fillId="9" borderId="16" xfId="0" applyFill="1" applyBorder="1"/>
    <xf numFmtId="0" fontId="0" fillId="9" borderId="17" xfId="0" applyFill="1" applyBorder="1"/>
    <xf numFmtId="11" fontId="0" fillId="0" borderId="0" xfId="0" applyNumberFormat="1"/>
    <xf numFmtId="0" fontId="0" fillId="0" borderId="0" xfId="0" applyAlignment="1">
      <alignment horizontal="right" vertical="center"/>
    </xf>
    <xf numFmtId="0" fontId="0" fillId="10" borderId="1" xfId="0" applyFill="1" applyBorder="1"/>
    <xf numFmtId="0" fontId="0" fillId="0" borderId="0" xfId="0" applyFill="1" applyBorder="1"/>
    <xf numFmtId="0" fontId="0" fillId="0" borderId="1" xfId="0" applyFill="1" applyBorder="1"/>
    <xf numFmtId="0" fontId="0" fillId="0" borderId="0" xfId="0" applyBorder="1" applyAlignment="1">
      <alignment horizontal="center"/>
    </xf>
    <xf numFmtId="165" fontId="0" fillId="10" borderId="1" xfId="0" applyNumberFormat="1" applyFill="1" applyBorder="1"/>
    <xf numFmtId="166" fontId="0" fillId="10" borderId="1" xfId="0" applyNumberFormat="1" applyFill="1" applyBorder="1"/>
    <xf numFmtId="0" fontId="0" fillId="11" borderId="1" xfId="0" applyFill="1" applyBorder="1" applyAlignment="1">
      <alignment horizontal="center"/>
    </xf>
    <xf numFmtId="0" fontId="0" fillId="11" borderId="1" xfId="0" applyFill="1" applyBorder="1"/>
    <xf numFmtId="0" fontId="1" fillId="0" borderId="0" xfId="0" applyFont="1" applyBorder="1"/>
    <xf numFmtId="0" fontId="0" fillId="0" borderId="2" xfId="0" applyBorder="1" applyAlignment="1">
      <alignment horizontal="center"/>
    </xf>
    <xf numFmtId="0" fontId="0" fillId="0" borderId="0" xfId="0" applyFill="1" applyBorder="1" applyAlignment="1">
      <alignment horizontal="center"/>
    </xf>
    <xf numFmtId="0" fontId="0" fillId="11" borderId="1" xfId="0" quotePrefix="1" applyFill="1" applyBorder="1" applyAlignment="1">
      <alignment horizontal="center"/>
    </xf>
    <xf numFmtId="0" fontId="0" fillId="12" borderId="1" xfId="0" applyFill="1" applyBorder="1" applyAlignment="1">
      <alignment horizontal="center"/>
    </xf>
    <xf numFmtId="0" fontId="0" fillId="13" borderId="1" xfId="0" applyFill="1" applyBorder="1" applyAlignment="1">
      <alignment horizontal="center"/>
    </xf>
    <xf numFmtId="0" fontId="0" fillId="13" borderId="4" xfId="0" applyFill="1" applyBorder="1" applyAlignment="1">
      <alignment horizontal="center"/>
    </xf>
    <xf numFmtId="0" fontId="0" fillId="14" borderId="1" xfId="0" applyFill="1" applyBorder="1" applyAlignment="1">
      <alignment horizontal="center"/>
    </xf>
    <xf numFmtId="0" fontId="0" fillId="14" borderId="4" xfId="0" applyFill="1" applyBorder="1" applyAlignment="1">
      <alignment horizontal="center"/>
    </xf>
    <xf numFmtId="164" fontId="0" fillId="14" borderId="1" xfId="0" applyNumberFormat="1" applyFill="1" applyBorder="1"/>
    <xf numFmtId="0" fontId="14" fillId="0" borderId="1" xfId="0" applyFont="1" applyBorder="1"/>
    <xf numFmtId="0" fontId="14" fillId="12" borderId="1" xfId="0" applyFont="1" applyFill="1" applyBorder="1" applyAlignment="1">
      <alignment horizontal="center"/>
    </xf>
    <xf numFmtId="0" fontId="14" fillId="0" borderId="0" xfId="0" applyFont="1"/>
    <xf numFmtId="0" fontId="14" fillId="0" borderId="0" xfId="0" applyFont="1" applyAlignment="1">
      <alignment horizontal="right"/>
    </xf>
    <xf numFmtId="0" fontId="17" fillId="12" borderId="1" xfId="0" applyFont="1" applyFill="1" applyBorder="1" applyAlignment="1">
      <alignment horizontal="center"/>
    </xf>
    <xf numFmtId="0" fontId="0" fillId="0" borderId="18" xfId="0" applyBorder="1"/>
    <xf numFmtId="0" fontId="14" fillId="0" borderId="19" xfId="0" applyFont="1" applyBorder="1"/>
    <xf numFmtId="0" fontId="14" fillId="13" borderId="1" xfId="0" applyFont="1" applyFill="1" applyBorder="1" applyAlignment="1">
      <alignment horizontal="center"/>
    </xf>
    <xf numFmtId="0" fontId="14" fillId="13" borderId="1" xfId="0" applyFont="1" applyFill="1" applyBorder="1"/>
    <xf numFmtId="0" fontId="0" fillId="12" borderId="1" xfId="0" applyFill="1" applyBorder="1" applyAlignment="1">
      <alignment horizontal="left"/>
    </xf>
    <xf numFmtId="0" fontId="0" fillId="12" borderId="20" xfId="0" applyFill="1" applyBorder="1" applyAlignment="1">
      <alignment horizontal="left"/>
    </xf>
    <xf numFmtId="0" fontId="0" fillId="12" borderId="21" xfId="0" applyFill="1" applyBorder="1" applyAlignment="1">
      <alignment horizontal="left"/>
    </xf>
    <xf numFmtId="0" fontId="0" fillId="12" borderId="22" xfId="0" applyFill="1" applyBorder="1" applyAlignment="1">
      <alignment horizontal="left"/>
    </xf>
    <xf numFmtId="0" fontId="0" fillId="12" borderId="23" xfId="0" applyFill="1" applyBorder="1" applyAlignment="1">
      <alignment horizontal="left"/>
    </xf>
    <xf numFmtId="0" fontId="0" fillId="12" borderId="24" xfId="0" applyFill="1" applyBorder="1" applyAlignment="1">
      <alignment horizontal="left"/>
    </xf>
    <xf numFmtId="0" fontId="0" fillId="12" borderId="25" xfId="0" applyFill="1" applyBorder="1" applyAlignment="1">
      <alignment horizontal="left"/>
    </xf>
    <xf numFmtId="0" fontId="0" fillId="12" borderId="26" xfId="0" applyFill="1" applyBorder="1" applyAlignment="1">
      <alignment horizontal="left"/>
    </xf>
    <xf numFmtId="0" fontId="0" fillId="12" borderId="27" xfId="0" applyFill="1" applyBorder="1" applyAlignment="1">
      <alignment horizontal="left"/>
    </xf>
    <xf numFmtId="11" fontId="0" fillId="13" borderId="1" xfId="0" applyNumberFormat="1" applyFill="1" applyBorder="1"/>
    <xf numFmtId="2" fontId="0" fillId="13" borderId="1" xfId="0" applyNumberFormat="1" applyFill="1" applyBorder="1"/>
    <xf numFmtId="0" fontId="0" fillId="13" borderId="20" xfId="0" applyFill="1" applyBorder="1"/>
    <xf numFmtId="0" fontId="0" fillId="13" borderId="21" xfId="0" applyFill="1" applyBorder="1"/>
    <xf numFmtId="0" fontId="0" fillId="13" borderId="12" xfId="0" applyFill="1" applyBorder="1"/>
    <xf numFmtId="0" fontId="0" fillId="13" borderId="23" xfId="0" quotePrefix="1" applyFill="1" applyBorder="1"/>
    <xf numFmtId="0" fontId="0" fillId="13" borderId="7" xfId="0" applyFill="1" applyBorder="1"/>
    <xf numFmtId="0" fontId="0" fillId="13" borderId="23" xfId="0" applyFill="1" applyBorder="1"/>
    <xf numFmtId="0" fontId="0" fillId="13" borderId="24" xfId="0" applyFill="1" applyBorder="1"/>
    <xf numFmtId="0" fontId="0" fillId="13" borderId="25" xfId="0" applyFill="1" applyBorder="1"/>
    <xf numFmtId="0" fontId="0" fillId="13" borderId="26" xfId="0" applyFill="1" applyBorder="1"/>
    <xf numFmtId="0" fontId="0" fillId="13" borderId="27" xfId="0" applyFill="1" applyBorder="1"/>
    <xf numFmtId="0" fontId="0" fillId="13" borderId="28" xfId="0" applyFill="1" applyBorder="1"/>
    <xf numFmtId="0" fontId="0" fillId="12" borderId="12" xfId="0" applyFill="1" applyBorder="1" applyAlignment="1">
      <alignment horizontal="left"/>
    </xf>
    <xf numFmtId="0" fontId="0" fillId="12" borderId="31" xfId="0" applyFill="1" applyBorder="1" applyAlignment="1">
      <alignment horizontal="left"/>
    </xf>
    <xf numFmtId="0" fontId="14" fillId="12" borderId="30" xfId="0" applyFont="1" applyFill="1" applyBorder="1" applyAlignment="1">
      <alignment horizontal="left"/>
    </xf>
    <xf numFmtId="0" fontId="14" fillId="13" borderId="11" xfId="0" applyFont="1" applyFill="1" applyBorder="1"/>
    <xf numFmtId="0" fontId="0" fillId="15" borderId="28" xfId="0" applyFill="1" applyBorder="1"/>
    <xf numFmtId="0" fontId="0" fillId="15" borderId="12" xfId="0" applyFill="1" applyBorder="1"/>
    <xf numFmtId="0" fontId="0" fillId="15" borderId="23" xfId="0" applyFill="1" applyBorder="1"/>
    <xf numFmtId="0" fontId="0" fillId="15" borderId="23" xfId="0" quotePrefix="1" applyFill="1" applyBorder="1"/>
    <xf numFmtId="11" fontId="0" fillId="15" borderId="1" xfId="0" applyNumberFormat="1" applyFill="1" applyBorder="1"/>
    <xf numFmtId="2" fontId="0" fillId="15" borderId="1" xfId="0" applyNumberFormat="1" applyFill="1" applyBorder="1"/>
    <xf numFmtId="0" fontId="0" fillId="15" borderId="24" xfId="0" applyFill="1" applyBorder="1"/>
    <xf numFmtId="0" fontId="0" fillId="15" borderId="25" xfId="0" applyFill="1" applyBorder="1"/>
    <xf numFmtId="0" fontId="0" fillId="15" borderId="26" xfId="0" applyFill="1" applyBorder="1"/>
    <xf numFmtId="0" fontId="0" fillId="15" borderId="27" xfId="0" applyFill="1" applyBorder="1"/>
    <xf numFmtId="0" fontId="0" fillId="15" borderId="20" xfId="0" applyFill="1" applyBorder="1"/>
    <xf numFmtId="0" fontId="0" fillId="15" borderId="21" xfId="0" applyFill="1" applyBorder="1"/>
    <xf numFmtId="0" fontId="14" fillId="15" borderId="11" xfId="0" applyFont="1" applyFill="1" applyBorder="1"/>
    <xf numFmtId="0" fontId="0" fillId="15" borderId="22" xfId="0" applyFill="1" applyBorder="1"/>
    <xf numFmtId="0" fontId="14" fillId="0" borderId="21" xfId="0" applyFont="1" applyBorder="1" applyAlignment="1">
      <alignment horizontal="center"/>
    </xf>
    <xf numFmtId="0" fontId="14" fillId="0" borderId="22" xfId="0" applyFont="1" applyBorder="1" applyAlignment="1">
      <alignment horizontal="center"/>
    </xf>
    <xf numFmtId="0" fontId="0" fillId="13" borderId="23" xfId="0" applyFill="1" applyBorder="1" applyAlignment="1">
      <alignment horizontal="center"/>
    </xf>
    <xf numFmtId="0" fontId="0" fillId="13" borderId="29" xfId="0" applyFill="1" applyBorder="1" applyAlignment="1">
      <alignment horizontal="center"/>
    </xf>
    <xf numFmtId="0" fontId="0" fillId="14" borderId="23" xfId="0" applyFill="1" applyBorder="1" applyAlignment="1">
      <alignment horizontal="center"/>
    </xf>
    <xf numFmtId="0" fontId="0" fillId="14" borderId="29" xfId="0" applyFill="1" applyBorder="1" applyAlignment="1">
      <alignment horizontal="center"/>
    </xf>
    <xf numFmtId="0" fontId="0" fillId="14" borderId="25" xfId="0" applyFill="1" applyBorder="1" applyAlignment="1">
      <alignment horizontal="center"/>
    </xf>
    <xf numFmtId="0" fontId="0" fillId="14" borderId="26" xfId="0" applyFill="1" applyBorder="1" applyAlignment="1">
      <alignment horizontal="center"/>
    </xf>
    <xf numFmtId="0" fontId="0" fillId="14" borderId="32" xfId="0" applyFill="1" applyBorder="1" applyAlignment="1">
      <alignment horizontal="center"/>
    </xf>
    <xf numFmtId="0" fontId="0" fillId="14" borderId="33" xfId="0" applyFill="1" applyBorder="1" applyAlignment="1">
      <alignment horizontal="center"/>
    </xf>
    <xf numFmtId="0" fontId="14" fillId="0" borderId="0" xfId="0" applyFont="1" applyBorder="1" applyAlignment="1">
      <alignment horizontal="center"/>
    </xf>
    <xf numFmtId="15" fontId="0" fillId="9" borderId="17" xfId="0" applyNumberFormat="1" applyFont="1" applyFill="1" applyBorder="1"/>
    <xf numFmtId="166" fontId="0" fillId="0" borderId="4" xfId="0" applyNumberFormat="1" applyBorder="1" applyAlignment="1">
      <alignment horizontal="center"/>
    </xf>
    <xf numFmtId="0" fontId="0" fillId="9" borderId="17" xfId="0" applyFill="1" applyBorder="1" applyAlignment="1">
      <alignment horizontal="center"/>
    </xf>
    <xf numFmtId="0" fontId="14" fillId="0" borderId="20" xfId="0" applyFont="1" applyBorder="1" applyAlignment="1">
      <alignment horizontal="center"/>
    </xf>
    <xf numFmtId="0" fontId="7" fillId="5" borderId="28" xfId="0" applyFont="1" applyFill="1" applyBorder="1"/>
    <xf numFmtId="0" fontId="1" fillId="0" borderId="0" xfId="0" applyFont="1" applyFill="1" applyBorder="1"/>
    <xf numFmtId="0" fontId="0" fillId="0" borderId="0" xfId="0" applyAlignment="1">
      <alignment horizontal="left"/>
    </xf>
    <xf numFmtId="0" fontId="0" fillId="11" borderId="0" xfId="0" applyFill="1"/>
    <xf numFmtId="0" fontId="24" fillId="0" borderId="0" xfId="0" applyFont="1"/>
    <xf numFmtId="0" fontId="14" fillId="0" borderId="0" xfId="0" applyFont="1" applyBorder="1"/>
    <xf numFmtId="0" fontId="0" fillId="17" borderId="0" xfId="0" applyFill="1"/>
    <xf numFmtId="0" fontId="26" fillId="0" borderId="0" xfId="0" applyFont="1"/>
    <xf numFmtId="0" fontId="0" fillId="0" borderId="0" xfId="0" applyFill="1"/>
    <xf numFmtId="0" fontId="0" fillId="0" borderId="0" xfId="0" applyAlignment="1">
      <alignment vertical="center"/>
    </xf>
    <xf numFmtId="167" fontId="0" fillId="0" borderId="0" xfId="0" applyNumberFormat="1"/>
    <xf numFmtId="0" fontId="0" fillId="0" borderId="0" xfId="0" applyAlignment="1">
      <alignment horizontal="right"/>
    </xf>
    <xf numFmtId="0" fontId="31" fillId="0" borderId="0" xfId="0" applyFont="1"/>
    <xf numFmtId="0" fontId="26" fillId="0" borderId="0" xfId="0" applyFont="1" applyAlignment="1">
      <alignment vertical="center"/>
    </xf>
    <xf numFmtId="0" fontId="30" fillId="0" borderId="0" xfId="0" applyFont="1" applyAlignment="1">
      <alignment vertical="center"/>
    </xf>
    <xf numFmtId="0" fontId="0" fillId="0" borderId="0" xfId="0" quotePrefix="1"/>
    <xf numFmtId="0" fontId="35" fillId="0" borderId="0" xfId="0" applyFont="1"/>
    <xf numFmtId="2" fontId="0" fillId="0" borderId="0" xfId="0" applyNumberFormat="1"/>
    <xf numFmtId="0" fontId="38" fillId="0" borderId="0" xfId="0" applyFont="1" applyAlignment="1">
      <alignment horizontal="right"/>
    </xf>
    <xf numFmtId="0" fontId="0" fillId="0" borderId="34" xfId="0" applyBorder="1"/>
    <xf numFmtId="0" fontId="14" fillId="20" borderId="20" xfId="0" applyFont="1" applyFill="1" applyBorder="1"/>
    <xf numFmtId="0" fontId="0" fillId="20" borderId="21" xfId="0" applyFill="1" applyBorder="1"/>
    <xf numFmtId="0" fontId="0" fillId="20" borderId="28" xfId="0" applyFill="1" applyBorder="1"/>
    <xf numFmtId="0" fontId="0" fillId="20" borderId="12" xfId="0" applyFill="1" applyBorder="1"/>
    <xf numFmtId="0" fontId="0" fillId="20" borderId="23" xfId="0" applyFill="1" applyBorder="1"/>
    <xf numFmtId="0" fontId="0" fillId="20" borderId="2" xfId="0" applyFill="1" applyBorder="1"/>
    <xf numFmtId="0" fontId="0" fillId="20" borderId="35" xfId="0" applyFill="1" applyBorder="1"/>
    <xf numFmtId="0" fontId="0" fillId="20" borderId="1" xfId="0" applyFill="1" applyBorder="1"/>
    <xf numFmtId="166" fontId="0" fillId="20" borderId="4" xfId="0" applyNumberFormat="1" applyFill="1" applyBorder="1" applyAlignment="1">
      <alignment horizontal="center"/>
    </xf>
    <xf numFmtId="0" fontId="0" fillId="20" borderId="24" xfId="0" applyFill="1" applyBorder="1"/>
    <xf numFmtId="1" fontId="0" fillId="20" borderId="1" xfId="0" applyNumberFormat="1" applyFill="1" applyBorder="1" applyAlignment="1">
      <alignment horizontal="center"/>
    </xf>
    <xf numFmtId="2" fontId="0" fillId="20" borderId="1" xfId="0" applyNumberFormat="1" applyFill="1" applyBorder="1" applyAlignment="1">
      <alignment horizontal="center"/>
    </xf>
    <xf numFmtId="0" fontId="0" fillId="20" borderId="25" xfId="0" applyFill="1" applyBorder="1"/>
    <xf numFmtId="0" fontId="0" fillId="20" borderId="26" xfId="0" applyFill="1" applyBorder="1"/>
    <xf numFmtId="165" fontId="0" fillId="20" borderId="26" xfId="0" applyNumberFormat="1" applyFill="1" applyBorder="1" applyAlignment="1">
      <alignment horizontal="center"/>
    </xf>
    <xf numFmtId="0" fontId="0" fillId="20" borderId="27" xfId="0" applyFill="1" applyBorder="1"/>
    <xf numFmtId="0" fontId="0" fillId="0" borderId="0" xfId="0" applyAlignment="1">
      <alignment horizontal="center"/>
    </xf>
    <xf numFmtId="0" fontId="0" fillId="9" borderId="16" xfId="0" applyFill="1" applyBorder="1" applyAlignment="1">
      <alignment horizontal="center"/>
    </xf>
    <xf numFmtId="0" fontId="1" fillId="19" borderId="36" xfId="0" applyFont="1" applyFill="1" applyBorder="1"/>
    <xf numFmtId="0" fontId="14" fillId="0" borderId="37" xfId="0" applyFont="1" applyBorder="1"/>
    <xf numFmtId="0" fontId="0" fillId="0" borderId="37" xfId="0" applyBorder="1"/>
    <xf numFmtId="0" fontId="0" fillId="0" borderId="14" xfId="0" applyBorder="1"/>
    <xf numFmtId="0" fontId="0" fillId="19" borderId="36" xfId="0" applyFill="1" applyBorder="1"/>
    <xf numFmtId="0" fontId="14" fillId="0" borderId="36" xfId="0" applyFont="1" applyBorder="1"/>
    <xf numFmtId="0" fontId="41" fillId="0" borderId="0" xfId="0" applyFont="1" applyFill="1" applyBorder="1"/>
    <xf numFmtId="0" fontId="14" fillId="0" borderId="13" xfId="0" applyFont="1" applyBorder="1"/>
    <xf numFmtId="0" fontId="0" fillId="13" borderId="1" xfId="0" applyFill="1" applyBorder="1"/>
    <xf numFmtId="0" fontId="0" fillId="16" borderId="1" xfId="0" applyFill="1" applyBorder="1"/>
    <xf numFmtId="0" fontId="0" fillId="18" borderId="1" xfId="0" applyFont="1" applyFill="1" applyBorder="1"/>
    <xf numFmtId="0" fontId="0" fillId="9" borderId="1" xfId="0" applyFill="1" applyBorder="1"/>
    <xf numFmtId="0" fontId="0" fillId="21" borderId="1" xfId="0" applyFill="1" applyBorder="1"/>
    <xf numFmtId="0" fontId="14" fillId="0" borderId="0" xfId="0" applyFont="1" applyFill="1" applyBorder="1"/>
    <xf numFmtId="0" fontId="14" fillId="0" borderId="0" xfId="0" applyFont="1" applyFill="1" applyBorder="1" applyAlignment="1">
      <alignment horizontal="right"/>
    </xf>
    <xf numFmtId="0" fontId="0" fillId="11" borderId="13" xfId="0" applyFill="1" applyBorder="1"/>
    <xf numFmtId="168" fontId="0" fillId="0" borderId="0" xfId="0" applyNumberFormat="1"/>
    <xf numFmtId="0" fontId="45" fillId="0" borderId="0" xfId="0" applyFont="1"/>
    <xf numFmtId="0" fontId="14" fillId="0" borderId="10" xfId="0" applyFont="1" applyFill="1" applyBorder="1"/>
    <xf numFmtId="0" fontId="14" fillId="0" borderId="1" xfId="0" applyFont="1" applyBorder="1" applyAlignment="1">
      <alignment horizontal="left"/>
    </xf>
    <xf numFmtId="167" fontId="0" fillId="10" borderId="1" xfId="0" applyNumberFormat="1" applyFill="1" applyBorder="1"/>
    <xf numFmtId="0" fontId="7" fillId="11" borderId="12" xfId="0" applyFont="1" applyFill="1" applyBorder="1"/>
    <xf numFmtId="0" fontId="7" fillId="11" borderId="6" xfId="0" applyFont="1" applyFill="1" applyBorder="1"/>
    <xf numFmtId="0" fontId="7" fillId="11" borderId="7" xfId="0" applyFont="1" applyFill="1" applyBorder="1"/>
    <xf numFmtId="0" fontId="50" fillId="11" borderId="11" xfId="0" applyFont="1" applyFill="1" applyBorder="1"/>
    <xf numFmtId="0" fontId="0" fillId="11" borderId="14" xfId="0" applyFill="1" applyBorder="1"/>
    <xf numFmtId="169" fontId="0" fillId="11" borderId="14" xfId="0" applyNumberFormat="1" applyFill="1" applyBorder="1" applyAlignment="1">
      <alignment horizontal="left"/>
    </xf>
    <xf numFmtId="0" fontId="0" fillId="11" borderId="17" xfId="0" applyFill="1" applyBorder="1"/>
    <xf numFmtId="0" fontId="0" fillId="11" borderId="15" xfId="0" applyFill="1" applyBorder="1"/>
    <xf numFmtId="0" fontId="0" fillId="11" borderId="17" xfId="0" applyFill="1" applyBorder="1" applyAlignment="1">
      <alignment horizontal="center"/>
    </xf>
    <xf numFmtId="166" fontId="0" fillId="11" borderId="4" xfId="0" applyNumberFormat="1" applyFill="1" applyBorder="1" applyAlignment="1">
      <alignment horizontal="center"/>
    </xf>
    <xf numFmtId="1" fontId="0" fillId="11" borderId="1" xfId="0" applyNumberFormat="1" applyFill="1" applyBorder="1" applyAlignment="1">
      <alignment horizontal="center"/>
    </xf>
    <xf numFmtId="2" fontId="0" fillId="11" borderId="1" xfId="0" applyNumberFormat="1" applyFill="1" applyBorder="1" applyAlignment="1">
      <alignment horizontal="center"/>
    </xf>
    <xf numFmtId="165" fontId="0" fillId="11" borderId="1" xfId="0" applyNumberFormat="1" applyFill="1" applyBorder="1" applyAlignment="1">
      <alignment horizontal="center"/>
    </xf>
    <xf numFmtId="0" fontId="44" fillId="2" borderId="1" xfId="0" applyFont="1" applyFill="1" applyBorder="1"/>
    <xf numFmtId="0" fontId="44" fillId="3" borderId="7" xfId="0" applyFont="1" applyFill="1" applyBorder="1"/>
    <xf numFmtId="0" fontId="44" fillId="3" borderId="9" xfId="0" applyFont="1" applyFill="1" applyBorder="1"/>
    <xf numFmtId="0" fontId="51" fillId="3" borderId="7" xfId="0" applyFont="1" applyFill="1" applyBorder="1"/>
    <xf numFmtId="0" fontId="51" fillId="3" borderId="9" xfId="0" applyFont="1" applyFill="1" applyBorder="1"/>
    <xf numFmtId="0" fontId="0" fillId="21" borderId="0" xfId="0" applyFill="1"/>
    <xf numFmtId="0" fontId="0" fillId="21" borderId="11" xfId="0" applyFill="1" applyBorder="1"/>
    <xf numFmtId="0" fontId="0" fillId="0" borderId="8" xfId="0" applyBorder="1"/>
    <xf numFmtId="0" fontId="0" fillId="14" borderId="9" xfId="0" applyFill="1" applyBorder="1"/>
    <xf numFmtId="0" fontId="0" fillId="10" borderId="0" xfId="0" applyFill="1"/>
    <xf numFmtId="0" fontId="14" fillId="11" borderId="0" xfId="0" applyFont="1" applyFill="1"/>
    <xf numFmtId="0" fontId="14" fillId="11" borderId="0" xfId="0" applyFont="1" applyFill="1" applyAlignment="1">
      <alignment horizontal="right"/>
    </xf>
    <xf numFmtId="0" fontId="14" fillId="0" borderId="0" xfId="0" quotePrefix="1" applyFont="1"/>
    <xf numFmtId="0" fontId="14" fillId="11" borderId="0" xfId="0" applyFont="1" applyFill="1" applyAlignment="1">
      <alignment horizontal="left"/>
    </xf>
    <xf numFmtId="11" fontId="0" fillId="18" borderId="1" xfId="0" applyNumberFormat="1" applyFont="1" applyFill="1" applyBorder="1"/>
    <xf numFmtId="0" fontId="24" fillId="0" borderId="11" xfId="0" applyFont="1" applyBorder="1"/>
    <xf numFmtId="0" fontId="0" fillId="0" borderId="28" xfId="0" applyBorder="1"/>
    <xf numFmtId="0" fontId="0" fillId="0" borderId="12" xfId="0" applyBorder="1"/>
    <xf numFmtId="0" fontId="22" fillId="0" borderId="6" xfId="0" applyFont="1" applyBorder="1" applyAlignment="1">
      <alignment vertical="center"/>
    </xf>
    <xf numFmtId="0" fontId="23" fillId="0" borderId="0" xfId="0" applyFont="1" applyBorder="1" applyAlignment="1">
      <alignment vertical="center"/>
    </xf>
    <xf numFmtId="0" fontId="0" fillId="0" borderId="7" xfId="0" applyBorder="1"/>
    <xf numFmtId="21" fontId="22" fillId="0" borderId="6" xfId="0" applyNumberFormat="1" applyFont="1" applyBorder="1" applyAlignment="1">
      <alignment vertical="center"/>
    </xf>
    <xf numFmtId="0" fontId="23" fillId="0" borderId="0" xfId="0" applyFont="1" applyBorder="1"/>
    <xf numFmtId="0" fontId="0" fillId="0" borderId="38" xfId="0" applyBorder="1"/>
    <xf numFmtId="0" fontId="0" fillId="0" borderId="9" xfId="0" applyBorder="1"/>
    <xf numFmtId="0" fontId="52" fillId="0" borderId="0" xfId="0" applyFont="1" applyAlignment="1">
      <alignment vertical="center"/>
    </xf>
    <xf numFmtId="0" fontId="22" fillId="11" borderId="0" xfId="0" applyFont="1" applyFill="1" applyAlignment="1">
      <alignment vertical="center"/>
    </xf>
    <xf numFmtId="0" fontId="22" fillId="11" borderId="6" xfId="0" applyFont="1" applyFill="1" applyBorder="1" applyAlignment="1">
      <alignment vertical="center"/>
    </xf>
    <xf numFmtId="0" fontId="22" fillId="22" borderId="6" xfId="0" applyFont="1" applyFill="1" applyBorder="1" applyAlignment="1">
      <alignment vertical="center"/>
    </xf>
    <xf numFmtId="0" fontId="23" fillId="22" borderId="0" xfId="0" applyFont="1" applyFill="1" applyAlignment="1">
      <alignment vertical="center"/>
    </xf>
    <xf numFmtId="170" fontId="0" fillId="0" borderId="0" xfId="0" applyNumberFormat="1" applyAlignment="1">
      <alignment horizontal="left"/>
    </xf>
    <xf numFmtId="171" fontId="22" fillId="0" borderId="6" xfId="0" applyNumberFormat="1" applyFont="1" applyBorder="1" applyAlignment="1">
      <alignment vertical="center"/>
    </xf>
    <xf numFmtId="0" fontId="52" fillId="0" borderId="6" xfId="0" applyFont="1" applyBorder="1" applyAlignment="1">
      <alignment vertical="center"/>
    </xf>
    <xf numFmtId="0" fontId="0" fillId="2" borderId="4" xfId="0" applyFill="1" applyBorder="1"/>
    <xf numFmtId="0" fontId="22" fillId="17" borderId="6" xfId="0" applyFont="1" applyFill="1" applyBorder="1" applyAlignment="1">
      <alignment vertical="center"/>
    </xf>
    <xf numFmtId="0" fontId="22" fillId="17" borderId="8" xfId="0" applyFont="1" applyFill="1" applyBorder="1" applyAlignment="1">
      <alignment vertical="center"/>
    </xf>
    <xf numFmtId="167" fontId="14" fillId="0" borderId="0" xfId="0" applyNumberFormat="1" applyFont="1"/>
    <xf numFmtId="0" fontId="0" fillId="0" borderId="0" xfId="0" applyNumberFormat="1" applyFill="1"/>
    <xf numFmtId="0" fontId="0" fillId="17" borderId="0" xfId="0" applyNumberFormat="1" applyFill="1"/>
    <xf numFmtId="0" fontId="0" fillId="0" borderId="0" xfId="0" applyNumberFormat="1" applyAlignment="1">
      <alignment horizontal="left"/>
    </xf>
    <xf numFmtId="0" fontId="0" fillId="0" borderId="0" xfId="0" applyNumberFormat="1"/>
    <xf numFmtId="0" fontId="52" fillId="0" borderId="0" xfId="0" applyFont="1" applyFill="1" applyAlignment="1">
      <alignment vertical="center"/>
    </xf>
    <xf numFmtId="168" fontId="0" fillId="10" borderId="1" xfId="0" applyNumberFormat="1" applyFill="1" applyBorder="1"/>
    <xf numFmtId="11" fontId="0" fillId="11" borderId="1" xfId="0" applyNumberFormat="1" applyFill="1" applyBorder="1"/>
    <xf numFmtId="0" fontId="0" fillId="21" borderId="2" xfId="0" applyFill="1" applyBorder="1"/>
    <xf numFmtId="0" fontId="0" fillId="21" borderId="28" xfId="0" applyFill="1" applyBorder="1"/>
    <xf numFmtId="0" fontId="0" fillId="21" borderId="12" xfId="0" applyFill="1" applyBorder="1"/>
    <xf numFmtId="0" fontId="0" fillId="21" borderId="8" xfId="0" applyFill="1" applyBorder="1"/>
    <xf numFmtId="0" fontId="0" fillId="21" borderId="38" xfId="0" applyFill="1" applyBorder="1"/>
    <xf numFmtId="0" fontId="0" fillId="21" borderId="9" xfId="0" applyFill="1" applyBorder="1"/>
    <xf numFmtId="0" fontId="0" fillId="14" borderId="1" xfId="0" applyFill="1" applyBorder="1"/>
    <xf numFmtId="0" fontId="0" fillId="23" borderId="1" xfId="0" applyFill="1" applyBorder="1"/>
    <xf numFmtId="0" fontId="0" fillId="23" borderId="4" xfId="0" applyFill="1" applyBorder="1" applyAlignment="1">
      <alignment horizontal="center"/>
    </xf>
    <xf numFmtId="0" fontId="0" fillId="23" borderId="1" xfId="0" applyFill="1" applyBorder="1" applyAlignment="1">
      <alignment horizontal="center"/>
    </xf>
    <xf numFmtId="0" fontId="0" fillId="14" borderId="10" xfId="0" applyFill="1" applyBorder="1" applyAlignment="1">
      <alignment horizontal="center"/>
    </xf>
    <xf numFmtId="0" fontId="0" fillId="14" borderId="13" xfId="0" applyFill="1" applyBorder="1"/>
    <xf numFmtId="0" fontId="14" fillId="0" borderId="39" xfId="0" applyFont="1" applyFill="1" applyBorder="1"/>
    <xf numFmtId="0" fontId="14" fillId="23" borderId="40" xfId="0" applyFont="1" applyFill="1" applyBorder="1" applyAlignment="1">
      <alignment horizontal="right"/>
    </xf>
    <xf numFmtId="0" fontId="14" fillId="14" borderId="41" xfId="0" applyFont="1" applyFill="1" applyBorder="1" applyAlignment="1">
      <alignment horizontal="right"/>
    </xf>
    <xf numFmtId="0" fontId="14" fillId="0" borderId="20" xfId="0" applyFont="1" applyBorder="1" applyAlignment="1">
      <alignment horizontal="right" vertical="center"/>
    </xf>
    <xf numFmtId="0" fontId="0" fillId="0" borderId="29" xfId="0" applyBorder="1"/>
    <xf numFmtId="11" fontId="0" fillId="10" borderId="1" xfId="0" applyNumberFormat="1" applyFill="1" applyBorder="1"/>
    <xf numFmtId="0" fontId="14" fillId="0" borderId="24" xfId="0" applyFont="1" applyFill="1" applyBorder="1"/>
    <xf numFmtId="0" fontId="14" fillId="0" borderId="24" xfId="0" applyFont="1"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0" fillId="0" borderId="4" xfId="0" applyBorder="1"/>
    <xf numFmtId="0" fontId="1" fillId="0" borderId="20" xfId="0" applyFont="1" applyBorder="1"/>
    <xf numFmtId="0" fontId="1" fillId="0" borderId="21" xfId="0" applyFont="1" applyBorder="1"/>
    <xf numFmtId="0" fontId="1" fillId="0" borderId="28" xfId="0" applyFont="1" applyBorder="1"/>
    <xf numFmtId="0" fontId="14" fillId="0" borderId="28" xfId="0" applyFont="1" applyBorder="1"/>
    <xf numFmtId="0" fontId="1" fillId="0" borderId="23" xfId="0" applyFont="1" applyBorder="1"/>
    <xf numFmtId="0" fontId="1" fillId="0" borderId="7" xfId="0" applyFont="1" applyBorder="1"/>
    <xf numFmtId="0" fontId="1" fillId="0" borderId="25" xfId="0" applyFont="1" applyBorder="1"/>
    <xf numFmtId="0" fontId="0" fillId="0" borderId="38" xfId="0" applyFont="1" applyBorder="1"/>
    <xf numFmtId="165" fontId="0" fillId="0" borderId="0" xfId="0" applyNumberFormat="1"/>
    <xf numFmtId="0" fontId="51" fillId="2" borderId="1" xfId="0" applyFont="1" applyFill="1" applyBorder="1"/>
    <xf numFmtId="1" fontId="0" fillId="10" borderId="1" xfId="0" applyNumberFormat="1" applyFill="1" applyBorder="1"/>
    <xf numFmtId="49" fontId="52" fillId="0" borderId="6" xfId="0" applyNumberFormat="1" applyFont="1" applyBorder="1" applyAlignment="1">
      <alignment vertical="center"/>
    </xf>
    <xf numFmtId="166" fontId="0" fillId="0" borderId="0" xfId="0" applyNumberFormat="1" applyFill="1"/>
    <xf numFmtId="166" fontId="0" fillId="17" borderId="0" xfId="0" applyNumberFormat="1" applyFill="1"/>
    <xf numFmtId="166" fontId="0" fillId="0" borderId="0" xfId="0" applyNumberFormat="1"/>
    <xf numFmtId="2" fontId="0" fillId="2" borderId="1" xfId="0" applyNumberFormat="1" applyFill="1" applyBorder="1"/>
    <xf numFmtId="2" fontId="0" fillId="3" borderId="1" xfId="0" applyNumberFormat="1" applyFill="1" applyBorder="1"/>
    <xf numFmtId="166" fontId="0" fillId="2" borderId="1" xfId="0" applyNumberFormat="1" applyFill="1" applyBorder="1"/>
    <xf numFmtId="166" fontId="0" fillId="3" borderId="1" xfId="0" applyNumberFormat="1" applyFill="1" applyBorder="1"/>
    <xf numFmtId="172" fontId="0" fillId="0" borderId="0" xfId="0" applyNumberFormat="1" applyFont="1"/>
    <xf numFmtId="0" fontId="14" fillId="13" borderId="1" xfId="0" applyFont="1" applyFill="1" applyBorder="1" applyAlignment="1">
      <alignment horizontal="right"/>
    </xf>
    <xf numFmtId="0" fontId="14" fillId="0" borderId="11" xfId="0" applyFont="1" applyBorder="1" applyAlignment="1">
      <alignment horizontal="right"/>
    </xf>
    <xf numFmtId="0" fontId="14" fillId="0" borderId="23" xfId="0" applyFont="1" applyFill="1" applyBorder="1" applyAlignment="1">
      <alignment horizontal="right"/>
    </xf>
    <xf numFmtId="0" fontId="14" fillId="0" borderId="23" xfId="0" applyFont="1" applyBorder="1" applyAlignment="1">
      <alignment horizontal="right"/>
    </xf>
    <xf numFmtId="0" fontId="1" fillId="0" borderId="13" xfId="0" applyFont="1" applyBorder="1" applyAlignment="1">
      <alignment vertical="top" wrapText="1"/>
    </xf>
    <xf numFmtId="0" fontId="1" fillId="0" borderId="4" xfId="0" applyFont="1" applyBorder="1" applyAlignment="1">
      <alignment vertical="top" wrapText="1"/>
    </xf>
  </cellXfs>
  <cellStyles count="1">
    <cellStyle name="Normal" xfId="0" builtinId="0"/>
  </cellStyles>
  <dxfs count="1">
    <dxf>
      <font>
        <color rgb="FF9C0006"/>
      </font>
      <fill>
        <patternFill>
          <bgColor rgb="FFFFC7CE"/>
        </patternFill>
      </fill>
    </dxf>
  </dxfs>
  <tableStyles count="0" defaultTableStyle="TableStyleMedium2" defaultPivotStyle="PivotStyleLight16"/>
  <colors>
    <mruColors>
      <color rgb="FFFFFF99"/>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9.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0.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t>All Angles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NormPlot</c:v>
          </c:tx>
          <c:spPr>
            <a:ln w="25400" cap="rnd">
              <a:noFill/>
              <a:round/>
            </a:ln>
            <a:effectLst/>
          </c:spPr>
          <c:marker>
            <c:symbol val="circle"/>
            <c:size val="5"/>
            <c:spPr>
              <a:solidFill>
                <a:schemeClr val="accent1"/>
              </a:solidFill>
              <a:ln w="9525">
                <a:solidFill>
                  <a:schemeClr val="accent1"/>
                </a:solidFill>
              </a:ln>
              <a:effectLst/>
            </c:spPr>
          </c:marker>
          <c:xVal>
            <c:numRef>
              <c:f>(Conc1!$D$15:$D$17,Conc1!$D$19:$D$26,Conc1!$D$28:$D$32)</c:f>
              <c:numCache>
                <c:formatCode>General</c:formatCode>
                <c:ptCount val="16"/>
                <c:pt idx="0">
                  <c:v>22.5</c:v>
                </c:pt>
                <c:pt idx="1">
                  <c:v>28</c:v>
                </c:pt>
                <c:pt idx="2">
                  <c:v>32</c:v>
                </c:pt>
                <c:pt idx="3">
                  <c:v>44</c:v>
                </c:pt>
                <c:pt idx="4">
                  <c:v>50</c:v>
                </c:pt>
                <c:pt idx="5">
                  <c:v>57</c:v>
                </c:pt>
                <c:pt idx="6">
                  <c:v>64</c:v>
                </c:pt>
                <c:pt idx="7">
                  <c:v>72</c:v>
                </c:pt>
                <c:pt idx="8">
                  <c:v>81</c:v>
                </c:pt>
                <c:pt idx="9">
                  <c:v>90</c:v>
                </c:pt>
                <c:pt idx="10">
                  <c:v>99</c:v>
                </c:pt>
                <c:pt idx="11">
                  <c:v>117</c:v>
                </c:pt>
                <c:pt idx="12">
                  <c:v>126</c:v>
                </c:pt>
                <c:pt idx="13">
                  <c:v>134</c:v>
                </c:pt>
                <c:pt idx="14">
                  <c:v>141</c:v>
                </c:pt>
                <c:pt idx="15">
                  <c:v>147</c:v>
                </c:pt>
              </c:numCache>
            </c:numRef>
          </c:xVal>
          <c:yVal>
            <c:numRef>
              <c:f>(Conc1!$U$15:$U$17,Conc1!$U$19:$U$26,Conc1!$U$28:$U$32)</c:f>
              <c:numCache>
                <c:formatCode>General</c:formatCode>
                <c:ptCount val="16"/>
                <c:pt idx="0">
                  <c:v>1.3860047278777927</c:v>
                </c:pt>
                <c:pt idx="1">
                  <c:v>1.048334504059047</c:v>
                </c:pt>
                <c:pt idx="2">
                  <c:v>0.97827504585953595</c:v>
                </c:pt>
                <c:pt idx="3">
                  <c:v>0.79034737293947466</c:v>
                </c:pt>
                <c:pt idx="4">
                  <c:v>0.64636710439755662</c:v>
                </c:pt>
                <c:pt idx="5">
                  <c:v>1.1342814159841126</c:v>
                </c:pt>
                <c:pt idx="6">
                  <c:v>0.8267609478558543</c:v>
                </c:pt>
                <c:pt idx="7">
                  <c:v>1.0253353687761775</c:v>
                </c:pt>
                <c:pt idx="8">
                  <c:v>1.5049020630368126</c:v>
                </c:pt>
                <c:pt idx="9">
                  <c:v>1</c:v>
                </c:pt>
                <c:pt idx="10">
                  <c:v>1.0982442547222913</c:v>
                </c:pt>
                <c:pt idx="11">
                  <c:v>0.88107960254981155</c:v>
                </c:pt>
                <c:pt idx="12">
                  <c:v>1.0811107919031426</c:v>
                </c:pt>
                <c:pt idx="13">
                  <c:v>0.8744068402161369</c:v>
                </c:pt>
                <c:pt idx="14">
                  <c:v>0.95206215447632292</c:v>
                </c:pt>
                <c:pt idx="15">
                  <c:v>0.80948021958367133</c:v>
                </c:pt>
              </c:numCache>
            </c:numRef>
          </c:yVal>
          <c:smooth val="0"/>
          <c:extLst>
            <c:ext xmlns:c16="http://schemas.microsoft.com/office/drawing/2014/chart" uri="{C3380CC4-5D6E-409C-BE32-E72D297353CC}">
              <c16:uniqueId val="{00000002-DC52-4B6B-9FD0-DEE9326A9BCB}"/>
            </c:ext>
          </c:extLst>
        </c:ser>
        <c:dLbls>
          <c:showLegendKey val="0"/>
          <c:showVal val="0"/>
          <c:showCatName val="0"/>
          <c:showSerName val="0"/>
          <c:showPercent val="0"/>
          <c:showBubbleSize val="0"/>
        </c:dLbls>
        <c:axId val="18853072"/>
        <c:axId val="32356592"/>
      </c:scatterChart>
      <c:valAx>
        <c:axId val="188530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Angle/degees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56592"/>
        <c:crosses val="autoZero"/>
        <c:crossBetween val="midCat"/>
      </c:valAx>
      <c:valAx>
        <c:axId val="32356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Norm. Intensity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307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accent1">
                    <a:lumMod val="75000"/>
                  </a:schemeClr>
                </a:solidFill>
              </a:rPr>
              <a:t>Wyatt Diodes       </a:t>
            </a:r>
            <a:r>
              <a:rPr lang="en-US" b="1">
                <a:solidFill>
                  <a:schemeClr val="accent2"/>
                </a:solidFill>
              </a:rPr>
              <a:t>Fiber/APDs</a:t>
            </a:r>
          </a:p>
        </c:rich>
      </c:tx>
      <c:layout>
        <c:manualLayout>
          <c:xMode val="edge"/>
          <c:yMode val="edge"/>
          <c:x val="0.23607222591152008"/>
          <c:y val="4.4223725622541794E-2"/>
        </c:manualLayout>
      </c:layout>
      <c:overlay val="0"/>
      <c:spPr>
        <a:noFill/>
        <a:ln>
          <a:noFill/>
        </a:ln>
        <a:effectLst/>
      </c:spPr>
    </c:title>
    <c:autoTitleDeleted val="0"/>
    <c:plotArea>
      <c:layout/>
      <c:scatterChart>
        <c:scatterStyle val="lineMarker"/>
        <c:varyColors val="0"/>
        <c:ser>
          <c:idx val="2"/>
          <c:order val="0"/>
          <c:tx>
            <c:v>Wyatt Diodes</c:v>
          </c:tx>
          <c:spPr>
            <a:ln w="25400">
              <a:noFill/>
            </a:ln>
          </c:spPr>
          <c:xVal>
            <c:numRef>
              <c:f>(Conc1!$D$15:$D$17,Conc1!$D$21,Conc1!$D$23,Conc1!$D$25,Conc1!$D$29,Conc1!$D$31)</c:f>
              <c:numCache>
                <c:formatCode>General</c:formatCode>
                <c:ptCount val="8"/>
                <c:pt idx="0">
                  <c:v>22.5</c:v>
                </c:pt>
                <c:pt idx="1">
                  <c:v>28</c:v>
                </c:pt>
                <c:pt idx="2">
                  <c:v>32</c:v>
                </c:pt>
                <c:pt idx="3">
                  <c:v>57</c:v>
                </c:pt>
                <c:pt idx="4">
                  <c:v>72</c:v>
                </c:pt>
                <c:pt idx="5">
                  <c:v>90</c:v>
                </c:pt>
                <c:pt idx="6">
                  <c:v>126</c:v>
                </c:pt>
                <c:pt idx="7">
                  <c:v>141</c:v>
                </c:pt>
              </c:numCache>
            </c:numRef>
          </c:xVal>
          <c:yVal>
            <c:numRef>
              <c:f>(Conc1!$U$15:$U$17,Conc1!$U$21,Conc1!$U$23,Conc1!$U$25,Conc1!$U$29,Conc1!$U$31)</c:f>
              <c:numCache>
                <c:formatCode>General</c:formatCode>
                <c:ptCount val="8"/>
                <c:pt idx="0">
                  <c:v>1.3860047278777927</c:v>
                </c:pt>
                <c:pt idx="1">
                  <c:v>1.048334504059047</c:v>
                </c:pt>
                <c:pt idx="2">
                  <c:v>0.97827504585953595</c:v>
                </c:pt>
                <c:pt idx="3">
                  <c:v>1.1342814159841126</c:v>
                </c:pt>
                <c:pt idx="4">
                  <c:v>1.0253353687761775</c:v>
                </c:pt>
                <c:pt idx="5">
                  <c:v>1</c:v>
                </c:pt>
                <c:pt idx="6">
                  <c:v>1.0811107919031426</c:v>
                </c:pt>
                <c:pt idx="7">
                  <c:v>0.95206215447632292</c:v>
                </c:pt>
              </c:numCache>
            </c:numRef>
          </c:yVal>
          <c:smooth val="0"/>
          <c:extLst>
            <c:ext xmlns:c16="http://schemas.microsoft.com/office/drawing/2014/chart" uri="{C3380CC4-5D6E-409C-BE32-E72D297353CC}">
              <c16:uniqueId val="{00000007-49B3-4267-B0B5-177BF7B6DBCE}"/>
            </c:ext>
          </c:extLst>
        </c:ser>
        <c:ser>
          <c:idx val="3"/>
          <c:order val="1"/>
          <c:tx>
            <c:strRef>
              <c:f>Conc1!$G$11</c:f>
              <c:strCache>
                <c:ptCount val="1"/>
              </c:strCache>
            </c:strRef>
          </c:tx>
          <c:spPr>
            <a:ln w="25400">
              <a:noFill/>
            </a:ln>
          </c:spPr>
          <c:xVal>
            <c:numRef>
              <c:f>(Conc1!$D$19,Conc1!$D$20,Conc1!$D$22,Conc1!$D$24,Conc1!$D$26,Conc1!$D$28,Conc1!$D$30,Conc1!$D$32)</c:f>
              <c:numCache>
                <c:formatCode>General</c:formatCode>
                <c:ptCount val="8"/>
                <c:pt idx="0">
                  <c:v>44</c:v>
                </c:pt>
                <c:pt idx="1">
                  <c:v>50</c:v>
                </c:pt>
                <c:pt idx="2">
                  <c:v>64</c:v>
                </c:pt>
                <c:pt idx="3">
                  <c:v>81</c:v>
                </c:pt>
                <c:pt idx="4">
                  <c:v>99</c:v>
                </c:pt>
                <c:pt idx="5">
                  <c:v>117</c:v>
                </c:pt>
                <c:pt idx="6">
                  <c:v>134</c:v>
                </c:pt>
                <c:pt idx="7">
                  <c:v>147</c:v>
                </c:pt>
              </c:numCache>
            </c:numRef>
          </c:xVal>
          <c:yVal>
            <c:numRef>
              <c:f>(Conc1!$U$19,Conc1!$U$20,Conc1!$U$22,Conc1!$U$24,Conc1!$U$26,Conc1!$U$28,Conc1!$U$30,Conc1!$U$32)</c:f>
              <c:numCache>
                <c:formatCode>General</c:formatCode>
                <c:ptCount val="8"/>
                <c:pt idx="0">
                  <c:v>0.79034737293947466</c:v>
                </c:pt>
                <c:pt idx="1">
                  <c:v>0.64636710439755662</c:v>
                </c:pt>
                <c:pt idx="2">
                  <c:v>0.8267609478558543</c:v>
                </c:pt>
                <c:pt idx="3">
                  <c:v>1.5049020630368126</c:v>
                </c:pt>
                <c:pt idx="4">
                  <c:v>1.0982442547222913</c:v>
                </c:pt>
                <c:pt idx="5">
                  <c:v>0.88107960254981155</c:v>
                </c:pt>
                <c:pt idx="6">
                  <c:v>0.8744068402161369</c:v>
                </c:pt>
                <c:pt idx="7">
                  <c:v>0.80948021958367133</c:v>
                </c:pt>
              </c:numCache>
            </c:numRef>
          </c:yVal>
          <c:smooth val="0"/>
          <c:extLst>
            <c:ext xmlns:c16="http://schemas.microsoft.com/office/drawing/2014/chart" uri="{C3380CC4-5D6E-409C-BE32-E72D297353CC}">
              <c16:uniqueId val="{00000008-49B3-4267-B0B5-177BF7B6DBCE}"/>
            </c:ext>
          </c:extLst>
        </c:ser>
        <c:ser>
          <c:idx val="0"/>
          <c:order val="2"/>
          <c:tx>
            <c:v>Wyatt Diodes</c:v>
          </c:tx>
          <c:spPr>
            <a:ln w="25400" cap="rnd">
              <a:noFill/>
              <a:round/>
            </a:ln>
            <a:effectLst/>
          </c:spPr>
          <c:marker>
            <c:symbol val="circle"/>
            <c:size val="5"/>
            <c:spPr>
              <a:solidFill>
                <a:schemeClr val="accent1"/>
              </a:solidFill>
              <a:ln w="9525">
                <a:solidFill>
                  <a:schemeClr val="accent1"/>
                </a:solidFill>
              </a:ln>
              <a:effectLst/>
            </c:spPr>
          </c:marker>
          <c:xVal>
            <c:numRef>
              <c:f>(Conc1!$D$15:$D$17,Conc1!$D$21,Conc1!$D$23,Conc1!$D$25,Conc1!$D$29,Conc1!$D$31)</c:f>
              <c:numCache>
                <c:formatCode>General</c:formatCode>
                <c:ptCount val="8"/>
                <c:pt idx="0">
                  <c:v>22.5</c:v>
                </c:pt>
                <c:pt idx="1">
                  <c:v>28</c:v>
                </c:pt>
                <c:pt idx="2">
                  <c:v>32</c:v>
                </c:pt>
                <c:pt idx="3">
                  <c:v>57</c:v>
                </c:pt>
                <c:pt idx="4">
                  <c:v>72</c:v>
                </c:pt>
                <c:pt idx="5">
                  <c:v>90</c:v>
                </c:pt>
                <c:pt idx="6">
                  <c:v>126</c:v>
                </c:pt>
                <c:pt idx="7">
                  <c:v>141</c:v>
                </c:pt>
              </c:numCache>
            </c:numRef>
          </c:xVal>
          <c:yVal>
            <c:numRef>
              <c:f>(Conc1!$U$15:$U$17,Conc1!$U$21,Conc1!$U$23,Conc1!$U$25,Conc1!$U$29,Conc1!$U$31)</c:f>
              <c:numCache>
                <c:formatCode>General</c:formatCode>
                <c:ptCount val="8"/>
                <c:pt idx="0">
                  <c:v>1.3860047278777927</c:v>
                </c:pt>
                <c:pt idx="1">
                  <c:v>1.048334504059047</c:v>
                </c:pt>
                <c:pt idx="2">
                  <c:v>0.97827504585953595</c:v>
                </c:pt>
                <c:pt idx="3">
                  <c:v>1.1342814159841126</c:v>
                </c:pt>
                <c:pt idx="4">
                  <c:v>1.0253353687761775</c:v>
                </c:pt>
                <c:pt idx="5">
                  <c:v>1</c:v>
                </c:pt>
                <c:pt idx="6">
                  <c:v>1.0811107919031426</c:v>
                </c:pt>
                <c:pt idx="7">
                  <c:v>0.95206215447632292</c:v>
                </c:pt>
              </c:numCache>
            </c:numRef>
          </c:yVal>
          <c:smooth val="0"/>
          <c:extLst>
            <c:ext xmlns:c16="http://schemas.microsoft.com/office/drawing/2014/chart" uri="{C3380CC4-5D6E-409C-BE32-E72D297353CC}">
              <c16:uniqueId val="{00000004-49B3-4267-B0B5-177BF7B6DBCE}"/>
            </c:ext>
          </c:extLst>
        </c:ser>
        <c:ser>
          <c:idx val="1"/>
          <c:order val="3"/>
          <c:tx>
            <c:strRef>
              <c:f>Conc1!$G$11</c:f>
              <c:strCache>
                <c:ptCount val="1"/>
              </c:strCache>
            </c:strRef>
          </c:tx>
          <c:spPr>
            <a:ln w="25400" cap="rnd">
              <a:noFill/>
              <a:round/>
            </a:ln>
            <a:effectLst/>
          </c:spPr>
          <c:marker>
            <c:symbol val="circle"/>
            <c:size val="5"/>
            <c:spPr>
              <a:solidFill>
                <a:schemeClr val="accent2"/>
              </a:solidFill>
              <a:ln w="9525">
                <a:solidFill>
                  <a:schemeClr val="accent2"/>
                </a:solidFill>
              </a:ln>
              <a:effectLst/>
            </c:spPr>
          </c:marker>
          <c:xVal>
            <c:numRef>
              <c:f>(Conc1!$D$19,Conc1!$D$20,Conc1!$D$22,Conc1!$D$24,Conc1!$D$26,Conc1!$D$28,Conc1!$D$30,Conc1!$D$32)</c:f>
              <c:numCache>
                <c:formatCode>General</c:formatCode>
                <c:ptCount val="8"/>
                <c:pt idx="0">
                  <c:v>44</c:v>
                </c:pt>
                <c:pt idx="1">
                  <c:v>50</c:v>
                </c:pt>
                <c:pt idx="2">
                  <c:v>64</c:v>
                </c:pt>
                <c:pt idx="3">
                  <c:v>81</c:v>
                </c:pt>
                <c:pt idx="4">
                  <c:v>99</c:v>
                </c:pt>
                <c:pt idx="5">
                  <c:v>117</c:v>
                </c:pt>
                <c:pt idx="6">
                  <c:v>134</c:v>
                </c:pt>
                <c:pt idx="7">
                  <c:v>147</c:v>
                </c:pt>
              </c:numCache>
            </c:numRef>
          </c:xVal>
          <c:yVal>
            <c:numRef>
              <c:f>(Conc1!$U$19,Conc1!$U$20,Conc1!$U$22,Conc1!$U$24,Conc1!$U$26,Conc1!$U$28,Conc1!$U$30,Conc1!$U$32)</c:f>
              <c:numCache>
                <c:formatCode>General</c:formatCode>
                <c:ptCount val="8"/>
                <c:pt idx="0">
                  <c:v>0.79034737293947466</c:v>
                </c:pt>
                <c:pt idx="1">
                  <c:v>0.64636710439755662</c:v>
                </c:pt>
                <c:pt idx="2">
                  <c:v>0.8267609478558543</c:v>
                </c:pt>
                <c:pt idx="3">
                  <c:v>1.5049020630368126</c:v>
                </c:pt>
                <c:pt idx="4">
                  <c:v>1.0982442547222913</c:v>
                </c:pt>
                <c:pt idx="5">
                  <c:v>0.88107960254981155</c:v>
                </c:pt>
                <c:pt idx="6">
                  <c:v>0.8744068402161369</c:v>
                </c:pt>
                <c:pt idx="7">
                  <c:v>0.80948021958367133</c:v>
                </c:pt>
              </c:numCache>
            </c:numRef>
          </c:yVal>
          <c:smooth val="0"/>
          <c:extLst>
            <c:ext xmlns:c16="http://schemas.microsoft.com/office/drawing/2014/chart" uri="{C3380CC4-5D6E-409C-BE32-E72D297353CC}">
              <c16:uniqueId val="{00000006-49B3-4267-B0B5-177BF7B6DBCE}"/>
            </c:ext>
          </c:extLst>
        </c:ser>
        <c:dLbls>
          <c:showLegendKey val="0"/>
          <c:showVal val="0"/>
          <c:showCatName val="0"/>
          <c:showSerName val="0"/>
          <c:showPercent val="0"/>
          <c:showBubbleSize val="0"/>
        </c:dLbls>
        <c:axId val="18853072"/>
        <c:axId val="32356592"/>
      </c:scatterChart>
      <c:valAx>
        <c:axId val="18853072"/>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Angle/degees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356592"/>
        <c:crosses val="autoZero"/>
        <c:crossBetween val="midCat"/>
      </c:valAx>
      <c:valAx>
        <c:axId val="3235659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Norm. Intensity</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53072"/>
        <c:crosses val="autoZero"/>
        <c:crossBetween val="midCat"/>
      </c:valAx>
    </c:plotArea>
    <c:plotVisOnly val="1"/>
    <c:dispBlanksAs val="gap"/>
    <c:showDLblsOverMax val="0"/>
    <c:extLst/>
  </c:chart>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Diode &amp; APD detectors</a:t>
            </a:r>
          </a:p>
        </c:rich>
      </c:tx>
      <c:layout>
        <c:manualLayout>
          <c:xMode val="edge"/>
          <c:yMode val="edge"/>
          <c:x val="1.684133257898213E-2"/>
          <c:y val="1.0009529319037484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0.20526081350505038"/>
                  <c:y val="0.10893523183588756"/>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'Guinier+SphereFit1'!$F$7:$F$22</c:f>
              <c:numCache>
                <c:formatCode>General</c:formatCode>
                <c:ptCount val="16"/>
                <c:pt idx="0">
                  <c:v>0.28628093142053257</c:v>
                </c:pt>
                <c:pt idx="1">
                  <c:v>0.44022157570604104</c:v>
                </c:pt>
                <c:pt idx="2">
                  <c:v>0.57147484768024681</c:v>
                </c:pt>
                <c:pt idx="3">
                  <c:v>1.0555329732261189</c:v>
                </c:pt>
                <c:pt idx="4">
                  <c:v>1.3434375692589569</c:v>
                </c:pt>
                <c:pt idx="5">
                  <c:v>1.7125638542325015</c:v>
                </c:pt>
                <c:pt idx="6">
                  <c:v>2.1122260085135278</c:v>
                </c:pt>
                <c:pt idx="7">
                  <c:v>2.5987131315953915</c:v>
                </c:pt>
                <c:pt idx="8">
                  <c:v>3.1725596942550371</c:v>
                </c:pt>
                <c:pt idx="9">
                  <c:v>3.7608929748491216</c:v>
                </c:pt>
                <c:pt idx="10">
                  <c:v>4.349226255443206</c:v>
                </c:pt>
                <c:pt idx="11">
                  <c:v>5.4683026559678263</c:v>
                </c:pt>
                <c:pt idx="12">
                  <c:v>5.971490400915803</c:v>
                </c:pt>
                <c:pt idx="13">
                  <c:v>6.3734287602285056</c:v>
                </c:pt>
                <c:pt idx="14">
                  <c:v>6.6836557617250101</c:v>
                </c:pt>
                <c:pt idx="15">
                  <c:v>6.9150432220477915</c:v>
                </c:pt>
              </c:numCache>
            </c:numRef>
          </c:xVal>
          <c:yVal>
            <c:numRef>
              <c:f>'Guinier+SphereFit1'!$H$7:$H$22</c:f>
              <c:numCache>
                <c:formatCode>General</c:formatCode>
                <c:ptCount val="16"/>
                <c:pt idx="0">
                  <c:v>-1.9946292313038425</c:v>
                </c:pt>
                <c:pt idx="1">
                  <c:v>-2.7418095515618335</c:v>
                </c:pt>
                <c:pt idx="2">
                  <c:v>-2.8340252907339085</c:v>
                </c:pt>
                <c:pt idx="3">
                  <c:v>-2.8482850013321501</c:v>
                </c:pt>
                <c:pt idx="4">
                  <c:v>-3.1188244567630465</c:v>
                </c:pt>
                <c:pt idx="5">
                  <c:v>-2.9067285023152207</c:v>
                </c:pt>
                <c:pt idx="6">
                  <c:v>-2.6974981535865803</c:v>
                </c:pt>
                <c:pt idx="7">
                  <c:v>-2.8141663671637631</c:v>
                </c:pt>
                <c:pt idx="8">
                  <c:v>-2.6060811731616789</c:v>
                </c:pt>
                <c:pt idx="9">
                  <c:v>-2.7864682739091289</c:v>
                </c:pt>
                <c:pt idx="10">
                  <c:v>-2.6893318716276711</c:v>
                </c:pt>
                <c:pt idx="11">
                  <c:v>-2.715532300979461</c:v>
                </c:pt>
                <c:pt idx="12">
                  <c:v>-2.8125184966238908</c:v>
                </c:pt>
                <c:pt idx="13">
                  <c:v>-2.7439389603836131</c:v>
                </c:pt>
                <c:pt idx="14">
                  <c:v>-2.7317577235974944</c:v>
                </c:pt>
                <c:pt idx="15">
                  <c:v>-2.8151606330663843</c:v>
                </c:pt>
              </c:numCache>
            </c:numRef>
          </c:yVal>
          <c:smooth val="0"/>
          <c:extLst>
            <c:ext xmlns:c16="http://schemas.microsoft.com/office/drawing/2014/chart" uri="{C3380CC4-5D6E-409C-BE32-E72D297353CC}">
              <c16:uniqueId val="{00000001-9AD9-40C9-AE62-615D241A2B7D}"/>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a:t>
                </a:r>
                <a:r>
                  <a:rPr lang="en-US" sz="1400" b="0" i="0" u="none" strike="noStrike" baseline="30000">
                    <a:solidFill>
                      <a:sysClr val="windowText" lastClr="000000"/>
                    </a:solidFill>
                    <a:latin typeface="Calibri"/>
                  </a:rPr>
                  <a:t>2</a:t>
                </a:r>
                <a:r>
                  <a:rPr lang="en-US" sz="1400" b="0" i="0" u="none" strike="noStrike" baseline="0">
                    <a:solidFill>
                      <a:sysClr val="windowText" lastClr="000000"/>
                    </a:solidFill>
                    <a:latin typeface="Calibri"/>
                  </a:rPr>
                  <a:t>/nm</a:t>
                </a:r>
                <a:r>
                  <a:rPr lang="en-US" sz="1400" b="0" i="0" u="none" strike="noStrike" baseline="30000">
                    <a:solidFill>
                      <a:sysClr val="windowText" lastClr="000000"/>
                    </a:solidFill>
                    <a:latin typeface="Calibri"/>
                  </a:rPr>
                  <a:t>-2</a:t>
                </a:r>
              </a:p>
            </c:rich>
          </c:tx>
          <c:layout>
            <c:manualLayout>
              <c:xMode val="edge"/>
              <c:yMode val="edge"/>
              <c:x val="0.53162913388271171"/>
              <c:y val="1.7720481667841112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rgbClr val="333333"/>
                    </a:solidFill>
                    <a:latin typeface="Script MT Bold"/>
                  </a:rPr>
                  <a:t>ln</a:t>
                </a:r>
                <a:r>
                  <a:rPr lang="en-US" sz="1400" b="0" i="0" u="none" strike="noStrike" baseline="0">
                    <a:solidFill>
                      <a:srgbClr val="333333"/>
                    </a:solidFill>
                    <a:latin typeface="Calibri"/>
                  </a:rPr>
                  <a:t>(Intensity)</a:t>
                </a:r>
              </a:p>
            </c:rich>
          </c:tx>
          <c:layout>
            <c:manualLayout>
              <c:xMode val="edge"/>
              <c:yMode val="edge"/>
              <c:x val="8.9726141093454236E-3"/>
              <c:y val="0.43158516113422724"/>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chemeClr val="bg1"/>
    </a:solidFill>
    <a:ln w="38100" cap="flat" cmpd="sng" algn="ctr">
      <a:solidFill>
        <a:schemeClr val="tx1">
          <a:lumMod val="75000"/>
          <a:lumOff val="25000"/>
        </a:schemeClr>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Sphere plot</a:t>
            </a:r>
          </a:p>
        </c:rich>
      </c:tx>
      <c:layout>
        <c:manualLayout>
          <c:xMode val="edge"/>
          <c:yMode val="edge"/>
          <c:x val="2.0542228139849867E-2"/>
          <c:y val="2.1897783610382037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'Guinier+SphereFit1'!$D$7:$D$22</c:f>
              <c:numCache>
                <c:formatCode>General</c:formatCode>
                <c:ptCount val="16"/>
                <c:pt idx="0">
                  <c:v>53505.226980224332</c:v>
                </c:pt>
                <c:pt idx="1">
                  <c:v>66349.195602210661</c:v>
                </c:pt>
                <c:pt idx="2">
                  <c:v>75595.955426216213</c:v>
                </c:pt>
                <c:pt idx="3">
                  <c:v>102739.13437566617</c:v>
                </c:pt>
                <c:pt idx="4">
                  <c:v>115906.75430098787</c:v>
                </c:pt>
                <c:pt idx="5">
                  <c:v>130864.96300509552</c:v>
                </c:pt>
                <c:pt idx="6">
                  <c:v>145334.99263816432</c:v>
                </c:pt>
                <c:pt idx="7">
                  <c:v>161205.2459318676</c:v>
                </c:pt>
                <c:pt idx="8">
                  <c:v>178116.80701873807</c:v>
                </c:pt>
                <c:pt idx="9">
                  <c:v>193930.21876048925</c:v>
                </c:pt>
                <c:pt idx="10">
                  <c:v>208547.98621524032</c:v>
                </c:pt>
                <c:pt idx="11">
                  <c:v>233844.02186003872</c:v>
                </c:pt>
                <c:pt idx="12">
                  <c:v>244366.33157855037</c:v>
                </c:pt>
                <c:pt idx="13">
                  <c:v>252456.50635760027</c:v>
                </c:pt>
                <c:pt idx="14">
                  <c:v>258527.67282681772</c:v>
                </c:pt>
                <c:pt idx="15">
                  <c:v>262964.69766962621</c:v>
                </c:pt>
              </c:numCache>
            </c:numRef>
          </c:xVal>
          <c:yVal>
            <c:numRef>
              <c:f>'Guinier+SphereFit1'!$G$7:$G$22</c:f>
              <c:numCache>
                <c:formatCode>General</c:formatCode>
                <c:ptCount val="16"/>
                <c:pt idx="0">
                  <c:v>0.13606409312207923</c:v>
                </c:pt>
                <c:pt idx="1">
                  <c:v>6.4453609174415061E-2</c:v>
                </c:pt>
                <c:pt idx="2">
                  <c:v>5.8775787227165623E-2</c:v>
                </c:pt>
                <c:pt idx="3">
                  <c:v>5.794360892318115E-2</c:v>
                </c:pt>
                <c:pt idx="4">
                  <c:v>4.4209107602788129E-2</c:v>
                </c:pt>
                <c:pt idx="5">
                  <c:v>5.4654238930112668E-2</c:v>
                </c:pt>
                <c:pt idx="6">
                  <c:v>6.7373861113836697E-2</c:v>
                </c:pt>
                <c:pt idx="7">
                  <c:v>5.995467810168837E-2</c:v>
                </c:pt>
                <c:pt idx="8">
                  <c:v>7.38232782874884E-2</c:v>
                </c:pt>
                <c:pt idx="9">
                  <c:v>6.1638520326204309E-2</c:v>
                </c:pt>
                <c:pt idx="10">
                  <c:v>6.7926307707544542E-2</c:v>
                </c:pt>
                <c:pt idx="11">
                  <c:v>6.6169721423477518E-2</c:v>
                </c:pt>
                <c:pt idx="12">
                  <c:v>6.0053557096976032E-2</c:v>
                </c:pt>
                <c:pt idx="13">
                  <c:v>6.431650711541656E-2</c:v>
                </c:pt>
                <c:pt idx="14">
                  <c:v>6.5104752875167246E-2</c:v>
                </c:pt>
                <c:pt idx="15">
                  <c:v>5.9895096834268864E-2</c:v>
                </c:pt>
              </c:numCache>
            </c:numRef>
          </c:yVal>
          <c:smooth val="0"/>
          <c:extLst>
            <c:ext xmlns:c16="http://schemas.microsoft.com/office/drawing/2014/chart" uri="{C3380CC4-5D6E-409C-BE32-E72D297353CC}">
              <c16:uniqueId val="{00000000-22A7-4C52-AFAC-2B744F03BFFA}"/>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22A7-4C52-AFAC-2B744F03BFFA}"/>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q/cm</a:t>
                </a:r>
                <a:r>
                  <a:rPr lang="en-US" sz="1400" b="0" i="0" u="none" strike="noStrike" baseline="30000">
                    <a:solidFill>
                      <a:sysClr val="windowText" lastClr="000000"/>
                    </a:solidFill>
                    <a:latin typeface="Calibri"/>
                  </a:rPr>
                  <a:t>-1</a:t>
                </a:r>
              </a:p>
            </c:rich>
          </c:tx>
          <c:layout>
            <c:manualLayout>
              <c:xMode val="edge"/>
              <c:yMode val="edge"/>
              <c:x val="0.55347381945702334"/>
              <c:y val="1.2598656954949067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ALV APD detectors</a:t>
            </a:r>
          </a:p>
        </c:rich>
      </c:tx>
      <c:layout>
        <c:manualLayout>
          <c:xMode val="edge"/>
          <c:yMode val="edge"/>
          <c:x val="2.0542306940523183E-2"/>
          <c:y val="1.2517237584322901E-2"/>
        </c:manualLayout>
      </c:layout>
      <c:overlay val="0"/>
      <c:spPr>
        <a:noFill/>
        <a:ln w="25400">
          <a:noFill/>
        </a:ln>
      </c:spPr>
    </c:title>
    <c:autoTitleDeleted val="0"/>
    <c:plotArea>
      <c:layout>
        <c:manualLayout>
          <c:layoutTarget val="inner"/>
          <c:xMode val="edge"/>
          <c:yMode val="edge"/>
          <c:x val="0.11478368135920848"/>
          <c:y val="7.4652904345880136E-2"/>
          <c:w val="0.8473154106366203"/>
          <c:h val="0.82641234825973597"/>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0.11678638458971426"/>
                  <c:y val="0.39256377813871757"/>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'Guinier+SphereFit1'!$AF$12:$AF$19</c:f>
              <c:numCache>
                <c:formatCode>General</c:formatCode>
                <c:ptCount val="8"/>
                <c:pt idx="0">
                  <c:v>1.0555329732261189</c:v>
                </c:pt>
                <c:pt idx="1">
                  <c:v>1.3434375692589569</c:v>
                </c:pt>
                <c:pt idx="2">
                  <c:v>2.1122260085135278</c:v>
                </c:pt>
                <c:pt idx="3">
                  <c:v>3.1725596942550371</c:v>
                </c:pt>
                <c:pt idx="4">
                  <c:v>4.349226255443206</c:v>
                </c:pt>
                <c:pt idx="5">
                  <c:v>5.4683026559678263</c:v>
                </c:pt>
                <c:pt idx="6">
                  <c:v>6.3734287602285056</c:v>
                </c:pt>
                <c:pt idx="7">
                  <c:v>6.9150432220477915</c:v>
                </c:pt>
              </c:numCache>
            </c:numRef>
          </c:xVal>
          <c:yVal>
            <c:numRef>
              <c:f>'Guinier+SphereFit1'!$AH$12:$AH$19</c:f>
              <c:numCache>
                <c:formatCode>General</c:formatCode>
                <c:ptCount val="8"/>
                <c:pt idx="0">
                  <c:v>-2.8482850013321501</c:v>
                </c:pt>
                <c:pt idx="1">
                  <c:v>-3.1188244567630465</c:v>
                </c:pt>
                <c:pt idx="2">
                  <c:v>-2.6974981535865803</c:v>
                </c:pt>
                <c:pt idx="3">
                  <c:v>-2.6060811731616789</c:v>
                </c:pt>
                <c:pt idx="4">
                  <c:v>-2.6893318716276711</c:v>
                </c:pt>
                <c:pt idx="5">
                  <c:v>-2.715532300979461</c:v>
                </c:pt>
                <c:pt idx="6">
                  <c:v>-2.7439389603836131</c:v>
                </c:pt>
                <c:pt idx="7">
                  <c:v>-2.8151606330663843</c:v>
                </c:pt>
              </c:numCache>
            </c:numRef>
          </c:yVal>
          <c:smooth val="0"/>
          <c:extLst>
            <c:ext xmlns:c16="http://schemas.microsoft.com/office/drawing/2014/chart" uri="{C3380CC4-5D6E-409C-BE32-E72D297353CC}">
              <c16:uniqueId val="{00000001-1A9A-492B-90F9-B981F2CF8705}"/>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Calibri"/>
                  </a:rPr>
                  <a:t>q</a:t>
                </a:r>
                <a:r>
                  <a:rPr lang="en-US" sz="1400" b="0" i="0" u="none" strike="noStrike" baseline="30000">
                    <a:solidFill>
                      <a:sysClr val="windowText" lastClr="000000"/>
                    </a:solidFill>
                    <a:latin typeface="Calibri"/>
                  </a:rPr>
                  <a:t>2</a:t>
                </a:r>
                <a:r>
                  <a:rPr lang="en-US" sz="1400" b="0" i="0" u="none" strike="noStrike" baseline="0">
                    <a:solidFill>
                      <a:sysClr val="windowText" lastClr="000000"/>
                    </a:solidFill>
                    <a:latin typeface="Calibri"/>
                  </a:rPr>
                  <a:t>/nm</a:t>
                </a:r>
                <a:r>
                  <a:rPr lang="en-US" sz="1400" b="0" i="0" u="none" strike="noStrike" baseline="30000">
                    <a:solidFill>
                      <a:sysClr val="windowText" lastClr="000000"/>
                    </a:solidFill>
                    <a:latin typeface="Calibri"/>
                  </a:rPr>
                  <a:t>-2</a:t>
                </a:r>
              </a:p>
            </c:rich>
          </c:tx>
          <c:layout>
            <c:manualLayout>
              <c:xMode val="edge"/>
              <c:yMode val="edge"/>
              <c:x val="0.5324262481908667"/>
              <c:y val="2.0134176488044688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rgbClr val="333333"/>
                    </a:solidFill>
                    <a:latin typeface="Script MT Bold"/>
                  </a:rPr>
                  <a:t>ln</a:t>
                </a:r>
                <a:r>
                  <a:rPr lang="en-US" sz="1400" b="0" i="0" u="none" strike="noStrike" baseline="0">
                    <a:solidFill>
                      <a:srgbClr val="333333"/>
                    </a:solidFill>
                    <a:latin typeface="Calibri"/>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rgbClr val="FFFF99"/>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Guinier plot, Wyatt diode detectors</a:t>
            </a:r>
          </a:p>
        </c:rich>
      </c:tx>
      <c:layout>
        <c:manualLayout>
          <c:xMode val="edge"/>
          <c:yMode val="edge"/>
          <c:x val="2.2761462729386957E-2"/>
          <c:y val="1.018940996121674E-2"/>
        </c:manualLayout>
      </c:layout>
      <c:overlay val="0"/>
      <c:spPr>
        <a:noFill/>
        <a:ln w="25400">
          <a:noFill/>
        </a:ln>
      </c:spPr>
    </c:title>
    <c:autoTitleDeleted val="0"/>
    <c:plotArea>
      <c:layout>
        <c:manualLayout>
          <c:layoutTarget val="inner"/>
          <c:xMode val="edge"/>
          <c:yMode val="edge"/>
          <c:x val="0.13841774920739069"/>
          <c:y val="7.4652904345880136E-2"/>
          <c:w val="0.82368130070967549"/>
          <c:h val="0.80957113237937239"/>
        </c:manualLayout>
      </c:layout>
      <c:scatterChart>
        <c:scatterStyle val="lineMarker"/>
        <c:varyColors val="0"/>
        <c:ser>
          <c:idx val="0"/>
          <c:order val="0"/>
          <c:spPr>
            <a:ln w="19050">
              <a:noFill/>
            </a:ln>
          </c:spPr>
          <c:marker>
            <c:symbol val="circle"/>
            <c:size val="10"/>
            <c:spPr>
              <a:noFill/>
              <a:ln>
                <a:solidFill>
                  <a:srgbClr val="0000FF"/>
                </a:solidFill>
                <a:prstDash val="solid"/>
              </a:ln>
            </c:spPr>
          </c:marker>
          <c:trendline>
            <c:spPr>
              <a:ln w="25400">
                <a:solidFill>
                  <a:srgbClr val="000000"/>
                </a:solidFill>
                <a:prstDash val="solid"/>
              </a:ln>
            </c:spPr>
            <c:trendlineType val="linear"/>
            <c:backward val="1"/>
            <c:dispRSqr val="1"/>
            <c:dispEq val="1"/>
            <c:trendlineLbl>
              <c:layout>
                <c:manualLayout>
                  <c:x val="9.6111118197899276E-2"/>
                  <c:y val="9.7896846191205117E-2"/>
                </c:manualLayout>
              </c:layout>
              <c:numFmt formatCode="0.00E+00" sourceLinked="0"/>
              <c:spPr>
                <a:noFill/>
                <a:ln w="25400">
                  <a:noFill/>
                </a:ln>
              </c:spPr>
              <c:txPr>
                <a:bodyPr/>
                <a:lstStyle/>
                <a:p>
                  <a:pPr>
                    <a:defRPr sz="1000" b="0" i="0" u="none" strike="noStrike" baseline="0">
                      <a:solidFill>
                        <a:srgbClr val="000000"/>
                      </a:solidFill>
                      <a:latin typeface="Calibri"/>
                      <a:ea typeface="Calibri"/>
                      <a:cs typeface="Calibri"/>
                    </a:defRPr>
                  </a:pPr>
                  <a:endParaRPr lang="en-US"/>
                </a:p>
              </c:txPr>
            </c:trendlineLbl>
          </c:trendline>
          <c:xVal>
            <c:numRef>
              <c:f>'Guinier+SphereFit1'!$AY$12:$AY$19</c:f>
              <c:numCache>
                <c:formatCode>General</c:formatCode>
                <c:ptCount val="8"/>
                <c:pt idx="0">
                  <c:v>0.28628093142053257</c:v>
                </c:pt>
                <c:pt idx="1">
                  <c:v>0.44022157570604104</c:v>
                </c:pt>
                <c:pt idx="2">
                  <c:v>0.57147484768024681</c:v>
                </c:pt>
                <c:pt idx="3">
                  <c:v>1.7125638542325015</c:v>
                </c:pt>
                <c:pt idx="4">
                  <c:v>2.5987131315953915</c:v>
                </c:pt>
                <c:pt idx="5">
                  <c:v>3.7608929748491216</c:v>
                </c:pt>
                <c:pt idx="6">
                  <c:v>5.971490400915803</c:v>
                </c:pt>
                <c:pt idx="7">
                  <c:v>6.6836557617250101</c:v>
                </c:pt>
              </c:numCache>
            </c:numRef>
          </c:xVal>
          <c:yVal>
            <c:numRef>
              <c:f>'Guinier+SphereFit1'!$BA$12:$BA$19</c:f>
              <c:numCache>
                <c:formatCode>General</c:formatCode>
                <c:ptCount val="8"/>
                <c:pt idx="0">
                  <c:v>-1.9946292313038425</c:v>
                </c:pt>
                <c:pt idx="1">
                  <c:v>-2.7418095515618335</c:v>
                </c:pt>
                <c:pt idx="2">
                  <c:v>-2.8340252907339085</c:v>
                </c:pt>
                <c:pt idx="3">
                  <c:v>-2.9067285023152207</c:v>
                </c:pt>
                <c:pt idx="4">
                  <c:v>-2.8141663671637631</c:v>
                </c:pt>
                <c:pt idx="5">
                  <c:v>-2.7864682739091289</c:v>
                </c:pt>
                <c:pt idx="6">
                  <c:v>-2.8125184966238908</c:v>
                </c:pt>
                <c:pt idx="7">
                  <c:v>-2.7317577235974944</c:v>
                </c:pt>
              </c:numCache>
            </c:numRef>
          </c:yVal>
          <c:smooth val="0"/>
          <c:extLst>
            <c:ext xmlns:c16="http://schemas.microsoft.com/office/drawing/2014/chart" uri="{C3380CC4-5D6E-409C-BE32-E72D297353CC}">
              <c16:uniqueId val="{00000001-1AAD-47FB-8BD9-1CF992FD2C84}"/>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chemeClr val="tx1"/>
                    </a:solidFill>
                    <a:latin typeface="Calibri"/>
                  </a:rPr>
                  <a:t>q</a:t>
                </a:r>
                <a:r>
                  <a:rPr lang="en-US" sz="1400" b="0" i="0" u="none" strike="noStrike" baseline="30000">
                    <a:solidFill>
                      <a:schemeClr val="tx1"/>
                    </a:solidFill>
                    <a:latin typeface="Calibri"/>
                  </a:rPr>
                  <a:t>2</a:t>
                </a:r>
                <a:r>
                  <a:rPr lang="en-US" sz="1400" b="0" i="0" u="none" strike="noStrike" baseline="0">
                    <a:solidFill>
                      <a:schemeClr val="tx1"/>
                    </a:solidFill>
                    <a:latin typeface="Calibri"/>
                  </a:rPr>
                  <a:t>/nm</a:t>
                </a:r>
                <a:r>
                  <a:rPr lang="en-US" sz="1400" b="0" i="0" u="none" strike="noStrike" baseline="30000">
                    <a:solidFill>
                      <a:schemeClr val="tx1"/>
                    </a:solidFill>
                    <a:latin typeface="Calibri"/>
                  </a:rPr>
                  <a:t>-2</a:t>
                </a:r>
              </a:p>
            </c:rich>
          </c:tx>
          <c:layout>
            <c:manualLayout>
              <c:xMode val="edge"/>
              <c:yMode val="edge"/>
              <c:x val="0.5441432664938296"/>
              <c:y val="1.511994830588774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ysClr val="windowText" lastClr="000000"/>
                    </a:solidFill>
                    <a:latin typeface="Script MT Bold"/>
                  </a:rPr>
                  <a:t>ln</a:t>
                </a:r>
                <a:r>
                  <a:rPr lang="en-US" sz="1400" b="0" i="0" u="none" strike="noStrike" baseline="0">
                    <a:solidFill>
                      <a:sysClr val="windowText" lastClr="000000"/>
                    </a:solidFill>
                    <a:latin typeface="Calibri"/>
                  </a:rPr>
                  <a:t>(Intensity)</a:t>
                </a:r>
              </a:p>
            </c:rich>
          </c:tx>
          <c:layout>
            <c:manualLayout>
              <c:xMode val="edge"/>
              <c:yMode val="edge"/>
              <c:x val="3.9728983876253857E-2"/>
              <c:y val="0.41297524826116788"/>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 val="autoZero"/>
        <c:crossBetween val="midCat"/>
      </c:valAx>
      <c:spPr>
        <a:noFill/>
        <a:ln w="25400">
          <a:noFill/>
        </a:ln>
      </c:spPr>
    </c:plotArea>
    <c:plotVisOnly val="1"/>
    <c:dispBlanksAs val="gap"/>
    <c:showDLblsOverMax val="0"/>
  </c:chart>
  <c:spPr>
    <a:solidFill>
      <a:schemeClr val="accent1">
        <a:lumMod val="60000"/>
        <a:lumOff val="40000"/>
      </a:schemeClr>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ysClr val="windowText" lastClr="000000"/>
                </a:solidFill>
              </a:rPr>
              <a:t>Sphere plot, ALV APD detectors</a:t>
            </a:r>
          </a:p>
        </c:rich>
      </c:tx>
      <c:layout>
        <c:manualLayout>
          <c:xMode val="edge"/>
          <c:yMode val="edge"/>
          <c:x val="2.0542180176352426E-2"/>
          <c:y val="1.213535607204037E-2"/>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'Guinier+SphereFit1'!$AD$12:$AD$19</c:f>
              <c:numCache>
                <c:formatCode>General</c:formatCode>
                <c:ptCount val="8"/>
                <c:pt idx="0">
                  <c:v>102739.13437566617</c:v>
                </c:pt>
                <c:pt idx="1">
                  <c:v>115906.75430098787</c:v>
                </c:pt>
                <c:pt idx="2">
                  <c:v>145334.99263816432</c:v>
                </c:pt>
                <c:pt idx="3">
                  <c:v>178116.80701873807</c:v>
                </c:pt>
                <c:pt idx="4">
                  <c:v>208547.98621524032</c:v>
                </c:pt>
                <c:pt idx="5">
                  <c:v>233844.02186003872</c:v>
                </c:pt>
                <c:pt idx="6">
                  <c:v>252456.50635760027</c:v>
                </c:pt>
                <c:pt idx="7">
                  <c:v>262964.69766962621</c:v>
                </c:pt>
              </c:numCache>
            </c:numRef>
          </c:xVal>
          <c:yVal>
            <c:numRef>
              <c:f>'Guinier+SphereFit1'!$AG$12:$AG$19</c:f>
              <c:numCache>
                <c:formatCode>General</c:formatCode>
                <c:ptCount val="8"/>
                <c:pt idx="0">
                  <c:v>5.794360892318115E-2</c:v>
                </c:pt>
                <c:pt idx="1">
                  <c:v>4.4209107602788129E-2</c:v>
                </c:pt>
                <c:pt idx="2">
                  <c:v>6.7373861113836697E-2</c:v>
                </c:pt>
                <c:pt idx="3">
                  <c:v>7.38232782874884E-2</c:v>
                </c:pt>
                <c:pt idx="4">
                  <c:v>6.7926307707544542E-2</c:v>
                </c:pt>
                <c:pt idx="5">
                  <c:v>6.6169721423477518E-2</c:v>
                </c:pt>
                <c:pt idx="6">
                  <c:v>6.431650711541656E-2</c:v>
                </c:pt>
                <c:pt idx="7">
                  <c:v>5.9895096834268864E-2</c:v>
                </c:pt>
              </c:numCache>
            </c:numRef>
          </c:yVal>
          <c:smooth val="0"/>
          <c:extLst>
            <c:ext xmlns:c16="http://schemas.microsoft.com/office/drawing/2014/chart" uri="{C3380CC4-5D6E-409C-BE32-E72D297353CC}">
              <c16:uniqueId val="{00000000-FA22-4165-A8D1-8C7429F432AB}"/>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FA22-4165-A8D1-8C7429F432AB}"/>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chemeClr val="tx1"/>
                    </a:solidFill>
                    <a:latin typeface="Calibri"/>
                    <a:ea typeface="Calibri"/>
                    <a:cs typeface="Calibri"/>
                  </a:defRPr>
                </a:pPr>
                <a:r>
                  <a:rPr lang="en-US" sz="1400" b="0" i="0" u="none" strike="noStrike" baseline="0">
                    <a:solidFill>
                      <a:schemeClr val="tx1"/>
                    </a:solidFill>
                    <a:latin typeface="Calibri"/>
                  </a:rPr>
                  <a:t>q/cm</a:t>
                </a:r>
                <a:r>
                  <a:rPr lang="en-US" sz="1400" b="0" i="0" u="none" strike="noStrike" baseline="30000">
                    <a:solidFill>
                      <a:schemeClr val="tx1"/>
                    </a:solidFill>
                    <a:latin typeface="Calibri"/>
                  </a:rPr>
                  <a:t>-1</a:t>
                </a:r>
              </a:p>
            </c:rich>
          </c:tx>
          <c:layout>
            <c:manualLayout>
              <c:xMode val="edge"/>
              <c:yMode val="edge"/>
              <c:x val="0.54309028556845951"/>
              <c:y val="2.4681633312886961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rgbClr val="FFFF99"/>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1">
                <a:solidFill>
                  <a:schemeClr val="tx1"/>
                </a:solidFill>
              </a:rPr>
              <a:t>Sphere plot, Wyatt diode detectors</a:t>
            </a:r>
          </a:p>
        </c:rich>
      </c:tx>
      <c:layout>
        <c:manualLayout>
          <c:xMode val="edge"/>
          <c:yMode val="edge"/>
          <c:x val="2.054228477548499E-2"/>
          <c:y val="9.7075934927947482E-3"/>
        </c:manualLayout>
      </c:layout>
      <c:overlay val="0"/>
      <c:spPr>
        <a:noFill/>
        <a:ln w="25400">
          <a:noFill/>
        </a:ln>
      </c:spPr>
    </c:title>
    <c:autoTitleDeleted val="0"/>
    <c:plotArea>
      <c:layout>
        <c:manualLayout>
          <c:layoutTarget val="inner"/>
          <c:xMode val="edge"/>
          <c:yMode val="edge"/>
          <c:x val="8.0174927113702707E-2"/>
          <c:y val="7.4652904345880136E-2"/>
          <c:w val="0.88192419825072887"/>
          <c:h val="0.84548754456845532"/>
        </c:manualLayout>
      </c:layout>
      <c:scatterChart>
        <c:scatterStyle val="lineMarker"/>
        <c:varyColors val="0"/>
        <c:ser>
          <c:idx val="0"/>
          <c:order val="0"/>
          <c:spPr>
            <a:ln w="19050">
              <a:noFill/>
            </a:ln>
          </c:spPr>
          <c:marker>
            <c:symbol val="circle"/>
            <c:size val="10"/>
            <c:spPr>
              <a:noFill/>
              <a:ln>
                <a:solidFill>
                  <a:srgbClr val="0000FF"/>
                </a:solidFill>
                <a:prstDash val="solid"/>
              </a:ln>
            </c:spPr>
          </c:marker>
          <c:xVal>
            <c:numRef>
              <c:f>'Guinier+SphereFit1'!$AW$12:$AW$19</c:f>
              <c:numCache>
                <c:formatCode>General</c:formatCode>
                <c:ptCount val="8"/>
                <c:pt idx="0">
                  <c:v>53505.226980224332</c:v>
                </c:pt>
                <c:pt idx="1">
                  <c:v>66349.195602210661</c:v>
                </c:pt>
                <c:pt idx="2">
                  <c:v>75595.955426216213</c:v>
                </c:pt>
                <c:pt idx="3">
                  <c:v>130864.96300509552</c:v>
                </c:pt>
                <c:pt idx="4">
                  <c:v>161205.2459318676</c:v>
                </c:pt>
                <c:pt idx="5">
                  <c:v>193930.21876048925</c:v>
                </c:pt>
                <c:pt idx="6">
                  <c:v>244366.33157855037</c:v>
                </c:pt>
                <c:pt idx="7">
                  <c:v>258527.67282681772</c:v>
                </c:pt>
              </c:numCache>
            </c:numRef>
          </c:xVal>
          <c:yVal>
            <c:numRef>
              <c:f>'Guinier+SphereFit1'!$AZ$12:$AZ$19</c:f>
              <c:numCache>
                <c:formatCode>General</c:formatCode>
                <c:ptCount val="8"/>
                <c:pt idx="0">
                  <c:v>0.13606409312207923</c:v>
                </c:pt>
                <c:pt idx="1">
                  <c:v>6.4453609174415061E-2</c:v>
                </c:pt>
                <c:pt idx="2">
                  <c:v>5.8775787227165623E-2</c:v>
                </c:pt>
                <c:pt idx="3">
                  <c:v>5.4654238930112668E-2</c:v>
                </c:pt>
                <c:pt idx="4">
                  <c:v>5.995467810168837E-2</c:v>
                </c:pt>
                <c:pt idx="5">
                  <c:v>6.1638520326204309E-2</c:v>
                </c:pt>
                <c:pt idx="6">
                  <c:v>6.0053557096976032E-2</c:v>
                </c:pt>
                <c:pt idx="7">
                  <c:v>6.5104752875167246E-2</c:v>
                </c:pt>
              </c:numCache>
            </c:numRef>
          </c:yVal>
          <c:smooth val="0"/>
          <c:extLst>
            <c:ext xmlns:c16="http://schemas.microsoft.com/office/drawing/2014/chart" uri="{C3380CC4-5D6E-409C-BE32-E72D297353CC}">
              <c16:uniqueId val="{00000000-E6C5-4797-A643-87EDC06F620B}"/>
            </c:ext>
          </c:extLst>
        </c:ser>
        <c:ser>
          <c:idx val="1"/>
          <c:order val="1"/>
          <c:tx>
            <c:v>SphereFit</c:v>
          </c:tx>
          <c:spPr>
            <a:ln w="19050">
              <a:solidFill>
                <a:srgbClr val="FF0000"/>
              </a:solidFill>
            </a:ln>
          </c:spPr>
          <c:marker>
            <c:symbol val="none"/>
          </c:marker>
          <c:xVal>
            <c:numRef>
              <c:f>'Guinier+SphereFit1'!$B$30:$B$79</c:f>
              <c:numCache>
                <c:formatCode>General</c:formatCode>
                <c:ptCount val="50"/>
                <c:pt idx="0">
                  <c:v>1</c:v>
                </c:pt>
                <c:pt idx="1">
                  <c:v>10000</c:v>
                </c:pt>
                <c:pt idx="2">
                  <c:v>15000</c:v>
                </c:pt>
                <c:pt idx="3">
                  <c:v>20000</c:v>
                </c:pt>
                <c:pt idx="4">
                  <c:v>25000</c:v>
                </c:pt>
                <c:pt idx="5">
                  <c:v>30000</c:v>
                </c:pt>
                <c:pt idx="6">
                  <c:v>35000</c:v>
                </c:pt>
                <c:pt idx="7">
                  <c:v>40000</c:v>
                </c:pt>
                <c:pt idx="8">
                  <c:v>45000</c:v>
                </c:pt>
                <c:pt idx="9">
                  <c:v>50000</c:v>
                </c:pt>
                <c:pt idx="10">
                  <c:v>55000</c:v>
                </c:pt>
                <c:pt idx="11">
                  <c:v>60000</c:v>
                </c:pt>
                <c:pt idx="12">
                  <c:v>65000</c:v>
                </c:pt>
                <c:pt idx="13">
                  <c:v>70000</c:v>
                </c:pt>
                <c:pt idx="14">
                  <c:v>75000</c:v>
                </c:pt>
                <c:pt idx="15">
                  <c:v>80000</c:v>
                </c:pt>
                <c:pt idx="16">
                  <c:v>85000</c:v>
                </c:pt>
                <c:pt idx="17">
                  <c:v>90000</c:v>
                </c:pt>
                <c:pt idx="18">
                  <c:v>95000</c:v>
                </c:pt>
                <c:pt idx="19">
                  <c:v>100000</c:v>
                </c:pt>
                <c:pt idx="20">
                  <c:v>105000</c:v>
                </c:pt>
                <c:pt idx="21">
                  <c:v>110000</c:v>
                </c:pt>
                <c:pt idx="22">
                  <c:v>115000</c:v>
                </c:pt>
                <c:pt idx="23">
                  <c:v>120000</c:v>
                </c:pt>
                <c:pt idx="24">
                  <c:v>125000</c:v>
                </c:pt>
                <c:pt idx="25">
                  <c:v>130000</c:v>
                </c:pt>
                <c:pt idx="26">
                  <c:v>135000</c:v>
                </c:pt>
                <c:pt idx="27">
                  <c:v>140000</c:v>
                </c:pt>
                <c:pt idx="28">
                  <c:v>145000</c:v>
                </c:pt>
                <c:pt idx="29">
                  <c:v>150000</c:v>
                </c:pt>
                <c:pt idx="30">
                  <c:v>155000</c:v>
                </c:pt>
                <c:pt idx="31">
                  <c:v>160000</c:v>
                </c:pt>
                <c:pt idx="32">
                  <c:v>165000</c:v>
                </c:pt>
                <c:pt idx="33">
                  <c:v>170000</c:v>
                </c:pt>
                <c:pt idx="34">
                  <c:v>175000.00000000003</c:v>
                </c:pt>
                <c:pt idx="35">
                  <c:v>180000</c:v>
                </c:pt>
                <c:pt idx="36">
                  <c:v>185000</c:v>
                </c:pt>
                <c:pt idx="37">
                  <c:v>190000</c:v>
                </c:pt>
                <c:pt idx="38">
                  <c:v>195000</c:v>
                </c:pt>
                <c:pt idx="39">
                  <c:v>200000</c:v>
                </c:pt>
                <c:pt idx="40">
                  <c:v>205000</c:v>
                </c:pt>
                <c:pt idx="41">
                  <c:v>210000</c:v>
                </c:pt>
                <c:pt idx="42">
                  <c:v>214999.99999999997</c:v>
                </c:pt>
                <c:pt idx="43">
                  <c:v>220000</c:v>
                </c:pt>
                <c:pt idx="44">
                  <c:v>225000</c:v>
                </c:pt>
                <c:pt idx="45">
                  <c:v>230000</c:v>
                </c:pt>
                <c:pt idx="46">
                  <c:v>235000</c:v>
                </c:pt>
                <c:pt idx="47">
                  <c:v>240000</c:v>
                </c:pt>
                <c:pt idx="48">
                  <c:v>245000</c:v>
                </c:pt>
                <c:pt idx="49">
                  <c:v>250000</c:v>
                </c:pt>
              </c:numCache>
            </c:numRef>
          </c:xVal>
          <c:yVal>
            <c:numRef>
              <c:f>'Guinier+SphereFit1'!$F$30:$F$79</c:f>
              <c:numCache>
                <c:formatCode>General</c:formatCode>
                <c:ptCount val="50"/>
                <c:pt idx="0">
                  <c:v>1.4456708102296651</c:v>
                </c:pt>
                <c:pt idx="1">
                  <c:v>1.4420069628981558</c:v>
                </c:pt>
                <c:pt idx="2">
                  <c:v>1.4374334765185786</c:v>
                </c:pt>
                <c:pt idx="3">
                  <c:v>1.4310514830196617</c:v>
                </c:pt>
                <c:pt idx="4">
                  <c:v>1.422881752064294</c:v>
                </c:pt>
                <c:pt idx="5">
                  <c:v>1.4129508200247456</c:v>
                </c:pt>
                <c:pt idx="6">
                  <c:v>1.401290865701295</c:v>
                </c:pt>
                <c:pt idx="7">
                  <c:v>1.3879395598878199</c:v>
                </c:pt>
                <c:pt idx="8">
                  <c:v>1.3729398896488623</c:v>
                </c:pt>
                <c:pt idx="9">
                  <c:v>1.3563399583155451</c:v>
                </c:pt>
                <c:pt idx="10">
                  <c:v>1.3381927623450272</c:v>
                </c:pt>
                <c:pt idx="11">
                  <c:v>1.3185559463174821</c:v>
                </c:pt>
                <c:pt idx="12">
                  <c:v>1.2974915374657905</c:v>
                </c:pt>
                <c:pt idx="13">
                  <c:v>1.2750656612451015</c:v>
                </c:pt>
                <c:pt idx="14">
                  <c:v>1.2513482395516169</c:v>
                </c:pt>
                <c:pt idx="15">
                  <c:v>1.2264126732918315</c:v>
                </c:pt>
                <c:pt idx="16">
                  <c:v>1.2003355110840861</c:v>
                </c:pt>
                <c:pt idx="17">
                  <c:v>1.1731961059436939</c:v>
                </c:pt>
                <c:pt idx="18">
                  <c:v>1.1450762618602175</c:v>
                </c:pt>
                <c:pt idx="19">
                  <c:v>1.1160598722206938</c:v>
                </c:pt>
                <c:pt idx="20">
                  <c:v>1.0862325520653473</c:v>
                </c:pt>
                <c:pt idx="21">
                  <c:v>1.0556812661824742</c:v>
                </c:pt>
                <c:pt idx="22">
                  <c:v>1.0244939550567211</c:v>
                </c:pt>
                <c:pt idx="23">
                  <c:v>0.99275916067989733</c:v>
                </c:pt>
                <c:pt idx="24">
                  <c:v>0.96056565421588791</c:v>
                </c:pt>
                <c:pt idx="25">
                  <c:v>0.92800206748137337</c:v>
                </c:pt>
                <c:pt idx="26">
                  <c:v>0.89515653016224606</c:v>
                </c:pt>
                <c:pt idx="27">
                  <c:v>0.86211631463212623</c:v>
                </c:pt>
                <c:pt idx="28">
                  <c:v>0.82896749017476634</c:v>
                </c:pt>
                <c:pt idx="29">
                  <c:v>0.79579458833685179</c:v>
                </c:pt>
                <c:pt idx="30">
                  <c:v>0.76268028105236918</c:v>
                </c:pt>
                <c:pt idx="31">
                  <c:v>0.7297050730850182</c:v>
                </c:pt>
                <c:pt idx="32">
                  <c:v>0.69694701023171413</c:v>
                </c:pt>
                <c:pt idx="33">
                  <c:v>0.66448140461897875</c:v>
                </c:pt>
                <c:pt idx="34">
                  <c:v>0.63238057830561767</c:v>
                </c:pt>
                <c:pt idx="35">
                  <c:v>0.60071362628052749</c:v>
                </c:pt>
                <c:pt idx="36">
                  <c:v>0.56954619981456966</c:v>
                </c:pt>
                <c:pt idx="37">
                  <c:v>0.53894031099118633</c:v>
                </c:pt>
                <c:pt idx="38">
                  <c:v>0.5089541591027138</c:v>
                </c:pt>
                <c:pt idx="39">
                  <c:v>0.47964197945916903</c:v>
                </c:pt>
                <c:pt idx="40">
                  <c:v>0.45105391501459818</c:v>
                </c:pt>
                <c:pt idx="41">
                  <c:v>0.42323591107385833</c:v>
                </c:pt>
                <c:pt idx="42">
                  <c:v>0.39622963320091498</c:v>
                </c:pt>
                <c:pt idx="43">
                  <c:v>0.37007240830932064</c:v>
                </c:pt>
                <c:pt idx="44">
                  <c:v>0.34479718877745208</c:v>
                </c:pt>
                <c:pt idx="45">
                  <c:v>0.3204325392961575</c:v>
                </c:pt>
                <c:pt idx="46">
                  <c:v>0.29700264602566023</c:v>
                </c:pt>
                <c:pt idx="47">
                  <c:v>0.27452734751261521</c:v>
                </c:pt>
                <c:pt idx="48">
                  <c:v>0.25302218669795967</c:v>
                </c:pt>
                <c:pt idx="49">
                  <c:v>0.23249848323234981</c:v>
                </c:pt>
              </c:numCache>
            </c:numRef>
          </c:yVal>
          <c:smooth val="0"/>
          <c:extLst>
            <c:ext xmlns:c16="http://schemas.microsoft.com/office/drawing/2014/chart" uri="{C3380CC4-5D6E-409C-BE32-E72D297353CC}">
              <c16:uniqueId val="{00000001-E6C5-4797-A643-87EDC06F620B}"/>
            </c:ext>
          </c:extLst>
        </c:ser>
        <c:dLbls>
          <c:showLegendKey val="0"/>
          <c:showVal val="0"/>
          <c:showCatName val="0"/>
          <c:showSerName val="0"/>
          <c:showPercent val="0"/>
          <c:showBubbleSize val="0"/>
        </c:dLbls>
        <c:axId val="40995840"/>
        <c:axId val="40998016"/>
      </c:scatterChart>
      <c:valAx>
        <c:axId val="4099584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400" b="0" i="0" u="none" strike="noStrike" baseline="0">
                    <a:solidFill>
                      <a:schemeClr val="tx1"/>
                    </a:solidFill>
                    <a:latin typeface="Calibri"/>
                  </a:rPr>
                  <a:t>q/cm</a:t>
                </a:r>
                <a:r>
                  <a:rPr lang="en-US" sz="1400" b="0" i="0" u="none" strike="noStrike" baseline="30000">
                    <a:solidFill>
                      <a:schemeClr val="tx1"/>
                    </a:solidFill>
                    <a:latin typeface="Calibri"/>
                  </a:rPr>
                  <a:t>-1</a:t>
                </a:r>
              </a:p>
            </c:rich>
          </c:tx>
          <c:layout>
            <c:manualLayout>
              <c:xMode val="edge"/>
              <c:yMode val="edge"/>
              <c:x val="0.54804355655138448"/>
              <c:y val="1.7480099796681078E-2"/>
            </c:manualLayout>
          </c:layout>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0" vert="horz"/>
          <a:lstStyle/>
          <a:p>
            <a:pPr>
              <a:defRPr sz="900" b="0" i="0" u="none" strike="noStrike" baseline="0">
                <a:solidFill>
                  <a:srgbClr val="333333"/>
                </a:solidFill>
                <a:latin typeface="Calibri"/>
                <a:ea typeface="Calibri"/>
                <a:cs typeface="Calibri"/>
              </a:defRPr>
            </a:pPr>
            <a:endParaRPr lang="en-US"/>
          </a:p>
        </c:txPr>
        <c:crossAx val="40998016"/>
        <c:crosses val="autoZero"/>
        <c:crossBetween val="midCat"/>
      </c:valAx>
      <c:valAx>
        <c:axId val="40998016"/>
        <c:scaling>
          <c:orientation val="minMax"/>
        </c:scaling>
        <c:delete val="0"/>
        <c:axPos val="l"/>
        <c:majorGridlines>
          <c:spPr>
            <a:ln w="9525" cap="flat" cmpd="sng" algn="ctr">
              <a:solidFill>
                <a:schemeClr val="tx1">
                  <a:lumMod val="15000"/>
                  <a:lumOff val="85000"/>
                </a:schemeClr>
              </a:solidFill>
              <a:round/>
            </a:ln>
            <a:effectLst/>
          </c:spPr>
        </c:majorGridlines>
        <c:title>
          <c:tx>
            <c:rich>
              <a:bodyPr/>
              <a:lstStyle/>
              <a:p>
                <a:pPr>
                  <a:defRPr sz="1100" b="0" i="0" u="none" strike="noStrike" baseline="0">
                    <a:solidFill>
                      <a:srgbClr val="000000"/>
                    </a:solidFill>
                    <a:latin typeface="Calibri"/>
                    <a:ea typeface="Calibri"/>
                    <a:cs typeface="Calibri"/>
                  </a:defRPr>
                </a:pPr>
                <a:r>
                  <a:rPr lang="en-US" sz="1000" b="0" i="0" u="none" strike="noStrike" baseline="0">
                    <a:solidFill>
                      <a:srgbClr val="333333"/>
                    </a:solidFill>
                    <a:latin typeface="+mj-lt"/>
                  </a:rPr>
                  <a:t>Intensity</a:t>
                </a:r>
              </a:p>
            </c:rich>
          </c:tx>
          <c:overlay val="0"/>
          <c:spPr>
            <a:noFill/>
            <a:ln w="25400">
              <a:noFill/>
            </a:ln>
          </c:spPr>
        </c:title>
        <c:numFmt formatCode="General"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995840"/>
        <c:crossesAt val="0"/>
        <c:crossBetween val="midCat"/>
      </c:valAx>
      <c:spPr>
        <a:noFill/>
        <a:ln w="25400">
          <a:noFill/>
        </a:ln>
      </c:spPr>
    </c:plotArea>
    <c:plotVisOnly val="1"/>
    <c:dispBlanksAs val="gap"/>
    <c:showDLblsOverMax val="0"/>
  </c:chart>
  <c:spPr>
    <a:solidFill>
      <a:schemeClr val="accent1">
        <a:lumMod val="60000"/>
        <a:lumOff val="40000"/>
      </a:schemeClr>
    </a:solidFill>
    <a:ln w="38100" cap="flat" cmpd="sng" algn="ctr">
      <a:solidFill>
        <a:schemeClr val="tx1"/>
      </a:solidFill>
      <a:round/>
    </a:ln>
    <a:effectLst/>
  </c:spPr>
  <c:txPr>
    <a:bodyPr/>
    <a:lstStyle/>
    <a:p>
      <a:pPr>
        <a:defRPr/>
      </a:pPr>
      <a:endParaRPr lang="en-US"/>
    </a:p>
  </c:txPr>
  <c:printSettings>
    <c:headerFooter/>
    <c:pageMargins b="0.750000000000001" l="0.70000000000000062" r="0.70000000000000062" t="0.75000000000000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Zimm plot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c1</c:v>
          </c:tx>
          <c:spPr>
            <a:ln w="25400" cap="rnd">
              <a:noFill/>
              <a:round/>
            </a:ln>
            <a:effectLst/>
          </c:spPr>
          <c:marker>
            <c:symbol val="circle"/>
            <c:size val="5"/>
            <c:spPr>
              <a:solidFill>
                <a:schemeClr val="accent1"/>
              </a:solidFill>
              <a:ln w="9525">
                <a:solidFill>
                  <a:schemeClr val="accent1"/>
                </a:solidFill>
              </a:ln>
              <a:effectLst/>
            </c:spPr>
          </c:marker>
          <c:xVal>
            <c:numRef>
              <c:f>ZimmPrep!$F$71:$F$88</c:f>
              <c:numCache>
                <c:formatCode>General</c:formatCode>
                <c:ptCount val="18"/>
                <c:pt idx="0">
                  <c:v>2.8872809314205323</c:v>
                </c:pt>
                <c:pt idx="1">
                  <c:v>3.0412215757060412</c:v>
                </c:pt>
                <c:pt idx="2">
                  <c:v>3.1724748476802467</c:v>
                </c:pt>
                <c:pt idx="4">
                  <c:v>3.6565329732261187</c:v>
                </c:pt>
                <c:pt idx="5">
                  <c:v>3.9444375692589571</c:v>
                </c:pt>
                <c:pt idx="6">
                  <c:v>4.3135638542325019</c:v>
                </c:pt>
                <c:pt idx="7">
                  <c:v>4.7132260085135282</c:v>
                </c:pt>
                <c:pt idx="8">
                  <c:v>5.1997131315953915</c:v>
                </c:pt>
                <c:pt idx="9">
                  <c:v>5.773559694255038</c:v>
                </c:pt>
                <c:pt idx="10">
                  <c:v>6.3618929748491215</c:v>
                </c:pt>
                <c:pt idx="11">
                  <c:v>6.9502262554432068</c:v>
                </c:pt>
                <c:pt idx="13">
                  <c:v>8.069302655967828</c:v>
                </c:pt>
                <c:pt idx="14">
                  <c:v>8.5724904009158021</c:v>
                </c:pt>
                <c:pt idx="15">
                  <c:v>8.9744287602285056</c:v>
                </c:pt>
                <c:pt idx="16">
                  <c:v>9.2846557617250109</c:v>
                </c:pt>
                <c:pt idx="17">
                  <c:v>9.5160432220477915</c:v>
                </c:pt>
              </c:numCache>
            </c:numRef>
          </c:xVal>
          <c:yVal>
            <c:numRef>
              <c:f>ZimmPrep!$F$50:$F$67</c:f>
              <c:numCache>
                <c:formatCode>General</c:formatCode>
                <c:ptCount val="18"/>
                <c:pt idx="0">
                  <c:v>4.6062732760941252E-6</c:v>
                </c:pt>
                <c:pt idx="1">
                  <c:v>9.7240232783272066E-6</c:v>
                </c:pt>
                <c:pt idx="2">
                  <c:v>1.0663377311508619E-5</c:v>
                </c:pt>
                <c:pt idx="4">
                  <c:v>1.0816523299664143E-5</c:v>
                </c:pt>
                <c:pt idx="5">
                  <c:v>1.4176906749972238E-5</c:v>
                </c:pt>
                <c:pt idx="6">
                  <c:v>1.1467516669395949E-5</c:v>
                </c:pt>
                <c:pt idx="7">
                  <c:v>9.3025453139051206E-6</c:v>
                </c:pt>
                <c:pt idx="8">
                  <c:v>1.0453702960779741E-5</c:v>
                </c:pt>
                <c:pt idx="9">
                  <c:v>8.4898477895208516E-6</c:v>
                </c:pt>
                <c:pt idx="10">
                  <c:v>1.0168128512289533E-5</c:v>
                </c:pt>
                <c:pt idx="11">
                  <c:v>9.2268874481249534E-6</c:v>
                </c:pt>
                <c:pt idx="13">
                  <c:v>9.4718306576071035E-6</c:v>
                </c:pt>
                <c:pt idx="14">
                  <c:v>1.0436490797241645E-5</c:v>
                </c:pt>
                <c:pt idx="15">
                  <c:v>9.7447517611537925E-6</c:v>
                </c:pt>
                <c:pt idx="16">
                  <c:v>9.6267686813273377E-6</c:v>
                </c:pt>
                <c:pt idx="17">
                  <c:v>1.0464101889983474E-5</c:v>
                </c:pt>
              </c:numCache>
            </c:numRef>
          </c:yVal>
          <c:smooth val="0"/>
          <c:extLst>
            <c:ext xmlns:c16="http://schemas.microsoft.com/office/drawing/2014/chart" uri="{C3380CC4-5D6E-409C-BE32-E72D297353CC}">
              <c16:uniqueId val="{00000000-FEF3-4409-864D-D8691767E01C}"/>
            </c:ext>
          </c:extLst>
        </c:ser>
        <c:ser>
          <c:idx val="1"/>
          <c:order val="1"/>
          <c:tx>
            <c:v>c2</c:v>
          </c:tx>
          <c:spPr>
            <a:ln w="25400" cap="rnd">
              <a:noFill/>
              <a:round/>
            </a:ln>
            <a:effectLst/>
          </c:spPr>
          <c:marker>
            <c:symbol val="circle"/>
            <c:size val="5"/>
            <c:spPr>
              <a:solidFill>
                <a:schemeClr val="accent2"/>
              </a:solidFill>
              <a:ln w="9525">
                <a:solidFill>
                  <a:schemeClr val="accent2"/>
                </a:solidFill>
              </a:ln>
              <a:effectLst/>
            </c:spPr>
          </c:marker>
          <c:xVal>
            <c:numRef>
              <c:f>ZimmPrep!$G$71:$G$88</c:f>
              <c:numCache>
                <c:formatCode>General</c:formatCode>
                <c:ptCount val="18"/>
                <c:pt idx="0">
                  <c:v>5.1142809314205318</c:v>
                </c:pt>
                <c:pt idx="1">
                  <c:v>5.2682215757060407</c:v>
                </c:pt>
                <c:pt idx="2">
                  <c:v>5.3994748476802465</c:v>
                </c:pt>
                <c:pt idx="4">
                  <c:v>5.8835329732261181</c:v>
                </c:pt>
                <c:pt idx="5">
                  <c:v>6.1714375692589565</c:v>
                </c:pt>
                <c:pt idx="6">
                  <c:v>6.5405638542325013</c:v>
                </c:pt>
                <c:pt idx="7">
                  <c:v>6.9402260085135268</c:v>
                </c:pt>
                <c:pt idx="8">
                  <c:v>7.4267131315953909</c:v>
                </c:pt>
                <c:pt idx="9">
                  <c:v>8.0005596942550365</c:v>
                </c:pt>
                <c:pt idx="10">
                  <c:v>8.5888929748491218</c:v>
                </c:pt>
                <c:pt idx="11">
                  <c:v>9.1772262554432054</c:v>
                </c:pt>
                <c:pt idx="13">
                  <c:v>10.296302655967827</c:v>
                </c:pt>
                <c:pt idx="14">
                  <c:v>10.799490400915801</c:v>
                </c:pt>
                <c:pt idx="15">
                  <c:v>11.201428760228506</c:v>
                </c:pt>
                <c:pt idx="16">
                  <c:v>11.511655761725009</c:v>
                </c:pt>
                <c:pt idx="17">
                  <c:v>11.743043222047792</c:v>
                </c:pt>
              </c:numCache>
            </c:numRef>
          </c:xVal>
          <c:yVal>
            <c:numRef>
              <c:f>ZimmPrep!$G$50:$G$67</c:f>
              <c:numCache>
                <c:formatCode>General</c:formatCode>
                <c:ptCount val="18"/>
                <c:pt idx="0">
                  <c:v>9.7837716536865471E-6</c:v>
                </c:pt>
                <c:pt idx="1">
                  <c:v>1.1599354738341863E-5</c:v>
                </c:pt>
                <c:pt idx="2">
                  <c:v>1.3759934946163664E-5</c:v>
                </c:pt>
                <c:pt idx="4">
                  <c:v>1.528860386473744E-5</c:v>
                </c:pt>
                <c:pt idx="5">
                  <c:v>2.0191406802272088E-5</c:v>
                </c:pt>
                <c:pt idx="6">
                  <c:v>1.4944836854654456E-5</c:v>
                </c:pt>
                <c:pt idx="7">
                  <c:v>1.2320784296978503E-5</c:v>
                </c:pt>
                <c:pt idx="8">
                  <c:v>1.3845747371936892E-5</c:v>
                </c:pt>
                <c:pt idx="9">
                  <c:v>1.2717452356238407E-5</c:v>
                </c:pt>
                <c:pt idx="10">
                  <c:v>1.3440150195938857E-5</c:v>
                </c:pt>
                <c:pt idx="11">
                  <c:v>1.3607790006453715E-5</c:v>
                </c:pt>
                <c:pt idx="13">
                  <c:v>1.2973907080842436E-5</c:v>
                </c:pt>
                <c:pt idx="14">
                  <c:v>1.3400394690172969E-5</c:v>
                </c:pt>
                <c:pt idx="15">
                  <c:v>1.344266361660053E-5</c:v>
                </c:pt>
                <c:pt idx="16">
                  <c:v>1.3330303785845528E-5</c:v>
                </c:pt>
                <c:pt idx="17">
                  <c:v>1.3712840160516191E-5</c:v>
                </c:pt>
              </c:numCache>
            </c:numRef>
          </c:yVal>
          <c:smooth val="0"/>
          <c:extLst>
            <c:ext xmlns:c16="http://schemas.microsoft.com/office/drawing/2014/chart" uri="{C3380CC4-5D6E-409C-BE32-E72D297353CC}">
              <c16:uniqueId val="{00000001-FEF3-4409-864D-D8691767E01C}"/>
            </c:ext>
          </c:extLst>
        </c:ser>
        <c:ser>
          <c:idx val="2"/>
          <c:order val="2"/>
          <c:tx>
            <c:v>c3</c:v>
          </c:tx>
          <c:spPr>
            <a:ln w="25400" cap="rnd">
              <a:noFill/>
              <a:round/>
            </a:ln>
            <a:effectLst/>
          </c:spPr>
          <c:marker>
            <c:symbol val="circle"/>
            <c:size val="5"/>
            <c:spPr>
              <a:solidFill>
                <a:schemeClr val="accent3"/>
              </a:solidFill>
              <a:ln w="9525">
                <a:solidFill>
                  <a:schemeClr val="accent3"/>
                </a:solidFill>
              </a:ln>
              <a:effectLst/>
            </c:spPr>
          </c:marker>
          <c:xVal>
            <c:numRef>
              <c:f>ZimmPrep!$H$71:$H$88</c:f>
              <c:numCache>
                <c:formatCode>General</c:formatCode>
                <c:ptCount val="18"/>
                <c:pt idx="0">
                  <c:v>8.4622809314205316</c:v>
                </c:pt>
                <c:pt idx="1">
                  <c:v>8.6162215757060387</c:v>
                </c:pt>
                <c:pt idx="2">
                  <c:v>8.7474748476802446</c:v>
                </c:pt>
                <c:pt idx="4">
                  <c:v>9.231532973226118</c:v>
                </c:pt>
                <c:pt idx="5">
                  <c:v>9.5194375692589546</c:v>
                </c:pt>
                <c:pt idx="6">
                  <c:v>9.8885638542325012</c:v>
                </c:pt>
                <c:pt idx="7">
                  <c:v>10.288226008513526</c:v>
                </c:pt>
                <c:pt idx="8">
                  <c:v>10.774713131595391</c:v>
                </c:pt>
                <c:pt idx="9">
                  <c:v>11.348559694255036</c:v>
                </c:pt>
                <c:pt idx="10">
                  <c:v>11.936892974849121</c:v>
                </c:pt>
                <c:pt idx="11">
                  <c:v>12.525226255443204</c:v>
                </c:pt>
                <c:pt idx="13">
                  <c:v>13.644302655967826</c:v>
                </c:pt>
                <c:pt idx="14">
                  <c:v>14.1474904009158</c:v>
                </c:pt>
                <c:pt idx="15">
                  <c:v>14.549428760228505</c:v>
                </c:pt>
                <c:pt idx="16">
                  <c:v>14.859655761725008</c:v>
                </c:pt>
                <c:pt idx="17">
                  <c:v>15.091043222047791</c:v>
                </c:pt>
              </c:numCache>
            </c:numRef>
          </c:xVal>
          <c:yVal>
            <c:numRef>
              <c:f>ZimmPrep!$H$50:$H$67</c:f>
              <c:numCache>
                <c:formatCode>General</c:formatCode>
                <c:ptCount val="18"/>
                <c:pt idx="0">
                  <c:v>2.1818832455110301E-5</c:v>
                </c:pt>
                <c:pt idx="1">
                  <c:v>2.3067663064787109E-5</c:v>
                </c:pt>
                <c:pt idx="2">
                  <c:v>2.2293576329431466E-5</c:v>
                </c:pt>
                <c:pt idx="4">
                  <c:v>2.3921930876621808E-5</c:v>
                </c:pt>
                <c:pt idx="5">
                  <c:v>3.2253143216049843E-5</c:v>
                </c:pt>
                <c:pt idx="6">
                  <c:v>2.3422534094702672E-5</c:v>
                </c:pt>
                <c:pt idx="7">
                  <c:v>1.9996575623919386E-5</c:v>
                </c:pt>
                <c:pt idx="8">
                  <c:v>2.0432007933882491E-5</c:v>
                </c:pt>
                <c:pt idx="9">
                  <c:v>2.0155140526505037E-5</c:v>
                </c:pt>
                <c:pt idx="10">
                  <c:v>2.1327535579711864E-5</c:v>
                </c:pt>
                <c:pt idx="11">
                  <c:v>2.0993729030481515E-5</c:v>
                </c:pt>
                <c:pt idx="13">
                  <c:v>2.0466724260557374E-5</c:v>
                </c:pt>
                <c:pt idx="14">
                  <c:v>2.1106042823117486E-5</c:v>
                </c:pt>
                <c:pt idx="15">
                  <c:v>2.116295922482096E-5</c:v>
                </c:pt>
                <c:pt idx="16">
                  <c:v>2.0897960557868553E-5</c:v>
                </c:pt>
                <c:pt idx="17">
                  <c:v>2.2217429404838487E-5</c:v>
                </c:pt>
              </c:numCache>
            </c:numRef>
          </c:yVal>
          <c:smooth val="0"/>
          <c:extLst>
            <c:ext xmlns:c16="http://schemas.microsoft.com/office/drawing/2014/chart" uri="{C3380CC4-5D6E-409C-BE32-E72D297353CC}">
              <c16:uniqueId val="{00000002-FEF3-4409-864D-D8691767E01C}"/>
            </c:ext>
          </c:extLst>
        </c:ser>
        <c:ser>
          <c:idx val="3"/>
          <c:order val="3"/>
          <c:tx>
            <c:v>c4</c:v>
          </c:tx>
          <c:spPr>
            <a:ln w="25400" cap="rnd">
              <a:noFill/>
              <a:round/>
            </a:ln>
            <a:effectLst/>
          </c:spPr>
          <c:marker>
            <c:symbol val="circle"/>
            <c:size val="5"/>
            <c:spPr>
              <a:solidFill>
                <a:schemeClr val="accent4"/>
              </a:solidFill>
              <a:ln w="9525">
                <a:solidFill>
                  <a:schemeClr val="accent4"/>
                </a:solidFill>
              </a:ln>
              <a:effectLst/>
            </c:spPr>
          </c:marker>
          <c:xVal>
            <c:numRef>
              <c:f>ZimmPrep!$I$71:$I$88</c:f>
              <c:numCache>
                <c:formatCode>General</c:formatCode>
                <c:ptCount val="18"/>
                <c:pt idx="0">
                  <c:v>10.521280931420533</c:v>
                </c:pt>
                <c:pt idx="1">
                  <c:v>10.67522157570604</c:v>
                </c:pt>
                <c:pt idx="2">
                  <c:v>10.806474847680246</c:v>
                </c:pt>
                <c:pt idx="4">
                  <c:v>11.290532973226119</c:v>
                </c:pt>
                <c:pt idx="5">
                  <c:v>11.578437569258956</c:v>
                </c:pt>
                <c:pt idx="6">
                  <c:v>11.947563854232502</c:v>
                </c:pt>
                <c:pt idx="7">
                  <c:v>12.347226008513527</c:v>
                </c:pt>
                <c:pt idx="8">
                  <c:v>12.833713131595392</c:v>
                </c:pt>
                <c:pt idx="9">
                  <c:v>13.407559694255037</c:v>
                </c:pt>
                <c:pt idx="10">
                  <c:v>13.995892974849122</c:v>
                </c:pt>
                <c:pt idx="11">
                  <c:v>14.584226255443205</c:v>
                </c:pt>
                <c:pt idx="13">
                  <c:v>15.703302655967827</c:v>
                </c:pt>
                <c:pt idx="14">
                  <c:v>16.206490400915801</c:v>
                </c:pt>
                <c:pt idx="15">
                  <c:v>16.608428760228506</c:v>
                </c:pt>
                <c:pt idx="16">
                  <c:v>16.91865576172501</c:v>
                </c:pt>
                <c:pt idx="17">
                  <c:v>17.150043222047792</c:v>
                </c:pt>
              </c:numCache>
            </c:numRef>
          </c:xVal>
          <c:yVal>
            <c:numRef>
              <c:f>ZimmPrep!$I$50:$I$67</c:f>
              <c:numCache>
                <c:formatCode>General</c:formatCode>
                <c:ptCount val="18"/>
                <c:pt idx="0">
                  <c:v>2.8066626932479528E-5</c:v>
                </c:pt>
                <c:pt idx="1">
                  <c:v>2.9057832596547807E-5</c:v>
                </c:pt>
                <c:pt idx="2">
                  <c:v>2.8316278922366514E-5</c:v>
                </c:pt>
                <c:pt idx="4">
                  <c:v>2.9664350692840455E-5</c:v>
                </c:pt>
                <c:pt idx="5">
                  <c:v>3.944908810914551E-5</c:v>
                </c:pt>
                <c:pt idx="6">
                  <c:v>2.9719765252100716E-5</c:v>
                </c:pt>
                <c:pt idx="7">
                  <c:v>2.5041011016228985E-5</c:v>
                </c:pt>
                <c:pt idx="8">
                  <c:v>2.7829998952141958E-5</c:v>
                </c:pt>
                <c:pt idx="9">
                  <c:v>2.3977577439114907E-5</c:v>
                </c:pt>
                <c:pt idx="10">
                  <c:v>2.6770771084394692E-5</c:v>
                </c:pt>
                <c:pt idx="11">
                  <c:v>2.4924119292670547E-5</c:v>
                </c:pt>
                <c:pt idx="13">
                  <c:v>2.5431843002528536E-5</c:v>
                </c:pt>
                <c:pt idx="14">
                  <c:v>2.6987445665125163E-5</c:v>
                </c:pt>
                <c:pt idx="15">
                  <c:v>2.5493069886052628E-5</c:v>
                </c:pt>
                <c:pt idx="16">
                  <c:v>2.6598614619910053E-5</c:v>
                </c:pt>
                <c:pt idx="17">
                  <c:v>2.6990901266045058E-5</c:v>
                </c:pt>
              </c:numCache>
            </c:numRef>
          </c:yVal>
          <c:smooth val="0"/>
          <c:extLst>
            <c:ext xmlns:c16="http://schemas.microsoft.com/office/drawing/2014/chart" uri="{C3380CC4-5D6E-409C-BE32-E72D297353CC}">
              <c16:uniqueId val="{00000003-FEF3-4409-864D-D8691767E01C}"/>
            </c:ext>
          </c:extLst>
        </c:ser>
        <c:dLbls>
          <c:showLegendKey val="0"/>
          <c:showVal val="0"/>
          <c:showCatName val="0"/>
          <c:showSerName val="0"/>
          <c:showPercent val="0"/>
          <c:showBubbleSize val="0"/>
        </c:dLbls>
        <c:axId val="682350143"/>
        <c:axId val="626107919"/>
      </c:scatterChart>
      <c:valAx>
        <c:axId val="6823501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baseline="0"/>
                  <a:t> /10</a:t>
                </a:r>
                <a:r>
                  <a:rPr lang="en-US" baseline="30000"/>
                  <a:t>10  </a:t>
                </a:r>
                <a:r>
                  <a:rPr lang="en-US" baseline="0"/>
                  <a:t>+ kc  (cm</a:t>
                </a:r>
                <a:r>
                  <a:rPr lang="en-US" baseline="30000"/>
                  <a:t>-2</a:t>
                </a:r>
                <a:r>
                  <a:rPr lang="en-US" baseline="0"/>
                  <a: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07919"/>
        <c:crosses val="autoZero"/>
        <c:crossBetween val="midCat"/>
      </c:valAx>
      <c:valAx>
        <c:axId val="62610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Kc/R</a:t>
                </a:r>
                <a:r>
                  <a:rPr lang="en-US" baseline="-25000"/>
                  <a:t>Uv  </a:t>
                </a:r>
                <a:r>
                  <a:rPr lang="en-US" baseline="0"/>
                  <a:t>(g.mol</a:t>
                </a:r>
                <a:r>
                  <a:rPr lang="en-US" baseline="30000"/>
                  <a:t>-1</a:t>
                </a:r>
                <a:r>
                  <a:rPr lang="en-US" baseline="0"/>
                  <a:t>)</a:t>
                </a:r>
                <a:endParaRPr lang="en-US" baseline="-25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3501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Rayleigh</a:t>
            </a:r>
            <a:r>
              <a:rPr lang="en-US" baseline="0"/>
              <a:t> factor vs q</a:t>
            </a:r>
            <a:r>
              <a:rPr lang="en-US" baseline="30000"/>
              <a:t>2</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8245603674540684"/>
          <c:y val="3.98705647920937E-2"/>
          <c:w val="0.7276922572178478"/>
          <c:h val="0.79918535046426231"/>
        </c:manualLayout>
      </c:layout>
      <c:scatterChart>
        <c:scatterStyle val="lineMarker"/>
        <c:varyColors val="0"/>
        <c:ser>
          <c:idx val="0"/>
          <c:order val="0"/>
          <c:tx>
            <c:v>c1</c:v>
          </c:tx>
          <c:spPr>
            <a:ln w="25400" cap="rnd">
              <a:noFill/>
              <a:round/>
            </a:ln>
            <a:effectLst/>
          </c:spPr>
          <c:marker>
            <c:symbol val="circle"/>
            <c:size val="5"/>
            <c:spPr>
              <a:solidFill>
                <a:schemeClr val="accent1"/>
              </a:solidFill>
              <a:ln w="9525">
                <a:solidFill>
                  <a:schemeClr val="accent1"/>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ZimmPrep!$F$28:$F$45</c:f>
              <c:numCache>
                <c:formatCode>General</c:formatCode>
                <c:ptCount val="18"/>
                <c:pt idx="0">
                  <c:v>4.5468969091512779E-5</c:v>
                </c:pt>
                <c:pt idx="1">
                  <c:v>2.1538666786677504E-5</c:v>
                </c:pt>
                <c:pt idx="2">
                  <c:v>1.9641291037478433E-5</c:v>
                </c:pt>
                <c:pt idx="4">
                  <c:v>1.9363199377039049E-5</c:v>
                </c:pt>
                <c:pt idx="5">
                  <c:v>1.4773497555677669E-5</c:v>
                </c:pt>
                <c:pt idx="6">
                  <c:v>1.8263980184719233E-5</c:v>
                </c:pt>
                <c:pt idx="7">
                  <c:v>2.2514536629530602E-5</c:v>
                </c:pt>
                <c:pt idx="8">
                  <c:v>2.0035244736106676E-5</c:v>
                </c:pt>
                <c:pt idx="9">
                  <c:v>2.4669758800187581E-5</c:v>
                </c:pt>
                <c:pt idx="10">
                  <c:v>2.0597939627203376E-5</c:v>
                </c:pt>
                <c:pt idx="11">
                  <c:v>2.2699149458070724E-5</c:v>
                </c:pt>
                <c:pt idx="13">
                  <c:v>2.2112145454118281E-5</c:v>
                </c:pt>
                <c:pt idx="14">
                  <c:v>2.0068287443241032E-5</c:v>
                </c:pt>
                <c:pt idx="15">
                  <c:v>2.1492850957240474E-5</c:v>
                </c:pt>
                <c:pt idx="16">
                  <c:v>2.1756261540181432E-5</c:v>
                </c:pt>
                <c:pt idx="17">
                  <c:v>2.0015334275201317E-5</c:v>
                </c:pt>
              </c:numCache>
            </c:numRef>
          </c:yVal>
          <c:smooth val="0"/>
          <c:extLst>
            <c:ext xmlns:c16="http://schemas.microsoft.com/office/drawing/2014/chart" uri="{C3380CC4-5D6E-409C-BE32-E72D297353CC}">
              <c16:uniqueId val="{00000004-26DC-46E9-B314-2815509E9959}"/>
            </c:ext>
          </c:extLst>
        </c:ser>
        <c:ser>
          <c:idx val="1"/>
          <c:order val="1"/>
          <c:tx>
            <c:v>c2</c:v>
          </c:tx>
          <c:spPr>
            <a:ln w="25400" cap="rnd">
              <a:noFill/>
              <a:round/>
            </a:ln>
            <a:effectLst/>
          </c:spPr>
          <c:marker>
            <c:symbol val="circle"/>
            <c:size val="5"/>
            <c:spPr>
              <a:solidFill>
                <a:schemeClr val="accent2"/>
              </a:solidFill>
              <a:ln w="9525">
                <a:solidFill>
                  <a:schemeClr val="accent2"/>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ZimmPrep!$G$28:$G$45</c:f>
              <c:numCache>
                <c:formatCode>General</c:formatCode>
                <c:ptCount val="18"/>
                <c:pt idx="0">
                  <c:v>3.9736115433198855E-5</c:v>
                </c:pt>
                <c:pt idx="1">
                  <c:v>3.3516440230753932E-5</c:v>
                </c:pt>
                <c:pt idx="2">
                  <c:v>2.8253700422569088E-5</c:v>
                </c:pt>
                <c:pt idx="4">
                  <c:v>2.5428684217505825E-5</c:v>
                </c:pt>
                <c:pt idx="5">
                  <c:v>1.9254184892119565E-5</c:v>
                </c:pt>
                <c:pt idx="6">
                  <c:v>2.6013604804382208E-5</c:v>
                </c:pt>
                <c:pt idx="7">
                  <c:v>3.1553923064645127E-5</c:v>
                </c:pt>
                <c:pt idx="8">
                  <c:v>2.8078591163010818E-5</c:v>
                </c:pt>
                <c:pt idx="9">
                  <c:v>3.0569729605650227E-5</c:v>
                </c:pt>
                <c:pt idx="10">
                  <c:v>2.8925947562730352E-5</c:v>
                </c:pt>
                <c:pt idx="11">
                  <c:v>2.8569597239417085E-5</c:v>
                </c:pt>
                <c:pt idx="13">
                  <c:v>2.9965458930796003E-5</c:v>
                </c:pt>
                <c:pt idx="14">
                  <c:v>2.9011763369033225E-5</c:v>
                </c:pt>
                <c:pt idx="15">
                  <c:v>2.8920539179664601E-5</c:v>
                </c:pt>
                <c:pt idx="16">
                  <c:v>2.9164307584329237E-5</c:v>
                </c:pt>
                <c:pt idx="17">
                  <c:v>2.8350733710317899E-5</c:v>
                </c:pt>
              </c:numCache>
            </c:numRef>
          </c:yVal>
          <c:smooth val="0"/>
          <c:extLst>
            <c:ext xmlns:c16="http://schemas.microsoft.com/office/drawing/2014/chart" uri="{C3380CC4-5D6E-409C-BE32-E72D297353CC}">
              <c16:uniqueId val="{00000005-26DC-46E9-B314-2815509E9959}"/>
            </c:ext>
          </c:extLst>
        </c:ser>
        <c:ser>
          <c:idx val="2"/>
          <c:order val="2"/>
          <c:tx>
            <c:v>c3</c:v>
          </c:tx>
          <c:spPr>
            <a:ln w="25400" cap="rnd">
              <a:noFill/>
              <a:round/>
            </a:ln>
            <a:effectLst/>
          </c:spPr>
          <c:marker>
            <c:symbol val="circle"/>
            <c:size val="5"/>
            <c:spPr>
              <a:solidFill>
                <a:schemeClr val="accent3"/>
              </a:solidFill>
              <a:ln w="9525">
                <a:solidFill>
                  <a:schemeClr val="accent3"/>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ZimmPrep!$H$28:$H$45</c:f>
              <c:numCache>
                <c:formatCode>General</c:formatCode>
                <c:ptCount val="18"/>
                <c:pt idx="0">
                  <c:v>3.0174065629064547E-5</c:v>
                </c:pt>
                <c:pt idx="1">
                  <c:v>2.8540510610069368E-5</c:v>
                </c:pt>
                <c:pt idx="2">
                  <c:v>2.9531505969318444E-5</c:v>
                </c:pt>
                <c:pt idx="4">
                  <c:v>2.7521310292450523E-5</c:v>
                </c:pt>
                <c:pt idx="5">
                  <c:v>2.0412363472297064E-5</c:v>
                </c:pt>
                <c:pt idx="6">
                  <c:v>2.8108097944831661E-5</c:v>
                </c:pt>
                <c:pt idx="7">
                  <c:v>3.2923781292960236E-5</c:v>
                </c:pt>
                <c:pt idx="8">
                  <c:v>3.2222133261719013E-5</c:v>
                </c:pt>
                <c:pt idx="9">
                  <c:v>3.2664762698343925E-5</c:v>
                </c:pt>
                <c:pt idx="10">
                  <c:v>3.0869149414353305E-5</c:v>
                </c:pt>
                <c:pt idx="11">
                  <c:v>3.1359978091274879E-5</c:v>
                </c:pt>
                <c:pt idx="13">
                  <c:v>3.2167477026054019E-5</c:v>
                </c:pt>
                <c:pt idx="14">
                  <c:v>3.119309896068986E-5</c:v>
                </c:pt>
                <c:pt idx="15">
                  <c:v>3.1109207150855412E-5</c:v>
                </c:pt>
                <c:pt idx="16">
                  <c:v>3.1503690545639069E-5</c:v>
                </c:pt>
                <c:pt idx="17">
                  <c:v>2.9632720800124798E-5</c:v>
                </c:pt>
              </c:numCache>
            </c:numRef>
          </c:yVal>
          <c:smooth val="0"/>
          <c:extLst>
            <c:ext xmlns:c16="http://schemas.microsoft.com/office/drawing/2014/chart" uri="{C3380CC4-5D6E-409C-BE32-E72D297353CC}">
              <c16:uniqueId val="{00000006-26DC-46E9-B314-2815509E9959}"/>
            </c:ext>
          </c:extLst>
        </c:ser>
        <c:ser>
          <c:idx val="3"/>
          <c:order val="3"/>
          <c:tx>
            <c:v>c4</c:v>
          </c:tx>
          <c:spPr>
            <a:ln w="25400" cap="rnd">
              <a:noFill/>
              <a:round/>
            </a:ln>
            <a:effectLst/>
          </c:spPr>
          <c:marker>
            <c:symbol val="circle"/>
            <c:size val="5"/>
            <c:spPr>
              <a:solidFill>
                <a:schemeClr val="accent4"/>
              </a:solidFill>
              <a:ln w="9525">
                <a:solidFill>
                  <a:schemeClr val="accent4"/>
                </a:solidFill>
              </a:ln>
              <a:effectLst/>
            </c:spPr>
          </c:marker>
          <c:xVal>
            <c:numRef>
              <c:f>ZimmPrep!$E$28:$E$45</c:f>
              <c:numCache>
                <c:formatCode>General</c:formatCode>
                <c:ptCount val="18"/>
                <c:pt idx="0">
                  <c:v>2862809314.2053256</c:v>
                </c:pt>
                <c:pt idx="1">
                  <c:v>4402215757.0604105</c:v>
                </c:pt>
                <c:pt idx="2">
                  <c:v>5714748476.8024683</c:v>
                </c:pt>
                <c:pt idx="3">
                  <c:v>7972688675.0403929</c:v>
                </c:pt>
                <c:pt idx="4">
                  <c:v>10555329732.261189</c:v>
                </c:pt>
                <c:pt idx="5">
                  <c:v>13434375692.589571</c:v>
                </c:pt>
                <c:pt idx="6">
                  <c:v>17125638542.325018</c:v>
                </c:pt>
                <c:pt idx="7">
                  <c:v>21122260085.135277</c:v>
                </c:pt>
                <c:pt idx="8">
                  <c:v>25987131315.953915</c:v>
                </c:pt>
                <c:pt idx="9">
                  <c:v>31725596942.550377</c:v>
                </c:pt>
                <c:pt idx="10">
                  <c:v>37608929748.491219</c:v>
                </c:pt>
                <c:pt idx="11">
                  <c:v>43492262554.432068</c:v>
                </c:pt>
                <c:pt idx="12">
                  <c:v>49230728181.028534</c:v>
                </c:pt>
                <c:pt idx="13">
                  <c:v>54683026559.678268</c:v>
                </c:pt>
                <c:pt idx="14">
                  <c:v>59714904009.15802</c:v>
                </c:pt>
                <c:pt idx="15">
                  <c:v>63734287602.285065</c:v>
                </c:pt>
                <c:pt idx="16">
                  <c:v>66836557617.250107</c:v>
                </c:pt>
                <c:pt idx="17">
                  <c:v>69150432220.477921</c:v>
                </c:pt>
              </c:numCache>
            </c:numRef>
          </c:xVal>
          <c:yVal>
            <c:numRef>
              <c:f>ZimmPrep!$I$28:$I$45</c:f>
              <c:numCache>
                <c:formatCode>General</c:formatCode>
                <c:ptCount val="18"/>
                <c:pt idx="0">
                  <c:v>2.9364464158233952E-5</c:v>
                </c:pt>
                <c:pt idx="1">
                  <c:v>2.8362798837902061E-5</c:v>
                </c:pt>
                <c:pt idx="2">
                  <c:v>2.9105570787068658E-5</c:v>
                </c:pt>
                <c:pt idx="4">
                  <c:v>2.7782892305147661E-5</c:v>
                </c:pt>
                <c:pt idx="5">
                  <c:v>2.0891774692511913E-5</c:v>
                </c:pt>
                <c:pt idx="6">
                  <c:v>2.773108917955076E-5</c:v>
                </c:pt>
                <c:pt idx="7">
                  <c:v>3.2912467474543375E-5</c:v>
                </c:pt>
                <c:pt idx="8">
                  <c:v>2.9614139117237967E-5</c:v>
                </c:pt>
                <c:pt idx="9">
                  <c:v>3.4372173865106755E-5</c:v>
                </c:pt>
                <c:pt idx="10">
                  <c:v>3.0785869334998042E-5</c:v>
                </c:pt>
                <c:pt idx="11">
                  <c:v>3.3066823783164952E-5</c:v>
                </c:pt>
                <c:pt idx="13">
                  <c:v>3.2406674597644274E-5</c:v>
                </c:pt>
                <c:pt idx="14">
                  <c:v>3.0538698283192876E-5</c:v>
                </c:pt>
                <c:pt idx="15">
                  <c:v>3.2328843261525799E-5</c:v>
                </c:pt>
                <c:pt idx="16">
                  <c:v>3.098512732254872E-5</c:v>
                </c:pt>
                <c:pt idx="17">
                  <c:v>3.053478846362666E-5</c:v>
                </c:pt>
              </c:numCache>
            </c:numRef>
          </c:yVal>
          <c:smooth val="0"/>
          <c:extLst>
            <c:ext xmlns:c16="http://schemas.microsoft.com/office/drawing/2014/chart" uri="{C3380CC4-5D6E-409C-BE32-E72D297353CC}">
              <c16:uniqueId val="{00000007-26DC-46E9-B314-2815509E9959}"/>
            </c:ext>
          </c:extLst>
        </c:ser>
        <c:dLbls>
          <c:showLegendKey val="0"/>
          <c:showVal val="0"/>
          <c:showCatName val="0"/>
          <c:showSerName val="0"/>
          <c:showPercent val="0"/>
          <c:showBubbleSize val="0"/>
        </c:dLbls>
        <c:axId val="682350143"/>
        <c:axId val="626107919"/>
      </c:scatterChart>
      <c:valAx>
        <c:axId val="682350143"/>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q</a:t>
                </a:r>
                <a:r>
                  <a:rPr lang="en-US" baseline="30000"/>
                  <a:t>2</a:t>
                </a:r>
                <a:r>
                  <a:rPr lang="en-US" baseline="0"/>
                  <a:t> (cm</a:t>
                </a:r>
                <a:r>
                  <a:rPr lang="en-US" baseline="30000"/>
                  <a:t>-2</a:t>
                </a:r>
                <a:r>
                  <a:rPr lang="en-US" baseline="0"/>
                  <a:t>)</a:t>
                </a:r>
                <a:endParaRPr lang="en-US"/>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26107919"/>
        <c:crosses val="autoZero"/>
        <c:crossBetween val="midCat"/>
      </c:valAx>
      <c:valAx>
        <c:axId val="62610791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a:t>
                </a:r>
                <a:r>
                  <a:rPr lang="en-US" baseline="-25000"/>
                  <a:t>Uv  </a:t>
                </a:r>
                <a:r>
                  <a:rPr lang="en-US" baseline="0"/>
                  <a:t>(cm</a:t>
                </a:r>
                <a:r>
                  <a:rPr lang="en-US" baseline="30000"/>
                  <a:t>-1</a:t>
                </a:r>
                <a:r>
                  <a:rPr lang="en-US" baseline="0"/>
                  <a:t>)</a:t>
                </a:r>
                <a:endParaRPr lang="en-US" baseline="-25000"/>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82350143"/>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25400" cap="flat" cmpd="sng" algn="ctr">
      <a:solidFill>
        <a:schemeClr val="accent1"/>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_rels/drawing2.xml.rels><?xml version="1.0" encoding="UTF-8" standalone="yes"?>
<Relationships xmlns="http://schemas.openxmlformats.org/package/2006/relationships"><Relationship Id="rId1" Type="http://schemas.openxmlformats.org/officeDocument/2006/relationships/image" Target="../media/image7.png"/></Relationships>
</file>

<file path=xl/drawings/_rels/drawing3.xml.rels><?xml version="1.0" encoding="UTF-8" standalone="yes"?>
<Relationships xmlns="http://schemas.openxmlformats.org/package/2006/relationships"><Relationship Id="rId1" Type="http://schemas.openxmlformats.org/officeDocument/2006/relationships/image" Target="../media/image8.pn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6" Type="http://schemas.openxmlformats.org/officeDocument/2006/relationships/chart" Target="../charts/chart8.xml"/><Relationship Id="rId5" Type="http://schemas.openxmlformats.org/officeDocument/2006/relationships/chart" Target="../charts/chart7.xml"/><Relationship Id="rId4" Type="http://schemas.openxmlformats.org/officeDocument/2006/relationships/chart" Target="../charts/chart6.xml"/></Relationships>
</file>

<file path=xl/drawings/_rels/drawing8.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0.xml"/><Relationship Id="rId1" Type="http://schemas.openxmlformats.org/officeDocument/2006/relationships/chart" Target="../charts/chart9.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3</xdr:col>
      <xdr:colOff>40218</xdr:colOff>
      <xdr:row>80</xdr:row>
      <xdr:rowOff>70998</xdr:rowOff>
    </xdr:from>
    <xdr:to>
      <xdr:col>8</xdr:col>
      <xdr:colOff>400051</xdr:colOff>
      <xdr:row>82</xdr:row>
      <xdr:rowOff>86936</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2088093" y="11453373"/>
          <a:ext cx="3598333" cy="377889"/>
        </a:xfrm>
        <a:prstGeom prst="rect">
          <a:avLst/>
        </a:prstGeom>
        <a:ln w="19050">
          <a:solidFill>
            <a:schemeClr val="tx1"/>
          </a:solidFill>
        </a:ln>
      </xdr:spPr>
    </xdr:pic>
    <xdr:clientData/>
  </xdr:twoCellAnchor>
  <xdr:twoCellAnchor editAs="oneCell">
    <xdr:from>
      <xdr:col>3</xdr:col>
      <xdr:colOff>35454</xdr:colOff>
      <xdr:row>82</xdr:row>
      <xdr:rowOff>179493</xdr:rowOff>
    </xdr:from>
    <xdr:to>
      <xdr:col>8</xdr:col>
      <xdr:colOff>390525</xdr:colOff>
      <xdr:row>87</xdr:row>
      <xdr:rowOff>104777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2"/>
        <a:srcRect r="249" b="28826"/>
        <a:stretch/>
      </xdr:blipFill>
      <xdr:spPr>
        <a:xfrm>
          <a:off x="2083329" y="11923818"/>
          <a:ext cx="3593571" cy="830158"/>
        </a:xfrm>
        <a:prstGeom prst="rect">
          <a:avLst/>
        </a:prstGeom>
        <a:ln w="19050">
          <a:solidFill>
            <a:schemeClr val="tx1"/>
          </a:solidFill>
        </a:ln>
      </xdr:spPr>
    </xdr:pic>
    <xdr:clientData/>
  </xdr:twoCellAnchor>
  <xdr:twoCellAnchor editAs="oneCell">
    <xdr:from>
      <xdr:col>10</xdr:col>
      <xdr:colOff>270009</xdr:colOff>
      <xdr:row>67</xdr:row>
      <xdr:rowOff>176213</xdr:rowOff>
    </xdr:from>
    <xdr:to>
      <xdr:col>12</xdr:col>
      <xdr:colOff>281604</xdr:colOff>
      <xdr:row>72</xdr:row>
      <xdr:rowOff>19401</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6851784" y="11558588"/>
          <a:ext cx="1306995" cy="748064"/>
        </a:xfrm>
        <a:prstGeom prst="rect">
          <a:avLst/>
        </a:prstGeom>
      </xdr:spPr>
    </xdr:pic>
    <xdr:clientData/>
  </xdr:twoCellAnchor>
  <xdr:twoCellAnchor>
    <xdr:from>
      <xdr:col>3</xdr:col>
      <xdr:colOff>33344</xdr:colOff>
      <xdr:row>88</xdr:row>
      <xdr:rowOff>0</xdr:rowOff>
    </xdr:from>
    <xdr:to>
      <xdr:col>6</xdr:col>
      <xdr:colOff>542932</xdr:colOff>
      <xdr:row>90</xdr:row>
      <xdr:rowOff>71422</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xdr:cNvPicPr>
      </xdr:nvPicPr>
      <xdr:blipFill>
        <a:blip xmlns:r="http://schemas.openxmlformats.org/officeDocument/2006/relationships" r:embed="rId4">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1219" y="13192109"/>
          <a:ext cx="2452688" cy="433388"/>
        </a:xfrm>
        <a:prstGeom prst="rect">
          <a:avLst/>
        </a:prstGeom>
        <a:solidFill>
          <a:schemeClr val="bg1"/>
        </a:solidFill>
        <a:ln w="19050">
          <a:solidFill>
            <a:srgbClr val="000000"/>
          </a:solidFill>
          <a:miter lim="800000"/>
          <a:headEnd/>
          <a:tailEnd/>
        </a:ln>
        <a:extLst/>
      </xdr:spPr>
    </xdr:pic>
    <xdr:clientData/>
  </xdr:twoCellAnchor>
  <mc:AlternateContent xmlns:mc="http://schemas.openxmlformats.org/markup-compatibility/2006">
    <mc:Choice xmlns:a14="http://schemas.microsoft.com/office/drawing/2010/main" Requires="a14">
      <xdr:twoCellAnchor>
        <xdr:from>
          <xdr:col>3</xdr:col>
          <xdr:colOff>14288</xdr:colOff>
          <xdr:row>93</xdr:row>
          <xdr:rowOff>80963</xdr:rowOff>
        </xdr:from>
        <xdr:to>
          <xdr:col>6</xdr:col>
          <xdr:colOff>623888</xdr:colOff>
          <xdr:row>96</xdr:row>
          <xdr:rowOff>138113</xdr:rowOff>
        </xdr:to>
        <xdr:sp macro="" textlink="">
          <xdr:nvSpPr>
            <xdr:cNvPr id="1027" name="Object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solidFill>
              <a:srgbClr val="FFFFFF"/>
            </a:solidFill>
            <a:ln w="19050">
              <a:solidFill>
                <a:srgbClr val="000000"/>
              </a:solidFill>
              <a:miter lim="800000"/>
              <a:headEnd/>
              <a:tailEnd/>
            </a:ln>
          </xdr:spPr>
        </xdr:sp>
        <xdr:clientData/>
      </xdr:twoCellAnchor>
    </mc:Choice>
    <mc:Fallback/>
  </mc:AlternateContent>
  <xdr:twoCellAnchor editAs="oneCell">
    <xdr:from>
      <xdr:col>3</xdr:col>
      <xdr:colOff>1</xdr:colOff>
      <xdr:row>103</xdr:row>
      <xdr:rowOff>1</xdr:rowOff>
    </xdr:from>
    <xdr:to>
      <xdr:col>5</xdr:col>
      <xdr:colOff>309563</xdr:colOff>
      <xdr:row>104</xdr:row>
      <xdr:rowOff>126398</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2047876" y="15544801"/>
          <a:ext cx="1604962" cy="307372"/>
        </a:xfrm>
        <a:prstGeom prst="rect">
          <a:avLst/>
        </a:prstGeom>
        <a:ln w="19050">
          <a:solidFill>
            <a:schemeClr val="tx1"/>
          </a:solidFill>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15</xdr:col>
      <xdr:colOff>355511</xdr:colOff>
      <xdr:row>10</xdr:row>
      <xdr:rowOff>228062</xdr:rowOff>
    </xdr:from>
    <xdr:to>
      <xdr:col>17</xdr:col>
      <xdr:colOff>608453</xdr:colOff>
      <xdr:row>12</xdr:row>
      <xdr:rowOff>40117</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15206462" y="1770844"/>
          <a:ext cx="1562904" cy="28830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195966</xdr:colOff>
      <xdr:row>1</xdr:row>
      <xdr:rowOff>105104</xdr:rowOff>
    </xdr:from>
    <xdr:to>
      <xdr:col>10</xdr:col>
      <xdr:colOff>262758</xdr:colOff>
      <xdr:row>4</xdr:row>
      <xdr:rowOff>88683</xdr:rowOff>
    </xdr:to>
    <xdr:pic>
      <xdr:nvPicPr>
        <xdr:cNvPr id="50" name="Picture 49">
          <a:extLst>
            <a:ext uri="{FF2B5EF4-FFF2-40B4-BE49-F238E27FC236}">
              <a16:creationId xmlns:a16="http://schemas.microsoft.com/office/drawing/2014/main" id="{00000000-0008-0000-0300-000032000000}"/>
            </a:ext>
          </a:extLst>
        </xdr:cNvPr>
        <xdr:cNvPicPr>
          <a:picLocks noChangeAspect="1"/>
        </xdr:cNvPicPr>
      </xdr:nvPicPr>
      <xdr:blipFill>
        <a:blip xmlns:r="http://schemas.openxmlformats.org/officeDocument/2006/relationships" r:embed="rId1"/>
        <a:stretch>
          <a:fillRect/>
        </a:stretch>
      </xdr:blipFill>
      <xdr:spPr>
        <a:xfrm>
          <a:off x="6893027" y="285751"/>
          <a:ext cx="1360878" cy="525518"/>
        </a:xfrm>
        <a:prstGeom prst="rect">
          <a:avLst/>
        </a:prstGeom>
        <a:solidFill>
          <a:srgbClr val="FFFFFF">
            <a:shade val="85000"/>
          </a:srgbClr>
        </a:solidFill>
        <a:ln w="88900" cap="sq">
          <a:solidFill>
            <a:srgbClr val="FFFFFF"/>
          </a:solidFill>
          <a:miter lim="800000"/>
        </a:ln>
        <a:effectLst>
          <a:outerShdw blurRad="55000" dist="18000" dir="5400000" algn="tl" rotWithShape="0">
            <a:srgbClr val="000000">
              <a:alpha val="40000"/>
            </a:srgbClr>
          </a:outerShdw>
        </a:effectLst>
        <a:scene3d>
          <a:camera prst="orthographicFront"/>
          <a:lightRig rig="twoPt" dir="t">
            <a:rot lat="0" lon="0" rev="7200000"/>
          </a:lightRig>
        </a:scene3d>
        <a:sp3d>
          <a:bevelT w="25400" h="19050"/>
          <a:contourClr>
            <a:srgbClr val="FFFFFF"/>
          </a:contourClr>
        </a:sp3d>
      </xdr:spPr>
    </xdr:pic>
    <xdr:clientData/>
  </xdr:twoCellAnchor>
</xdr:wsDr>
</file>

<file path=xl/drawings/drawing4.xml><?xml version="1.0" encoding="utf-8"?>
<xdr:wsDr xmlns:xdr="http://schemas.openxmlformats.org/drawingml/2006/spreadsheetDrawing" xmlns:a="http://schemas.openxmlformats.org/drawingml/2006/main">
  <xdr:twoCellAnchor>
    <xdr:from>
      <xdr:col>25</xdr:col>
      <xdr:colOff>177844</xdr:colOff>
      <xdr:row>5</xdr:row>
      <xdr:rowOff>84693</xdr:rowOff>
    </xdr:from>
    <xdr:to>
      <xdr:col>27</xdr:col>
      <xdr:colOff>372340</xdr:colOff>
      <xdr:row>6</xdr:row>
      <xdr:rowOff>164522</xdr:rowOff>
    </xdr:to>
    <xdr:sp macro="" textlink="">
      <xdr:nvSpPr>
        <xdr:cNvPr id="3" name="Speech Bubble: Rectangle with Corners Rounded 2">
          <a:extLst>
            <a:ext uri="{FF2B5EF4-FFF2-40B4-BE49-F238E27FC236}">
              <a16:creationId xmlns:a16="http://schemas.microsoft.com/office/drawing/2014/main" id="{00000000-0008-0000-0400-000003000000}"/>
            </a:ext>
          </a:extLst>
        </xdr:cNvPr>
        <xdr:cNvSpPr/>
      </xdr:nvSpPr>
      <xdr:spPr>
        <a:xfrm>
          <a:off x="18890140" y="1002557"/>
          <a:ext cx="1493360" cy="261670"/>
        </a:xfrm>
        <a:prstGeom prst="wedgeRoundRectCallout">
          <a:avLst>
            <a:gd name="adj1" fmla="val -105247"/>
            <a:gd name="adj2" fmla="val 309145"/>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Dark count</a:t>
          </a:r>
          <a:r>
            <a:rPr lang="en-US" sz="1100" baseline="0"/>
            <a:t> this time</a:t>
          </a:r>
          <a:endParaRPr lang="en-US" sz="1100"/>
        </a:p>
      </xdr:txBody>
    </xdr:sp>
    <xdr:clientData/>
  </xdr:twoCellAnchor>
  <xdr:twoCellAnchor>
    <xdr:from>
      <xdr:col>21</xdr:col>
      <xdr:colOff>953599</xdr:colOff>
      <xdr:row>9</xdr:row>
      <xdr:rowOff>183173</xdr:rowOff>
    </xdr:from>
    <xdr:to>
      <xdr:col>22</xdr:col>
      <xdr:colOff>8793</xdr:colOff>
      <xdr:row>11</xdr:row>
      <xdr:rowOff>49457</xdr:rowOff>
    </xdr:to>
    <xdr:sp macro="" textlink="">
      <xdr:nvSpPr>
        <xdr:cNvPr id="4" name="Speech Bubble: Rectangle with Corners Rounded 3">
          <a:extLst>
            <a:ext uri="{FF2B5EF4-FFF2-40B4-BE49-F238E27FC236}">
              <a16:creationId xmlns:a16="http://schemas.microsoft.com/office/drawing/2014/main" id="{00000000-0008-0000-0400-000004000000}"/>
            </a:ext>
          </a:extLst>
        </xdr:cNvPr>
        <xdr:cNvSpPr/>
      </xdr:nvSpPr>
      <xdr:spPr>
        <a:xfrm>
          <a:off x="15898324" y="1935773"/>
          <a:ext cx="883994" cy="275859"/>
        </a:xfrm>
        <a:prstGeom prst="wedgeRoundRectCallout">
          <a:avLst>
            <a:gd name="adj1" fmla="val -159419"/>
            <a:gd name="adj2" fmla="val 176926"/>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Dark count</a:t>
          </a:r>
        </a:p>
      </xdr:txBody>
    </xdr:sp>
    <xdr:clientData/>
  </xdr:twoCellAnchor>
  <xdr:oneCellAnchor>
    <xdr:from>
      <xdr:col>21</xdr:col>
      <xdr:colOff>862198</xdr:colOff>
      <xdr:row>4</xdr:row>
      <xdr:rowOff>139164</xdr:rowOff>
    </xdr:from>
    <xdr:ext cx="3048000" cy="436786"/>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15825107" y="866528"/>
          <a:ext cx="3048000" cy="436786"/>
        </a:xfrm>
        <a:prstGeom prst="rect">
          <a:avLst/>
        </a:prstGeom>
        <a:solidFill>
          <a:schemeClr val="accent1"/>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solidFill>
                <a:schemeClr val="bg1">
                  <a:lumMod val="95000"/>
                </a:schemeClr>
              </a:solidFill>
            </a:rPr>
            <a:t>Hard to say what the right background would be</a:t>
          </a:r>
          <a:r>
            <a:rPr lang="en-US" sz="1100" baseline="0">
              <a:solidFill>
                <a:schemeClr val="bg1">
                  <a:lumMod val="95000"/>
                </a:schemeClr>
              </a:solidFill>
            </a:rPr>
            <a:t> for Brij. Dark count good enough here.</a:t>
          </a:r>
          <a:endParaRPr lang="en-US" sz="1100">
            <a:solidFill>
              <a:schemeClr val="bg1">
                <a:lumMod val="95000"/>
              </a:schemeClr>
            </a:solidFill>
          </a:endParaRPr>
        </a:p>
      </xdr:txBody>
    </xdr:sp>
    <xdr:clientData/>
  </xdr:oneCellAnchor>
  <xdr:twoCellAnchor>
    <xdr:from>
      <xdr:col>21</xdr:col>
      <xdr:colOff>865910</xdr:colOff>
      <xdr:row>28</xdr:row>
      <xdr:rowOff>112569</xdr:rowOff>
    </xdr:from>
    <xdr:to>
      <xdr:col>24</xdr:col>
      <xdr:colOff>277090</xdr:colOff>
      <xdr:row>31</xdr:row>
      <xdr:rowOff>77931</xdr:rowOff>
    </xdr:to>
    <xdr:sp macro="" textlink="">
      <xdr:nvSpPr>
        <xdr:cNvPr id="5" name="Speech Bubble: Rectangle with Corners Rounded 4">
          <a:extLst>
            <a:ext uri="{FF2B5EF4-FFF2-40B4-BE49-F238E27FC236}">
              <a16:creationId xmlns:a16="http://schemas.microsoft.com/office/drawing/2014/main" id="{00000000-0008-0000-0400-000005000000}"/>
            </a:ext>
          </a:extLst>
        </xdr:cNvPr>
        <xdr:cNvSpPr/>
      </xdr:nvSpPr>
      <xdr:spPr>
        <a:xfrm>
          <a:off x="15828819" y="5325342"/>
          <a:ext cx="2537113" cy="510885"/>
        </a:xfrm>
        <a:prstGeom prst="wedgeRoundRectCallout">
          <a:avLst>
            <a:gd name="adj1" fmla="val -85478"/>
            <a:gd name="adj2" fmla="val -403352"/>
            <a:gd name="adj3" fmla="val 16667"/>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Why so high? Cosmic rays? Sunspots? Keep an eye on this detector. </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21</xdr:col>
      <xdr:colOff>188077</xdr:colOff>
      <xdr:row>15</xdr:row>
      <xdr:rowOff>105580</xdr:rowOff>
    </xdr:from>
    <xdr:to>
      <xdr:col>27</xdr:col>
      <xdr:colOff>137224</xdr:colOff>
      <xdr:row>34</xdr:row>
      <xdr:rowOff>169513</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234089</xdr:colOff>
      <xdr:row>15</xdr:row>
      <xdr:rowOff>113008</xdr:rowOff>
    </xdr:from>
    <xdr:to>
      <xdr:col>33</xdr:col>
      <xdr:colOff>183235</xdr:colOff>
      <xdr:row>34</xdr:row>
      <xdr:rowOff>176941</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96865</xdr:colOff>
      <xdr:row>41</xdr:row>
      <xdr:rowOff>104937</xdr:rowOff>
    </xdr:from>
    <xdr:to>
      <xdr:col>30</xdr:col>
      <xdr:colOff>80720</xdr:colOff>
      <xdr:row>48</xdr:row>
      <xdr:rowOff>1</xdr:rowOff>
    </xdr:to>
    <xdr:sp macro="" textlink="">
      <xdr:nvSpPr>
        <xdr:cNvPr id="6" name="Speech Bubble: Rectangle 5">
          <a:extLst>
            <a:ext uri="{FF2B5EF4-FFF2-40B4-BE49-F238E27FC236}">
              <a16:creationId xmlns:a16="http://schemas.microsoft.com/office/drawing/2014/main" id="{00000000-0008-0000-0500-000006000000}"/>
            </a:ext>
          </a:extLst>
        </xdr:cNvPr>
        <xdr:cNvSpPr/>
      </xdr:nvSpPr>
      <xdr:spPr>
        <a:xfrm>
          <a:off x="18073285" y="7611929"/>
          <a:ext cx="2050296" cy="1138157"/>
        </a:xfrm>
        <a:prstGeom prst="wedgeRectCallout">
          <a:avLst>
            <a:gd name="adj1" fmla="val 90562"/>
            <a:gd name="adj2" fmla="val -84011"/>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Poorer performance for Fiber/APDs may indicate a tune-up is needed for vertical positioning. The point at 81</a:t>
          </a:r>
          <a:r>
            <a:rPr lang="en-US" sz="1100" baseline="0"/>
            <a:t> degrees may be a bad detector. Bears watching. </a:t>
          </a:r>
          <a:endParaRPr lang="en-US" sz="1100"/>
        </a:p>
      </xdr:txBody>
    </xdr:sp>
    <xdr:clientData/>
  </xdr:twoCellAnchor>
  <xdr:twoCellAnchor>
    <xdr:from>
      <xdr:col>21</xdr:col>
      <xdr:colOff>460105</xdr:colOff>
      <xdr:row>40</xdr:row>
      <xdr:rowOff>56505</xdr:rowOff>
    </xdr:from>
    <xdr:to>
      <xdr:col>24</xdr:col>
      <xdr:colOff>573113</xdr:colOff>
      <xdr:row>45</xdr:row>
      <xdr:rowOff>1</xdr:rowOff>
    </xdr:to>
    <xdr:sp macro="" textlink="">
      <xdr:nvSpPr>
        <xdr:cNvPr id="7" name="Speech Bubble: Rectangle 6">
          <a:extLst>
            <a:ext uri="{FF2B5EF4-FFF2-40B4-BE49-F238E27FC236}">
              <a16:creationId xmlns:a16="http://schemas.microsoft.com/office/drawing/2014/main" id="{00000000-0008-0000-0500-000007000000}"/>
            </a:ext>
          </a:extLst>
        </xdr:cNvPr>
        <xdr:cNvSpPr/>
      </xdr:nvSpPr>
      <xdr:spPr>
        <a:xfrm>
          <a:off x="14561949" y="7385912"/>
          <a:ext cx="2050296" cy="831420"/>
        </a:xfrm>
        <a:prstGeom prst="wedgeRectCallout">
          <a:avLst>
            <a:gd name="adj1" fmla="val 187413"/>
            <a:gd name="adj2" fmla="val -669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Meh. Except</a:t>
          </a:r>
          <a:r>
            <a:rPr lang="en-US" sz="1100" baseline="0"/>
            <a:t> at lowest angle, this is not too bad. Neither is it amazing compared to a good rotating angle device, though. </a:t>
          </a:r>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134936</xdr:colOff>
      <xdr:row>2</xdr:row>
      <xdr:rowOff>150814</xdr:rowOff>
    </xdr:from>
    <xdr:to>
      <xdr:col>15</xdr:col>
      <xdr:colOff>563562</xdr:colOff>
      <xdr:row>4</xdr:row>
      <xdr:rowOff>95250</xdr:rowOff>
    </xdr:to>
    <xdr:sp macro="" textlink="">
      <xdr:nvSpPr>
        <xdr:cNvPr id="2" name="Speech Bubble: Rectangle 1">
          <a:extLst>
            <a:ext uri="{FF2B5EF4-FFF2-40B4-BE49-F238E27FC236}">
              <a16:creationId xmlns:a16="http://schemas.microsoft.com/office/drawing/2014/main" id="{00000000-0008-0000-0600-000002000000}"/>
            </a:ext>
          </a:extLst>
        </xdr:cNvPr>
        <xdr:cNvSpPr/>
      </xdr:nvSpPr>
      <xdr:spPr>
        <a:xfrm>
          <a:off x="8755061" y="515939"/>
          <a:ext cx="2024064" cy="309561"/>
        </a:xfrm>
        <a:prstGeom prst="wedgeRectCallout">
          <a:avLst>
            <a:gd name="adj1" fmla="val -143926"/>
            <a:gd name="adj2" fmla="val 136859"/>
          </a:avLst>
        </a:prstGeom>
        <a:solidFill>
          <a:srgbClr val="FF0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1">
              <a:solidFill>
                <a:schemeClr val="tx1"/>
              </a:solidFill>
            </a:rPr>
            <a:t>Carries over from Conc1 Sheet</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15</xdr:col>
      <xdr:colOff>155863</xdr:colOff>
      <xdr:row>0</xdr:row>
      <xdr:rowOff>53686</xdr:rowOff>
    </xdr:from>
    <xdr:to>
      <xdr:col>24</xdr:col>
      <xdr:colOff>528204</xdr:colOff>
      <xdr:row>26</xdr:row>
      <xdr:rowOff>181840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199405</xdr:colOff>
      <xdr:row>31</xdr:row>
      <xdr:rowOff>98534</xdr:rowOff>
    </xdr:from>
    <xdr:to>
      <xdr:col>26</xdr:col>
      <xdr:colOff>0</xdr:colOff>
      <xdr:row>60</xdr:row>
      <xdr:rowOff>27517</xdr:rowOff>
    </xdr:to>
    <xdr:graphicFrame macro="">
      <xdr:nvGraphicFramePr>
        <xdr:cNvPr id="3" name="Chart 1">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36</xdr:col>
      <xdr:colOff>23971</xdr:colOff>
      <xdr:row>2</xdr:row>
      <xdr:rowOff>18583</xdr:rowOff>
    </xdr:from>
    <xdr:to>
      <xdr:col>44</xdr:col>
      <xdr:colOff>399969</xdr:colOff>
      <xdr:row>30</xdr:row>
      <xdr:rowOff>47158</xdr:rowOff>
    </xdr:to>
    <xdr:graphicFrame macro="">
      <xdr:nvGraphicFramePr>
        <xdr:cNvPr id="4" name="Chart 3">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53</xdr:col>
      <xdr:colOff>76967</xdr:colOff>
      <xdr:row>2</xdr:row>
      <xdr:rowOff>5776</xdr:rowOff>
    </xdr:from>
    <xdr:to>
      <xdr:col>61</xdr:col>
      <xdr:colOff>634998</xdr:colOff>
      <xdr:row>30</xdr:row>
      <xdr:rowOff>42333</xdr:rowOff>
    </xdr:to>
    <xdr:graphicFrame macro="">
      <xdr:nvGraphicFramePr>
        <xdr:cNvPr id="6" name="Chart 5">
          <a:extLst>
            <a:ext uri="{FF2B5EF4-FFF2-40B4-BE49-F238E27FC236}">
              <a16:creationId xmlns:a16="http://schemas.microsoft.com/office/drawing/2014/main" id="{00000000-0008-0000-0D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36</xdr:col>
      <xdr:colOff>14942</xdr:colOff>
      <xdr:row>31</xdr:row>
      <xdr:rowOff>149411</xdr:rowOff>
    </xdr:from>
    <xdr:to>
      <xdr:col>44</xdr:col>
      <xdr:colOff>428312</xdr:colOff>
      <xdr:row>60</xdr:row>
      <xdr:rowOff>135467</xdr:rowOff>
    </xdr:to>
    <xdr:graphicFrame macro="">
      <xdr:nvGraphicFramePr>
        <xdr:cNvPr id="7" name="Chart 1">
          <a:extLst>
            <a:ext uri="{FF2B5EF4-FFF2-40B4-BE49-F238E27FC236}">
              <a16:creationId xmlns:a16="http://schemas.microsoft.com/office/drawing/2014/main" id="{00000000-0008-0000-0D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53</xdr:col>
      <xdr:colOff>67734</xdr:colOff>
      <xdr:row>31</xdr:row>
      <xdr:rowOff>135464</xdr:rowOff>
    </xdr:from>
    <xdr:to>
      <xdr:col>61</xdr:col>
      <xdr:colOff>634999</xdr:colOff>
      <xdr:row>60</xdr:row>
      <xdr:rowOff>127000</xdr:rowOff>
    </xdr:to>
    <xdr:graphicFrame macro="">
      <xdr:nvGraphicFramePr>
        <xdr:cNvPr id="8" name="Chart 1">
          <a:extLst>
            <a:ext uri="{FF2B5EF4-FFF2-40B4-BE49-F238E27FC236}">
              <a16:creationId xmlns:a16="http://schemas.microsoft.com/office/drawing/2014/main" id="{00000000-0008-0000-0D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537483</xdr:colOff>
      <xdr:row>20</xdr:row>
      <xdr:rowOff>142874</xdr:rowOff>
    </xdr:from>
    <xdr:to>
      <xdr:col>10</xdr:col>
      <xdr:colOff>115661</xdr:colOff>
      <xdr:row>25</xdr:row>
      <xdr:rowOff>88445</xdr:rowOff>
    </xdr:to>
    <xdr:sp macro="" textlink="">
      <xdr:nvSpPr>
        <xdr:cNvPr id="5" name="Speech Bubble: Oval 4">
          <a:extLst>
            <a:ext uri="{FF2B5EF4-FFF2-40B4-BE49-F238E27FC236}">
              <a16:creationId xmlns:a16="http://schemas.microsoft.com/office/drawing/2014/main" id="{00000000-0008-0000-0D00-000005000000}"/>
            </a:ext>
          </a:extLst>
        </xdr:cNvPr>
        <xdr:cNvSpPr/>
      </xdr:nvSpPr>
      <xdr:spPr>
        <a:xfrm>
          <a:off x="7545162" y="3871231"/>
          <a:ext cx="1796142" cy="904875"/>
        </a:xfrm>
        <a:prstGeom prst="wedgeEllipseCallout">
          <a:avLst>
            <a:gd name="adj1" fmla="val 88515"/>
            <a:gd name="adj2" fmla="val 6763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 this case, from</a:t>
          </a:r>
          <a:r>
            <a:rPr lang="en-US" sz="1100" baseline="0"/>
            <a:t> Multirun analysis of file C4.ASC</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17</xdr:col>
      <xdr:colOff>3401</xdr:colOff>
      <xdr:row>47</xdr:row>
      <xdr:rowOff>203424</xdr:rowOff>
    </xdr:from>
    <xdr:to>
      <xdr:col>24</xdr:col>
      <xdr:colOff>51025</xdr:colOff>
      <xdr:row>66</xdr:row>
      <xdr:rowOff>170088</xdr:rowOff>
    </xdr:to>
    <xdr:graphicFrame macro="">
      <xdr:nvGraphicFramePr>
        <xdr:cNvPr id="2" name="Chart 1">
          <a:extLst>
            <a:ext uri="{FF2B5EF4-FFF2-40B4-BE49-F238E27FC236}">
              <a16:creationId xmlns:a16="http://schemas.microsoft.com/office/drawing/2014/main" id="{00000000-0008-0000-0E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238126</xdr:colOff>
      <xdr:row>7</xdr:row>
      <xdr:rowOff>68036</xdr:rowOff>
    </xdr:from>
    <xdr:to>
      <xdr:col>15</xdr:col>
      <xdr:colOff>483054</xdr:colOff>
      <xdr:row>24</xdr:row>
      <xdr:rowOff>95250</xdr:rowOff>
    </xdr:to>
    <xdr:sp macro="" textlink="">
      <xdr:nvSpPr>
        <xdr:cNvPr id="3" name="Arrow: Down 2">
          <a:extLst>
            <a:ext uri="{FF2B5EF4-FFF2-40B4-BE49-F238E27FC236}">
              <a16:creationId xmlns:a16="http://schemas.microsoft.com/office/drawing/2014/main" id="{00000000-0008-0000-0E00-000003000000}"/>
            </a:ext>
          </a:extLst>
        </xdr:cNvPr>
        <xdr:cNvSpPr/>
      </xdr:nvSpPr>
      <xdr:spPr>
        <a:xfrm>
          <a:off x="10252983" y="1381126"/>
          <a:ext cx="244928" cy="3150053"/>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15</xdr:col>
      <xdr:colOff>398211</xdr:colOff>
      <xdr:row>6</xdr:row>
      <xdr:rowOff>139272</xdr:rowOff>
    </xdr:from>
    <xdr:ext cx="436786" cy="3097386"/>
    <xdr:sp macro="" textlink="">
      <xdr:nvSpPr>
        <xdr:cNvPr id="4" name="TextBox 3">
          <a:extLst>
            <a:ext uri="{FF2B5EF4-FFF2-40B4-BE49-F238E27FC236}">
              <a16:creationId xmlns:a16="http://schemas.microsoft.com/office/drawing/2014/main" id="{00000000-0008-0000-0E00-000004000000}"/>
            </a:ext>
          </a:extLst>
        </xdr:cNvPr>
        <xdr:cNvSpPr txBox="1"/>
      </xdr:nvSpPr>
      <xdr:spPr>
        <a:xfrm rot="16200000">
          <a:off x="9082768" y="2598965"/>
          <a:ext cx="30973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50"/>
              </a:solidFill>
              <a:effectLst/>
              <a:latin typeface="+mn-lt"/>
              <a:ea typeface="+mn-ea"/>
              <a:cs typeface="+mn-cs"/>
            </a:rPr>
            <a:t>Scroll Down! </a:t>
          </a:r>
          <a:endParaRPr lang="en-US" b="1">
            <a:solidFill>
              <a:srgbClr val="00B050"/>
            </a:solidFill>
            <a:effectLst/>
          </a:endParaRPr>
        </a:p>
        <a:p>
          <a:r>
            <a:rPr lang="en-US" sz="1100" b="1">
              <a:solidFill>
                <a:srgbClr val="00B050"/>
              </a:solidFill>
            </a:rPr>
            <a:t>All this on the left is filled from other worksheets.</a:t>
          </a:r>
        </a:p>
      </xdr:txBody>
    </xdr:sp>
    <xdr:clientData/>
  </xdr:oneCellAnchor>
  <xdr:twoCellAnchor>
    <xdr:from>
      <xdr:col>15</xdr:col>
      <xdr:colOff>238126</xdr:colOff>
      <xdr:row>24</xdr:row>
      <xdr:rowOff>149679</xdr:rowOff>
    </xdr:from>
    <xdr:to>
      <xdr:col>15</xdr:col>
      <xdr:colOff>483054</xdr:colOff>
      <xdr:row>46</xdr:row>
      <xdr:rowOff>136072</xdr:rowOff>
    </xdr:to>
    <xdr:sp macro="" textlink="">
      <xdr:nvSpPr>
        <xdr:cNvPr id="5" name="Arrow: Down 4">
          <a:extLst>
            <a:ext uri="{FF2B5EF4-FFF2-40B4-BE49-F238E27FC236}">
              <a16:creationId xmlns:a16="http://schemas.microsoft.com/office/drawing/2014/main" id="{00000000-0008-0000-0E00-000005000000}"/>
            </a:ext>
          </a:extLst>
        </xdr:cNvPr>
        <xdr:cNvSpPr/>
      </xdr:nvSpPr>
      <xdr:spPr>
        <a:xfrm>
          <a:off x="10252983" y="4585608"/>
          <a:ext cx="244928" cy="4068535"/>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15</xdr:col>
      <xdr:colOff>374197</xdr:colOff>
      <xdr:row>25</xdr:row>
      <xdr:rowOff>142875</xdr:rowOff>
    </xdr:from>
    <xdr:ext cx="436786" cy="3097386"/>
    <xdr:sp macro="" textlink="">
      <xdr:nvSpPr>
        <xdr:cNvPr id="6" name="TextBox 5">
          <a:extLst>
            <a:ext uri="{FF2B5EF4-FFF2-40B4-BE49-F238E27FC236}">
              <a16:creationId xmlns:a16="http://schemas.microsoft.com/office/drawing/2014/main" id="{00000000-0008-0000-0E00-000006000000}"/>
            </a:ext>
          </a:extLst>
        </xdr:cNvPr>
        <xdr:cNvSpPr txBox="1"/>
      </xdr:nvSpPr>
      <xdr:spPr>
        <a:xfrm rot="16200000">
          <a:off x="9058754" y="6106408"/>
          <a:ext cx="3097386"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50"/>
              </a:solidFill>
              <a:effectLst/>
              <a:latin typeface="+mn-lt"/>
              <a:ea typeface="+mn-ea"/>
              <a:cs typeface="+mn-cs"/>
            </a:rPr>
            <a:t>Scroll Down! </a:t>
          </a:r>
          <a:endParaRPr lang="en-US" b="1">
            <a:solidFill>
              <a:srgbClr val="00B050"/>
            </a:solidFill>
            <a:effectLst/>
          </a:endParaRPr>
        </a:p>
        <a:p>
          <a:r>
            <a:rPr lang="en-US" sz="1100" b="1">
              <a:solidFill>
                <a:srgbClr val="00B050"/>
              </a:solidFill>
            </a:rPr>
            <a:t>All this on the left is filled from other worksheets.</a:t>
          </a:r>
        </a:p>
      </xdr:txBody>
    </xdr:sp>
    <xdr:clientData/>
  </xdr:oneCellAnchor>
  <xdr:twoCellAnchor>
    <xdr:from>
      <xdr:col>17</xdr:col>
      <xdr:colOff>0</xdr:colOff>
      <xdr:row>26</xdr:row>
      <xdr:rowOff>1</xdr:rowOff>
    </xdr:from>
    <xdr:to>
      <xdr:col>24</xdr:col>
      <xdr:colOff>47624</xdr:colOff>
      <xdr:row>45</xdr:row>
      <xdr:rowOff>-1</xdr:rowOff>
    </xdr:to>
    <xdr:graphicFrame macro="">
      <xdr:nvGraphicFramePr>
        <xdr:cNvPr id="8" name="Chart 7">
          <a:extLst>
            <a:ext uri="{FF2B5EF4-FFF2-40B4-BE49-F238E27FC236}">
              <a16:creationId xmlns:a16="http://schemas.microsoft.com/office/drawing/2014/main" id="{00000000-0008-0000-0E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16</xdr:col>
      <xdr:colOff>551089</xdr:colOff>
      <xdr:row>45</xdr:row>
      <xdr:rowOff>74838</xdr:rowOff>
    </xdr:from>
    <xdr:ext cx="4702891" cy="436786"/>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1334750" y="8409214"/>
          <a:ext cx="4702891" cy="436786"/>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Hint: for starters, try k</a:t>
          </a:r>
          <a:r>
            <a:rPr lang="en-US" sz="1100" baseline="-25000"/>
            <a:t>scale</a:t>
          </a:r>
          <a:r>
            <a:rPr lang="en-US" sz="1100" baseline="0"/>
            <a:t> values</a:t>
          </a:r>
          <a:r>
            <a:rPr lang="en-US" sz="1100"/>
            <a:t> that</a:t>
          </a:r>
          <a:r>
            <a:rPr lang="en-US" sz="1100" baseline="0"/>
            <a:t> make k</a:t>
          </a:r>
          <a:r>
            <a:rPr lang="en-US" sz="1100"/>
            <a:t>·</a:t>
          </a:r>
          <a:r>
            <a:rPr lang="en-US" sz="1100" baseline="0"/>
            <a:t>c</a:t>
          </a:r>
          <a:r>
            <a:rPr lang="en-US" sz="1100" baseline="-25000"/>
            <a:t>max</a:t>
          </a:r>
          <a:r>
            <a:rPr lang="en-US" sz="1100" baseline="0"/>
            <a:t> about the same as q</a:t>
          </a:r>
          <a:r>
            <a:rPr lang="en-US" sz="1100" baseline="30000"/>
            <a:t>2</a:t>
          </a:r>
          <a:r>
            <a:rPr lang="en-US" sz="1100" baseline="-25000"/>
            <a:t>max</a:t>
          </a:r>
          <a:r>
            <a:rPr lang="en-US" sz="1100" baseline="0"/>
            <a:t>/10</a:t>
          </a:r>
          <a:r>
            <a:rPr lang="en-US" sz="1100" baseline="30000"/>
            <a:t>10</a:t>
          </a:r>
        </a:p>
        <a:p>
          <a:r>
            <a:rPr lang="en-US" sz="1100" baseline="0"/>
            <a:t>Normally, that will be k</a:t>
          </a:r>
          <a:r>
            <a:rPr lang="en-US" sz="1100" baseline="-25000"/>
            <a:t>scale</a:t>
          </a:r>
          <a:r>
            <a:rPr lang="en-US" sz="1100" baseline="0"/>
            <a:t> = 1000 to 10000.</a:t>
          </a:r>
          <a:endParaRPr lang="en-US" sz="1100" baseline="30000"/>
        </a:p>
      </xdr:txBody>
    </xdr:sp>
    <xdr:clientData/>
  </xdr:oneCellAnchor>
  <xdr:twoCellAnchor editAs="oneCell">
    <xdr:from>
      <xdr:col>19</xdr:col>
      <xdr:colOff>88446</xdr:colOff>
      <xdr:row>93</xdr:row>
      <xdr:rowOff>176892</xdr:rowOff>
    </xdr:from>
    <xdr:to>
      <xdr:col>21</xdr:col>
      <xdr:colOff>409974</xdr:colOff>
      <xdr:row>95</xdr:row>
      <xdr:rowOff>87976</xdr:rowOff>
    </xdr:to>
    <xdr:pic>
      <xdr:nvPicPr>
        <xdr:cNvPr id="10" name="Picture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a:stretch>
          <a:fillRect/>
        </a:stretch>
      </xdr:blipFill>
      <xdr:spPr>
        <a:xfrm>
          <a:off x="12811125" y="17478375"/>
          <a:ext cx="1609444" cy="305691"/>
        </a:xfrm>
        <a:prstGeom prst="rect">
          <a:avLst/>
        </a:prstGeom>
        <a:ln w="19050">
          <a:solidFill>
            <a:schemeClr val="tx1"/>
          </a:solidFill>
        </a:ln>
      </xdr:spPr>
    </xdr:pic>
    <xdr:clientData/>
  </xdr:twoCellAnchor>
  <xdr:oneCellAnchor>
    <xdr:from>
      <xdr:col>19</xdr:col>
      <xdr:colOff>61232</xdr:colOff>
      <xdr:row>91</xdr:row>
      <xdr:rowOff>102052</xdr:rowOff>
    </xdr:from>
    <xdr:ext cx="2332562" cy="325089"/>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2783911" y="16995321"/>
          <a:ext cx="2332562" cy="325089"/>
        </a:xfrm>
        <a:prstGeom prst="rect">
          <a:avLst/>
        </a:prstGeom>
        <a:ln w="19050">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400" b="0">
              <a:latin typeface="Times New Roman" panose="02020603050405020304" pitchFamily="18" charset="0"/>
              <a:cs typeface="Times New Roman" panose="02020603050405020304" pitchFamily="18" charset="0"/>
            </a:rPr>
            <a:t>Kc</a:t>
          </a:r>
          <a:r>
            <a:rPr lang="en-US" sz="1400" b="0"/>
            <a:t>/</a:t>
          </a:r>
          <a:r>
            <a:rPr lang="en-US" sz="1400" b="0">
              <a:latin typeface="Colonna MT" panose="04020805060202030203" pitchFamily="82" charset="0"/>
            </a:rPr>
            <a:t>R</a:t>
          </a:r>
          <a:r>
            <a:rPr lang="en-US" sz="1400" b="0"/>
            <a:t> </a:t>
          </a:r>
          <a:r>
            <a:rPr lang="en-US" sz="1400" b="0">
              <a:latin typeface="Times New Roman" panose="02020603050405020304" pitchFamily="18" charset="0"/>
              <a:cs typeface="Times New Roman" panose="02020603050405020304" pitchFamily="18" charset="0"/>
            </a:rPr>
            <a:t>= M</a:t>
          </a:r>
          <a:r>
            <a:rPr lang="en-US" sz="1400" b="0" baseline="30000">
              <a:latin typeface="Times New Roman" panose="02020603050405020304" pitchFamily="18" charset="0"/>
              <a:cs typeface="Times New Roman" panose="02020603050405020304" pitchFamily="18" charset="0"/>
            </a:rPr>
            <a:t>-1</a:t>
          </a:r>
          <a:r>
            <a:rPr lang="en-US" sz="1400" b="0">
              <a:latin typeface="Times New Roman" panose="02020603050405020304" pitchFamily="18" charset="0"/>
              <a:cs typeface="Times New Roman" panose="02020603050405020304" pitchFamily="18" charset="0"/>
            </a:rPr>
            <a:t>(1+q</a:t>
          </a:r>
          <a:r>
            <a:rPr lang="en-US" sz="1400" b="0" baseline="30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R</a:t>
          </a:r>
          <a:r>
            <a:rPr lang="en-US" sz="1400" b="0" baseline="-25000">
              <a:latin typeface="Times New Roman" panose="02020603050405020304" pitchFamily="18" charset="0"/>
              <a:cs typeface="Times New Roman" panose="02020603050405020304" pitchFamily="18" charset="0"/>
            </a:rPr>
            <a:t>g</a:t>
          </a:r>
          <a:r>
            <a:rPr lang="en-US" sz="1400" b="0" baseline="30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/3)+2A</a:t>
          </a:r>
          <a:r>
            <a:rPr lang="en-US" sz="1400" b="0" baseline="-25000">
              <a:latin typeface="Times New Roman" panose="02020603050405020304" pitchFamily="18" charset="0"/>
              <a:cs typeface="Times New Roman" panose="02020603050405020304" pitchFamily="18" charset="0"/>
            </a:rPr>
            <a:t>2</a:t>
          </a:r>
          <a:r>
            <a:rPr lang="en-US" sz="1400" b="0">
              <a:latin typeface="Times New Roman" panose="02020603050405020304" pitchFamily="18" charset="0"/>
              <a:cs typeface="Times New Roman" panose="02020603050405020304" pitchFamily="18" charset="0"/>
            </a:rPr>
            <a:t>c</a:t>
          </a:r>
        </a:p>
      </xdr:txBody>
    </xdr:sp>
    <xdr:clientData/>
  </xdr:oneCellAnchor>
  <xdr:twoCellAnchor>
    <xdr:from>
      <xdr:col>15</xdr:col>
      <xdr:colOff>0</xdr:colOff>
      <xdr:row>49</xdr:row>
      <xdr:rowOff>173691</xdr:rowOff>
    </xdr:from>
    <xdr:to>
      <xdr:col>15</xdr:col>
      <xdr:colOff>268941</xdr:colOff>
      <xdr:row>88</xdr:row>
      <xdr:rowOff>67235</xdr:rowOff>
    </xdr:to>
    <xdr:sp macro="" textlink="">
      <xdr:nvSpPr>
        <xdr:cNvPr id="11" name="Arrow: Down 10">
          <a:extLst>
            <a:ext uri="{FF2B5EF4-FFF2-40B4-BE49-F238E27FC236}">
              <a16:creationId xmlns:a16="http://schemas.microsoft.com/office/drawing/2014/main" id="{00000000-0008-0000-0E00-00000B000000}"/>
            </a:ext>
          </a:extLst>
        </xdr:cNvPr>
        <xdr:cNvSpPr/>
      </xdr:nvSpPr>
      <xdr:spPr>
        <a:xfrm>
          <a:off x="10583956" y="9144000"/>
          <a:ext cx="268941" cy="6936441"/>
        </a:xfrm>
        <a:prstGeom prst="downArrow">
          <a:avLst/>
        </a:prstGeom>
        <a:solidFill>
          <a:schemeClr val="accent6"/>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15</xdr:col>
      <xdr:colOff>181372</xdr:colOff>
      <xdr:row>62</xdr:row>
      <xdr:rowOff>11154</xdr:rowOff>
    </xdr:from>
    <xdr:ext cx="264560" cy="1988108"/>
    <xdr:sp macro="" textlink="">
      <xdr:nvSpPr>
        <xdr:cNvPr id="12" name="TextBox 11">
          <a:extLst>
            <a:ext uri="{FF2B5EF4-FFF2-40B4-BE49-F238E27FC236}">
              <a16:creationId xmlns:a16="http://schemas.microsoft.com/office/drawing/2014/main" id="{00000000-0008-0000-0E00-00000C000000}"/>
            </a:ext>
          </a:extLst>
        </xdr:cNvPr>
        <xdr:cNvSpPr txBox="1"/>
      </xdr:nvSpPr>
      <xdr:spPr>
        <a:xfrm rot="16200000">
          <a:off x="9903554" y="12174061"/>
          <a:ext cx="1988108"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lvl="0" indent="0" defTabSz="914400" eaLnBrk="1" fontAlgn="auto" latinLnBrk="0" hangingPunct="1">
            <a:lnSpc>
              <a:spcPct val="100000"/>
            </a:lnSpc>
            <a:spcBef>
              <a:spcPts val="0"/>
            </a:spcBef>
            <a:spcAft>
              <a:spcPts val="0"/>
            </a:spcAft>
            <a:buClrTx/>
            <a:buSzTx/>
            <a:buFontTx/>
            <a:buNone/>
            <a:tabLst/>
            <a:defRPr/>
          </a:pPr>
          <a:r>
            <a:rPr lang="en-US" sz="1100" b="1">
              <a:solidFill>
                <a:srgbClr val="00B050"/>
              </a:solidFill>
              <a:effectLst/>
              <a:latin typeface="+mn-lt"/>
              <a:ea typeface="+mn-ea"/>
              <a:cs typeface="+mn-cs"/>
            </a:rPr>
            <a:t>Solver</a:t>
          </a:r>
          <a:r>
            <a:rPr lang="en-US" sz="1100" b="1" baseline="0">
              <a:solidFill>
                <a:srgbClr val="00B050"/>
              </a:solidFill>
              <a:effectLst/>
              <a:latin typeface="+mn-lt"/>
              <a:ea typeface="+mn-ea"/>
              <a:cs typeface="+mn-cs"/>
            </a:rPr>
            <a:t> adjustment down here. </a:t>
          </a:r>
          <a:endParaRPr lang="en-US" b="1">
            <a:solidFill>
              <a:srgbClr val="00B050"/>
            </a:solidFill>
            <a:effectLst/>
          </a:endParaRPr>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1</xdr:col>
      <xdr:colOff>74251</xdr:colOff>
      <xdr:row>22</xdr:row>
      <xdr:rowOff>133287</xdr:rowOff>
    </xdr:from>
    <xdr:ext cx="4957761" cy="1595052"/>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2096913" y="4453155"/>
          <a:ext cx="4957761" cy="1595052"/>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t>Written for a rotating arm instrument,</a:t>
          </a:r>
          <a:r>
            <a:rPr lang="en-US" sz="800" b="1" baseline="0"/>
            <a:t> NonZimm.exe subtracts solvent intensities and applies a sin(theta) correction for the scattering volume. We configure SMALS data for NonZimm by getting it from the signal after solvent subtraction and normalization. This is column M in each ConcX sheet, where X = 1, 2, etc.  (Getting intensities directly from the columns G or H would necessitate separate manipulations for Wyatt and Fiber/APD detectors; maybe those always should have been combined into a single column.) NonZimm wants solution intensities without the solvent subtraction, so we add the normalized solvent back in (multiply column J in each ConcX sheet by the appropriate normalization). NonZimm is normally fed uncertainties calculated from multiple readings. Instead, we take uncertainty as 2.5% of our normalized intensities. We index according to c</a:t>
          </a:r>
          <a:r>
            <a:rPr lang="en-US" sz="800" b="1" baseline="-25000"/>
            <a:t>1</a:t>
          </a:r>
          <a:r>
            <a:rPr lang="en-US" sz="800" b="1" baseline="0"/>
            <a:t> = 0 = solvent, as in NonZimm. Other concentrations are automatically entered as g/mL (see the ConcData worksheet) but you can override these values (so they're color-coded pink instead of red). The empty cells are gone in this presentation of the data. Finally, all the intensities, including that for the Rayleigh standrd, are multiplied by 100,000 to give values similar to the photon counting numbers expected from the rotating arm instrument.</a:t>
          </a:r>
          <a:endParaRPr lang="en-US" sz="800" b="1"/>
        </a:p>
      </xdr:txBody>
    </xdr:sp>
    <xdr:clientData/>
  </xdr:oneCellAnchor>
  <xdr:oneCellAnchor>
    <xdr:from>
      <xdr:col>1</xdr:col>
      <xdr:colOff>242887</xdr:colOff>
      <xdr:row>16</xdr:row>
      <xdr:rowOff>190500</xdr:rowOff>
    </xdr:from>
    <xdr:ext cx="4776788" cy="217560"/>
    <xdr:sp macro="" textlink="">
      <xdr:nvSpPr>
        <xdr:cNvPr id="5" name="TextBox 4">
          <a:extLst>
            <a:ext uri="{FF2B5EF4-FFF2-40B4-BE49-F238E27FC236}">
              <a16:creationId xmlns:a16="http://schemas.microsoft.com/office/drawing/2014/main" id="{00000000-0008-0000-0F00-000005000000}"/>
            </a:ext>
          </a:extLst>
        </xdr:cNvPr>
        <xdr:cNvSpPr txBox="1"/>
      </xdr:nvSpPr>
      <xdr:spPr>
        <a:xfrm>
          <a:off x="2265549" y="3333751"/>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t>&lt;&lt;&lt; Usually,</a:t>
          </a:r>
          <a:r>
            <a:rPr lang="en-US" sz="800" b="1" baseline="0"/>
            <a:t> toluene's measured intensity at 90</a:t>
          </a:r>
          <a:r>
            <a:rPr lang="en-US" sz="800" b="1" baseline="30000"/>
            <a:t>o</a:t>
          </a:r>
          <a:r>
            <a:rPr lang="en-US" sz="800" b="1" baseline="0"/>
            <a:t>; see parameters worksheet, G4</a:t>
          </a:r>
          <a:endParaRPr lang="en-US" sz="800" b="1"/>
        </a:p>
      </xdr:txBody>
    </xdr:sp>
    <xdr:clientData/>
  </xdr:oneCellAnchor>
  <xdr:oneCellAnchor>
    <xdr:from>
      <xdr:col>1</xdr:col>
      <xdr:colOff>242887</xdr:colOff>
      <xdr:row>18</xdr:row>
      <xdr:rowOff>161924</xdr:rowOff>
    </xdr:from>
    <xdr:ext cx="4776788" cy="217560"/>
    <xdr:sp macro="" textlink="">
      <xdr:nvSpPr>
        <xdr:cNvPr id="7" name="TextBox 6">
          <a:extLst>
            <a:ext uri="{FF2B5EF4-FFF2-40B4-BE49-F238E27FC236}">
              <a16:creationId xmlns:a16="http://schemas.microsoft.com/office/drawing/2014/main" id="{00000000-0008-0000-0F00-000007000000}"/>
            </a:ext>
          </a:extLst>
        </xdr:cNvPr>
        <xdr:cNvSpPr txBox="1"/>
      </xdr:nvSpPr>
      <xdr:spPr>
        <a:xfrm>
          <a:off x="2265549" y="3697380"/>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t>&lt;&lt;&lt; Extremely</a:t>
          </a:r>
          <a:r>
            <a:rPr lang="en-US" sz="800" b="1" baseline="0"/>
            <a:t> unlikely, but </a:t>
          </a:r>
          <a:r>
            <a:rPr lang="en-US" sz="800" b="1"/>
            <a:t>you might</a:t>
          </a:r>
          <a:r>
            <a:rPr lang="en-US" sz="800" b="1" baseline="0"/>
            <a:t> change it. So, cell colored pink. </a:t>
          </a:r>
          <a:endParaRPr lang="en-US" sz="800" b="1"/>
        </a:p>
      </xdr:txBody>
    </xdr:sp>
    <xdr:clientData/>
  </xdr:oneCellAnchor>
  <xdr:oneCellAnchor>
    <xdr:from>
      <xdr:col>1</xdr:col>
      <xdr:colOff>173691</xdr:colOff>
      <xdr:row>8</xdr:row>
      <xdr:rowOff>184896</xdr:rowOff>
    </xdr:from>
    <xdr:ext cx="4776788" cy="655821"/>
    <xdr:sp macro="" textlink="">
      <xdr:nvSpPr>
        <xdr:cNvPr id="6" name="TextBox 5">
          <a:extLst>
            <a:ext uri="{FF2B5EF4-FFF2-40B4-BE49-F238E27FC236}">
              <a16:creationId xmlns:a16="http://schemas.microsoft.com/office/drawing/2014/main" id="{00000000-0008-0000-0F00-000006000000}"/>
            </a:ext>
          </a:extLst>
        </xdr:cNvPr>
        <xdr:cNvSpPr txBox="1"/>
      </xdr:nvSpPr>
      <xdr:spPr>
        <a:xfrm>
          <a:off x="2196353" y="1759323"/>
          <a:ext cx="4776788" cy="655821"/>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900" b="1"/>
            <a:t>&lt;&lt;&lt; The only wavelength values NonZimm will accept are 6328, 5145, 5320 or</a:t>
          </a:r>
          <a:r>
            <a:rPr lang="en-US" sz="900" b="1" baseline="0"/>
            <a:t> 4880 for the lasers we had when this ancient program was written.  If a laser of another wavelength is used, corrections would have to be made at the end of the NonZimm analysis. Most teaching objectives can be reached, even with the wrong wavelength. </a:t>
          </a:r>
          <a:endParaRPr lang="en-US" sz="900" b="1"/>
        </a:p>
      </xdr:txBody>
    </xdr:sp>
    <xdr:clientData/>
  </xdr:oneCellAnchor>
  <xdr:oneCellAnchor>
    <xdr:from>
      <xdr:col>1</xdr:col>
      <xdr:colOff>240927</xdr:colOff>
      <xdr:row>20</xdr:row>
      <xdr:rowOff>16809</xdr:rowOff>
    </xdr:from>
    <xdr:ext cx="4776788" cy="217560"/>
    <xdr:sp macro="" textlink="">
      <xdr:nvSpPr>
        <xdr:cNvPr id="8" name="TextBox 7">
          <a:extLst>
            <a:ext uri="{FF2B5EF4-FFF2-40B4-BE49-F238E27FC236}">
              <a16:creationId xmlns:a16="http://schemas.microsoft.com/office/drawing/2014/main" id="{00000000-0008-0000-0F00-000008000000}"/>
            </a:ext>
          </a:extLst>
        </xdr:cNvPr>
        <xdr:cNvSpPr txBox="1"/>
      </xdr:nvSpPr>
      <xdr:spPr>
        <a:xfrm>
          <a:off x="2263589" y="3944471"/>
          <a:ext cx="4776788" cy="217560"/>
        </a:xfrm>
        <a:prstGeom prst="rect">
          <a:avLst/>
        </a:prstGeom>
        <a:solidFill>
          <a:schemeClr val="accent4">
            <a:lumMod val="40000"/>
            <a:lumOff val="60000"/>
          </a:schemeClr>
        </a:solidFill>
        <a:ln>
          <a:solidFill>
            <a:schemeClr val="accent1">
              <a:shade val="50000"/>
            </a:schemeClr>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800" b="1"/>
            <a:t>&lt;&lt;&lt; NonZimm</a:t>
          </a:r>
          <a:r>
            <a:rPr lang="en-US" sz="800" b="1" baseline="0"/>
            <a:t> is limited to 14 angles max</a:t>
          </a:r>
          <a:endParaRPr lang="en-US" sz="800" b="1"/>
        </a:p>
      </xdr:txBody>
    </xdr:sp>
    <xdr:clientData/>
  </xdr:oneCellAnchor>
</xdr:wsDr>
</file>

<file path=xl/drawings/drawing10.xml><?xml version="1.0" encoding="utf-8"?>
<xdr:wsDr xmlns:xdr="http://schemas.openxmlformats.org/drawingml/2006/spreadsheetDrawing" xmlns:a="http://schemas.openxmlformats.org/drawingml/2006/main">
  <xdr:twoCellAnchor>
    <xdr:from>
      <xdr:col>4</xdr:col>
      <xdr:colOff>278101</xdr:colOff>
      <xdr:row>22</xdr:row>
      <xdr:rowOff>65878</xdr:rowOff>
    </xdr:from>
    <xdr:to>
      <xdr:col>9</xdr:col>
      <xdr:colOff>861391</xdr:colOff>
      <xdr:row>24</xdr:row>
      <xdr:rowOff>163582</xdr:rowOff>
    </xdr:to>
    <xdr:sp macro="" textlink="">
      <xdr:nvSpPr>
        <xdr:cNvPr id="2" name="Speech Bubble: Rectangle 1">
          <a:extLst>
            <a:ext uri="{FF2B5EF4-FFF2-40B4-BE49-F238E27FC236}">
              <a16:creationId xmlns:a16="http://schemas.microsoft.com/office/drawing/2014/main" id="{00000000-0008-0000-1000-000002000000}"/>
            </a:ext>
          </a:extLst>
        </xdr:cNvPr>
        <xdr:cNvSpPr/>
      </xdr:nvSpPr>
      <xdr:spPr>
        <a:xfrm>
          <a:off x="7591941" y="4107199"/>
          <a:ext cx="2427057" cy="465097"/>
        </a:xfrm>
        <a:prstGeom prst="wedgeRectCallout">
          <a:avLst>
            <a:gd name="adj1" fmla="val -273445"/>
            <a:gd name="adj2" fmla="val 86190"/>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Insert </a:t>
          </a:r>
          <a:r>
            <a:rPr lang="en-US" sz="1100" baseline="0"/>
            <a:t>rows if you have more than 4 concentrations.</a:t>
          </a:r>
        </a:p>
        <a:p>
          <a:pPr algn="l"/>
          <a:endParaRPr lang="en-US" sz="1100"/>
        </a:p>
      </xdr:txBody>
    </xdr:sp>
    <xdr:clientData/>
  </xdr:twoCellAnchor>
  <xdr:twoCellAnchor>
    <xdr:from>
      <xdr:col>4</xdr:col>
      <xdr:colOff>43847</xdr:colOff>
      <xdr:row>25</xdr:row>
      <xdr:rowOff>44752</xdr:rowOff>
    </xdr:from>
    <xdr:to>
      <xdr:col>9</xdr:col>
      <xdr:colOff>708161</xdr:colOff>
      <xdr:row>31</xdr:row>
      <xdr:rowOff>20410</xdr:rowOff>
    </xdr:to>
    <xdr:sp macro="" textlink="">
      <xdr:nvSpPr>
        <xdr:cNvPr id="3" name="Speech Bubble: Rectangle 2">
          <a:extLst>
            <a:ext uri="{FF2B5EF4-FFF2-40B4-BE49-F238E27FC236}">
              <a16:creationId xmlns:a16="http://schemas.microsoft.com/office/drawing/2014/main" id="{00000000-0008-0000-1000-000003000000}"/>
            </a:ext>
          </a:extLst>
        </xdr:cNvPr>
        <xdr:cNvSpPr/>
      </xdr:nvSpPr>
      <xdr:spPr>
        <a:xfrm>
          <a:off x="7357687" y="4637163"/>
          <a:ext cx="2508081" cy="1077837"/>
        </a:xfrm>
        <a:prstGeom prst="wedgeRectCallout">
          <a:avLst>
            <a:gd name="adj1" fmla="val -212960"/>
            <a:gd name="adj2" fmla="val -10373"/>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baseline="0"/>
            <a:t>Alter this cell's formula carefully to include just as many concentrations as you measured, thus eliminating any zeros. Be sure to leave the last space at right. You can then drag this cell down to include all your angles. </a:t>
          </a:r>
        </a:p>
        <a:p>
          <a:pPr algn="l"/>
          <a:endParaRPr lang="en-US" sz="1100"/>
        </a:p>
      </xdr:txBody>
    </xdr:sp>
    <xdr:clientData/>
  </xdr:twoCellAnchor>
  <xdr:twoCellAnchor>
    <xdr:from>
      <xdr:col>2</xdr:col>
      <xdr:colOff>231321</xdr:colOff>
      <xdr:row>32</xdr:row>
      <xdr:rowOff>68037</xdr:rowOff>
    </xdr:from>
    <xdr:to>
      <xdr:col>9</xdr:col>
      <xdr:colOff>1333499</xdr:colOff>
      <xdr:row>39</xdr:row>
      <xdr:rowOff>13608</xdr:rowOff>
    </xdr:to>
    <xdr:sp macro="" textlink="">
      <xdr:nvSpPr>
        <xdr:cNvPr id="4" name="TextBox 3">
          <a:extLst>
            <a:ext uri="{FF2B5EF4-FFF2-40B4-BE49-F238E27FC236}">
              <a16:creationId xmlns:a16="http://schemas.microsoft.com/office/drawing/2014/main" id="{00000000-0008-0000-1000-000004000000}"/>
            </a:ext>
          </a:extLst>
        </xdr:cNvPr>
        <xdr:cNvSpPr txBox="1"/>
      </xdr:nvSpPr>
      <xdr:spPr>
        <a:xfrm>
          <a:off x="6252482" y="5946323"/>
          <a:ext cx="4238624" cy="1231446"/>
        </a:xfrm>
        <a:prstGeom prst="rect">
          <a:avLst/>
        </a:prstGeom>
        <a:solidFill>
          <a:schemeClr val="accent4">
            <a:lumMod val="40000"/>
            <a:lumOff val="60000"/>
          </a:schemeClr>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800">
              <a:solidFill>
                <a:schemeClr val="dk1"/>
              </a:solidFill>
              <a:latin typeface="+mn-lt"/>
              <a:ea typeface="+mn-ea"/>
              <a:cs typeface="+mn-cs"/>
            </a:rPr>
            <a:t>NonZimm can only handle up to 14 angles. </a:t>
          </a:r>
        </a:p>
        <a:p>
          <a:pPr marL="0" indent="0"/>
          <a:r>
            <a:rPr lang="en-US" sz="1800">
              <a:solidFill>
                <a:schemeClr val="dk1"/>
              </a:solidFill>
              <a:latin typeface="+mn-lt"/>
              <a:ea typeface="+mn-ea"/>
              <a:cs typeface="+mn-cs"/>
            </a:rPr>
            <a:t>Select the ones you wish, then cut &amp; paste into a Notepad or Notepad++ text file. Change the extension to .GAL</a:t>
          </a:r>
        </a:p>
      </xdr:txBody>
    </xdr:sp>
    <xdr:clientData/>
  </xdr:twoCellAnchor>
  <xdr:twoCellAnchor>
    <xdr:from>
      <xdr:col>2</xdr:col>
      <xdr:colOff>244927</xdr:colOff>
      <xdr:row>1</xdr:row>
      <xdr:rowOff>176892</xdr:rowOff>
    </xdr:from>
    <xdr:to>
      <xdr:col>9</xdr:col>
      <xdr:colOff>2932338</xdr:colOff>
      <xdr:row>18</xdr:row>
      <xdr:rowOff>20410</xdr:rowOff>
    </xdr:to>
    <xdr:sp macro="" textlink="">
      <xdr:nvSpPr>
        <xdr:cNvPr id="5" name="TextBox 4">
          <a:extLst>
            <a:ext uri="{FF2B5EF4-FFF2-40B4-BE49-F238E27FC236}">
              <a16:creationId xmlns:a16="http://schemas.microsoft.com/office/drawing/2014/main" id="{00000000-0008-0000-1000-000005000000}"/>
            </a:ext>
          </a:extLst>
        </xdr:cNvPr>
        <xdr:cNvSpPr txBox="1"/>
      </xdr:nvSpPr>
      <xdr:spPr>
        <a:xfrm>
          <a:off x="6266088" y="360589"/>
          <a:ext cx="5823857" cy="2966357"/>
        </a:xfrm>
        <a:prstGeom prst="rect">
          <a:avLst/>
        </a:prstGeom>
        <a:solidFill>
          <a:schemeClr val="accent4">
            <a:lumMod val="40000"/>
            <a:lumOff val="60000"/>
          </a:schemeClr>
        </a:solidFill>
        <a:ln w="317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800"/>
            <a:t>This</a:t>
          </a:r>
          <a:r>
            <a:rPr lang="en-US" sz="1800" baseline="0"/>
            <a:t> worksheet applies the correct formatting expected by NonZimm.exe. Once you cut and paste selected rows of Column A (only) to Notepad or Notepad+, you will have a valid .GAL file. </a:t>
          </a:r>
        </a:p>
        <a:p>
          <a:endParaRPr lang="en-US" sz="1800" baseline="0"/>
        </a:p>
        <a:p>
          <a:r>
            <a:rPr lang="en-US" sz="1800" baseline="0"/>
            <a:t>You have to select which angles to use. </a:t>
          </a:r>
        </a:p>
        <a:p>
          <a:r>
            <a:rPr lang="en-US" sz="1800" baseline="0"/>
            <a:t>Drop the .GAL file  into a directory containing NonZimm.exe and run NonZimm. </a:t>
          </a:r>
        </a:p>
        <a:p>
          <a:endParaRPr lang="en-US" sz="1800" baseline="0"/>
        </a:p>
        <a:p>
          <a:r>
            <a:rPr lang="en-US" sz="1800" baseline="0"/>
            <a:t>NonZimm is mainly a teaching resource. Use it to show how Zimm constructed the guide lines for c = 0 and q = 0 limits, how the scaling factor can be used to cover up bad data, etc. </a:t>
          </a:r>
          <a:endParaRPr lang="en-US" sz="18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package" Target="../embeddings/Microsoft_Word_Document.docx"/></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nvlpubs.nist.gov/nistpubs/jres/52/jresv52n4p217_a1b.pdf" TargetMode="External"/><Relationship Id="rId1" Type="http://schemas.openxmlformats.org/officeDocument/2006/relationships/hyperlink" Target="https://nvlpubs.nist.gov/nistpubs/jres/52/jresv52n4p217_a1b.pdf" TargetMode="External"/><Relationship Id="rId4"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2:B6"/>
  <sheetViews>
    <sheetView workbookViewId="0">
      <selection activeCell="B6" sqref="B6"/>
    </sheetView>
  </sheetViews>
  <sheetFormatPr defaultRowHeight="14.25"/>
  <cols>
    <col min="1" max="1" width="15.06640625" customWidth="1"/>
  </cols>
  <sheetData>
    <row r="2" spans="1:2">
      <c r="B2" t="s">
        <v>65</v>
      </c>
    </row>
    <row r="3" spans="1:2">
      <c r="B3" t="s">
        <v>87</v>
      </c>
    </row>
    <row r="4" spans="1:2">
      <c r="B4" t="s">
        <v>88</v>
      </c>
    </row>
    <row r="5" spans="1:2">
      <c r="A5" t="s">
        <v>106</v>
      </c>
      <c r="B5" t="s">
        <v>107</v>
      </c>
    </row>
    <row r="6" spans="1:2">
      <c r="A6" t="s">
        <v>317</v>
      </c>
      <c r="B6" t="s">
        <v>318</v>
      </c>
    </row>
  </sheetData>
  <phoneticPr fontId="11"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Q108"/>
  <sheetViews>
    <sheetView topLeftCell="A73" zoomScale="85" zoomScaleNormal="85" workbookViewId="0">
      <selection activeCell="B3" sqref="B3"/>
    </sheetView>
  </sheetViews>
  <sheetFormatPr defaultRowHeight="14.25"/>
  <cols>
    <col min="2" max="2" width="10" customWidth="1"/>
  </cols>
  <sheetData>
    <row r="1" spans="2:2">
      <c r="B1" s="11" t="s">
        <v>56</v>
      </c>
    </row>
    <row r="2" spans="2:2">
      <c r="B2" t="s">
        <v>322</v>
      </c>
    </row>
    <row r="3" spans="2:2">
      <c r="B3" t="s">
        <v>400</v>
      </c>
    </row>
    <row r="4" spans="2:2" ht="15.75">
      <c r="B4" t="s">
        <v>218</v>
      </c>
    </row>
    <row r="5" spans="2:2" ht="15.75">
      <c r="B5" t="s">
        <v>320</v>
      </c>
    </row>
    <row r="6" spans="2:2">
      <c r="B6" t="s">
        <v>319</v>
      </c>
    </row>
    <row r="8" spans="2:2">
      <c r="B8" s="11" t="s">
        <v>57</v>
      </c>
    </row>
    <row r="9" spans="2:2">
      <c r="B9" t="s">
        <v>68</v>
      </c>
    </row>
    <row r="10" spans="2:2">
      <c r="B10" t="s">
        <v>38</v>
      </c>
    </row>
    <row r="11" spans="2:2">
      <c r="B11" t="s">
        <v>364</v>
      </c>
    </row>
    <row r="12" spans="2:2">
      <c r="B12" t="s">
        <v>43</v>
      </c>
    </row>
    <row r="13" spans="2:2">
      <c r="B13" t="s">
        <v>321</v>
      </c>
    </row>
    <row r="14" spans="2:2">
      <c r="B14" t="s">
        <v>219</v>
      </c>
    </row>
    <row r="15" spans="2:2">
      <c r="B15" t="s">
        <v>39</v>
      </c>
    </row>
    <row r="16" spans="2:2">
      <c r="B16" t="s">
        <v>365</v>
      </c>
    </row>
    <row r="17" spans="1:17">
      <c r="B17" t="s">
        <v>40</v>
      </c>
    </row>
    <row r="18" spans="1:17">
      <c r="B18" t="s">
        <v>81</v>
      </c>
    </row>
    <row r="19" spans="1:17">
      <c r="B19" t="s">
        <v>220</v>
      </c>
    </row>
    <row r="20" spans="1:17" ht="14.65">
      <c r="B20" t="s">
        <v>330</v>
      </c>
    </row>
    <row r="21" spans="1:17" ht="16.5">
      <c r="B21" t="s">
        <v>366</v>
      </c>
    </row>
    <row r="22" spans="1:17">
      <c r="B22" t="s">
        <v>41</v>
      </c>
    </row>
    <row r="23" spans="1:17">
      <c r="B23" t="s">
        <v>42</v>
      </c>
    </row>
    <row r="25" spans="1:17" ht="14.65" thickBot="1">
      <c r="B25" s="11" t="s">
        <v>227</v>
      </c>
    </row>
    <row r="26" spans="1:17" ht="14.65" thickBot="1">
      <c r="B26" s="167"/>
      <c r="C26" s="172" t="s">
        <v>229</v>
      </c>
      <c r="D26" s="169"/>
      <c r="E26" s="169"/>
      <c r="F26" s="169"/>
      <c r="G26" s="169"/>
      <c r="H26" s="169"/>
      <c r="I26" s="169"/>
      <c r="J26" s="169"/>
      <c r="K26" s="169"/>
      <c r="L26" s="169"/>
      <c r="M26" s="169"/>
      <c r="N26" s="169"/>
      <c r="O26" s="169"/>
      <c r="P26" s="169"/>
      <c r="Q26" s="170"/>
    </row>
    <row r="27" spans="1:17">
      <c r="A27" t="s">
        <v>226</v>
      </c>
      <c r="B27">
        <v>1</v>
      </c>
      <c r="C27" t="s">
        <v>230</v>
      </c>
    </row>
    <row r="28" spans="1:17" ht="15.75">
      <c r="B28">
        <v>2</v>
      </c>
      <c r="C28" t="s">
        <v>327</v>
      </c>
    </row>
    <row r="29" spans="1:17">
      <c r="C29" t="s">
        <v>328</v>
      </c>
    </row>
    <row r="30" spans="1:17">
      <c r="B30">
        <v>3</v>
      </c>
      <c r="C30" t="s">
        <v>329</v>
      </c>
    </row>
    <row r="31" spans="1:17">
      <c r="C31" t="s">
        <v>367</v>
      </c>
    </row>
    <row r="32" spans="1:17">
      <c r="B32">
        <v>4</v>
      </c>
      <c r="C32" t="s">
        <v>331</v>
      </c>
      <c r="F32" s="39"/>
    </row>
    <row r="33" spans="2:17">
      <c r="C33" t="s">
        <v>368</v>
      </c>
    </row>
    <row r="34" spans="2:17">
      <c r="C34" t="s">
        <v>369</v>
      </c>
    </row>
    <row r="35" spans="2:17">
      <c r="B35">
        <v>5</v>
      </c>
      <c r="C35" t="s">
        <v>332</v>
      </c>
    </row>
    <row r="36" spans="2:17">
      <c r="C36" t="s">
        <v>333</v>
      </c>
    </row>
    <row r="37" spans="2:17">
      <c r="C37" t="s">
        <v>370</v>
      </c>
    </row>
    <row r="38" spans="2:17">
      <c r="C38" t="s">
        <v>371</v>
      </c>
    </row>
    <row r="39" spans="2:17" ht="15.75">
      <c r="B39">
        <v>6</v>
      </c>
      <c r="C39" t="s">
        <v>372</v>
      </c>
    </row>
    <row r="40" spans="2:17">
      <c r="B40">
        <v>7</v>
      </c>
      <c r="C40" t="s">
        <v>222</v>
      </c>
    </row>
    <row r="41" spans="2:17">
      <c r="B41">
        <v>8</v>
      </c>
      <c r="C41" t="s">
        <v>323</v>
      </c>
    </row>
    <row r="42" spans="2:17">
      <c r="B42">
        <v>9</v>
      </c>
      <c r="C42" t="s">
        <v>223</v>
      </c>
    </row>
    <row r="43" spans="2:17" ht="14.65" thickBot="1">
      <c r="B43">
        <v>10</v>
      </c>
      <c r="C43" t="s">
        <v>51</v>
      </c>
    </row>
    <row r="44" spans="2:17" ht="14.65" thickBot="1">
      <c r="B44" s="171"/>
      <c r="C44" s="172" t="s">
        <v>228</v>
      </c>
      <c r="D44" s="169"/>
      <c r="E44" s="169"/>
      <c r="F44" s="169"/>
      <c r="G44" s="169"/>
      <c r="H44" s="169"/>
      <c r="I44" s="169"/>
      <c r="J44" s="169"/>
      <c r="K44" s="169"/>
      <c r="L44" s="169"/>
      <c r="M44" s="169"/>
      <c r="N44" s="169"/>
      <c r="O44" s="169"/>
      <c r="P44" s="169"/>
      <c r="Q44" s="170"/>
    </row>
    <row r="45" spans="2:17">
      <c r="B45">
        <v>1</v>
      </c>
      <c r="C45" t="s">
        <v>373</v>
      </c>
    </row>
    <row r="46" spans="2:17">
      <c r="B46">
        <v>2</v>
      </c>
      <c r="C46" t="s">
        <v>235</v>
      </c>
    </row>
    <row r="47" spans="2:17" ht="15.75">
      <c r="B47">
        <v>3</v>
      </c>
      <c r="C47" t="s">
        <v>334</v>
      </c>
    </row>
    <row r="48" spans="2:17" ht="14.65">
      <c r="C48" t="s">
        <v>335</v>
      </c>
    </row>
    <row r="49" spans="2:17" ht="15.75">
      <c r="C49" t="s">
        <v>374</v>
      </c>
    </row>
    <row r="50" spans="2:17">
      <c r="B50">
        <v>4</v>
      </c>
      <c r="C50" t="s">
        <v>375</v>
      </c>
    </row>
    <row r="51" spans="2:17" ht="15.75">
      <c r="B51">
        <v>5</v>
      </c>
      <c r="C51" t="s">
        <v>236</v>
      </c>
    </row>
    <row r="52" spans="2:17" ht="14.65" thickBot="1"/>
    <row r="53" spans="2:17" ht="14.65" thickBot="1">
      <c r="B53" s="171"/>
      <c r="C53" s="168" t="s">
        <v>237</v>
      </c>
      <c r="D53" s="168"/>
      <c r="E53" s="168"/>
      <c r="F53" s="168"/>
      <c r="G53" s="168"/>
      <c r="H53" s="168"/>
      <c r="I53" s="168"/>
      <c r="J53" s="168"/>
      <c r="K53" s="168"/>
      <c r="L53" s="168"/>
      <c r="M53" s="168"/>
      <c r="N53" s="168"/>
      <c r="O53" s="168"/>
      <c r="P53" s="168"/>
      <c r="Q53" s="170"/>
    </row>
    <row r="54" spans="2:17">
      <c r="B54">
        <v>1</v>
      </c>
      <c r="C54" t="s">
        <v>376</v>
      </c>
      <c r="D54" s="39"/>
      <c r="E54" s="39"/>
      <c r="F54" s="39"/>
      <c r="G54" s="39"/>
      <c r="H54" s="39"/>
      <c r="I54" s="39"/>
      <c r="J54" s="39"/>
      <c r="K54" s="39"/>
      <c r="L54" s="39"/>
      <c r="M54" s="39"/>
      <c r="N54" s="39"/>
      <c r="O54" s="39"/>
      <c r="P54" s="39"/>
      <c r="Q54" s="39"/>
    </row>
    <row r="55" spans="2:17" ht="14.65" thickBot="1"/>
    <row r="56" spans="2:17" ht="14.65" thickBot="1">
      <c r="B56" s="171"/>
      <c r="C56" s="168" t="s">
        <v>238</v>
      </c>
      <c r="D56" s="169"/>
      <c r="E56" s="169"/>
      <c r="F56" s="169"/>
      <c r="G56" s="169"/>
      <c r="H56" s="169"/>
      <c r="I56" s="169"/>
      <c r="J56" s="169"/>
      <c r="K56" s="169"/>
      <c r="L56" s="169"/>
      <c r="M56" s="169"/>
      <c r="N56" s="169"/>
      <c r="O56" s="169"/>
      <c r="P56" s="169"/>
      <c r="Q56" s="170"/>
    </row>
    <row r="57" spans="2:17">
      <c r="B57" s="173"/>
      <c r="C57" s="134"/>
      <c r="D57" s="39"/>
      <c r="E57" s="39"/>
      <c r="F57" s="39"/>
      <c r="G57" s="39"/>
      <c r="H57" s="39"/>
      <c r="I57" s="39"/>
      <c r="J57" s="39"/>
      <c r="K57" s="39"/>
      <c r="L57" s="39"/>
      <c r="M57" s="39"/>
      <c r="N57" s="39"/>
      <c r="O57" s="39"/>
      <c r="P57" s="39"/>
      <c r="Q57" s="39"/>
    </row>
    <row r="58" spans="2:17">
      <c r="B58" s="11" t="s">
        <v>115</v>
      </c>
      <c r="C58" t="s">
        <v>116</v>
      </c>
    </row>
    <row r="59" spans="2:17">
      <c r="C59" t="s">
        <v>339</v>
      </c>
    </row>
    <row r="60" spans="2:17">
      <c r="C60" t="s">
        <v>377</v>
      </c>
    </row>
    <row r="62" spans="2:17">
      <c r="B62" s="67" t="s">
        <v>118</v>
      </c>
      <c r="C62" t="s">
        <v>324</v>
      </c>
    </row>
    <row r="64" spans="2:17">
      <c r="B64" s="67" t="s">
        <v>127</v>
      </c>
      <c r="C64" t="s">
        <v>239</v>
      </c>
    </row>
    <row r="65" spans="2:4">
      <c r="C65" t="s">
        <v>121</v>
      </c>
    </row>
    <row r="66" spans="2:4">
      <c r="C66" t="s">
        <v>336</v>
      </c>
    </row>
    <row r="67" spans="2:4">
      <c r="C67" t="s">
        <v>120</v>
      </c>
    </row>
    <row r="68" spans="2:4">
      <c r="C68" t="s">
        <v>378</v>
      </c>
    </row>
    <row r="69" spans="2:4">
      <c r="C69" t="s">
        <v>240</v>
      </c>
    </row>
    <row r="70" spans="2:4">
      <c r="C70" t="s">
        <v>122</v>
      </c>
    </row>
    <row r="71" spans="2:4">
      <c r="C71" t="s">
        <v>124</v>
      </c>
    </row>
    <row r="72" spans="2:4">
      <c r="C72" t="s">
        <v>123</v>
      </c>
    </row>
    <row r="73" spans="2:4">
      <c r="C73" t="s">
        <v>379</v>
      </c>
    </row>
    <row r="74" spans="2:4">
      <c r="C74" t="s">
        <v>241</v>
      </c>
    </row>
    <row r="75" spans="2:4">
      <c r="C75" t="s">
        <v>125</v>
      </c>
    </row>
    <row r="76" spans="2:4">
      <c r="C76" s="131" t="s">
        <v>126</v>
      </c>
    </row>
    <row r="78" spans="2:4">
      <c r="C78" s="131"/>
    </row>
    <row r="79" spans="2:4">
      <c r="B79" s="67" t="s">
        <v>119</v>
      </c>
      <c r="D79" t="s">
        <v>337</v>
      </c>
    </row>
    <row r="80" spans="2:4">
      <c r="D80" t="s">
        <v>338</v>
      </c>
    </row>
    <row r="92" spans="4:4">
      <c r="D92" t="s">
        <v>133</v>
      </c>
    </row>
    <row r="93" spans="4:4">
      <c r="D93" t="s">
        <v>325</v>
      </c>
    </row>
    <row r="98" spans="4:4">
      <c r="D98" t="s">
        <v>134</v>
      </c>
    </row>
    <row r="99" spans="4:4">
      <c r="D99" t="s">
        <v>135</v>
      </c>
    </row>
    <row r="100" spans="4:4">
      <c r="D100" t="s">
        <v>195</v>
      </c>
    </row>
    <row r="101" spans="4:4">
      <c r="D101" t="s">
        <v>136</v>
      </c>
    </row>
    <row r="102" spans="4:4">
      <c r="D102" t="s">
        <v>137</v>
      </c>
    </row>
    <row r="107" spans="4:4">
      <c r="D107" t="s">
        <v>340</v>
      </c>
    </row>
    <row r="108" spans="4:4">
      <c r="D108" t="s">
        <v>341</v>
      </c>
    </row>
  </sheetData>
  <phoneticPr fontId="11" type="noConversion"/>
  <pageMargins left="0.7" right="0.7" top="0.75" bottom="0.75" header="0.3" footer="0.3"/>
  <pageSetup orientation="portrait" horizontalDpi="4294967293" verticalDpi="0" r:id="rId1"/>
  <drawing r:id="rId2"/>
  <legacyDrawing r:id="rId3"/>
  <oleObjects>
    <mc:AlternateContent xmlns:mc="http://schemas.openxmlformats.org/markup-compatibility/2006">
      <mc:Choice Requires="x14">
        <oleObject progId="Word.Document.12" shapeId="1027" r:id="rId4">
          <objectPr defaultSize="0" r:id="rId5">
            <anchor moveWithCells="1" sizeWithCells="1">
              <from>
                <xdr:col>3</xdr:col>
                <xdr:colOff>14288</xdr:colOff>
                <xdr:row>93</xdr:row>
                <xdr:rowOff>80963</xdr:rowOff>
              </from>
              <to>
                <xdr:col>6</xdr:col>
                <xdr:colOff>623888</xdr:colOff>
                <xdr:row>96</xdr:row>
                <xdr:rowOff>138113</xdr:rowOff>
              </to>
            </anchor>
          </objectPr>
        </oleObject>
      </mc:Choice>
      <mc:Fallback>
        <oleObject progId="Word.Document.12" shapeId="1027" r:id="rId4"/>
      </mc:Fallback>
    </mc:AlternateContent>
  </oleObjec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2:T28"/>
  <sheetViews>
    <sheetView topLeftCell="Q4" zoomScale="85" zoomScaleNormal="60" workbookViewId="0">
      <selection activeCell="H13" sqref="H13"/>
    </sheetView>
  </sheetViews>
  <sheetFormatPr defaultRowHeight="14.25"/>
  <cols>
    <col min="1" max="1" width="33.33203125" customWidth="1"/>
    <col min="2" max="2" width="12.06640625" bestFit="1" customWidth="1"/>
    <col min="3" max="3" width="2.6640625" customWidth="1"/>
    <col min="6" max="6" width="17.796875" customWidth="1"/>
    <col min="7" max="7" width="11.265625" customWidth="1"/>
    <col min="8" max="8" width="20.46484375" customWidth="1"/>
    <col min="9" max="9" width="8.73046875" customWidth="1"/>
    <col min="10" max="10" width="22.265625" customWidth="1"/>
    <col min="11" max="11" width="9.1328125" bestFit="1" customWidth="1"/>
    <col min="12" max="12" width="12" bestFit="1" customWidth="1"/>
    <col min="13" max="13" width="13.796875" customWidth="1"/>
    <col min="14" max="14" width="14.86328125" customWidth="1"/>
    <col min="15" max="15" width="9.6640625" customWidth="1"/>
    <col min="16" max="17" width="9.1328125" bestFit="1" customWidth="1"/>
    <col min="18" max="19" width="11.73046875" bestFit="1" customWidth="1"/>
  </cols>
  <sheetData>
    <row r="2" spans="1:20" ht="16.5">
      <c r="A2" s="65" t="s">
        <v>112</v>
      </c>
      <c r="B2" s="178" t="s">
        <v>111</v>
      </c>
      <c r="D2" s="186" t="s">
        <v>190</v>
      </c>
      <c r="E2" s="1"/>
      <c r="F2" s="1"/>
      <c r="G2" s="47" t="s">
        <v>111</v>
      </c>
      <c r="H2" t="s">
        <v>225</v>
      </c>
      <c r="J2" s="67" t="s">
        <v>326</v>
      </c>
    </row>
    <row r="3" spans="1:20" ht="15.75">
      <c r="A3" s="65" t="s">
        <v>7</v>
      </c>
      <c r="B3" s="178">
        <v>685</v>
      </c>
      <c r="D3" s="186" t="s">
        <v>191</v>
      </c>
      <c r="E3" s="1"/>
      <c r="F3" s="1"/>
      <c r="G3" s="187">
        <f>N13</f>
        <v>9.9583604155680655E-6</v>
      </c>
      <c r="H3" t="s">
        <v>259</v>
      </c>
      <c r="J3" s="143" t="s">
        <v>201</v>
      </c>
      <c r="K3" s="136" t="s">
        <v>202</v>
      </c>
      <c r="L3" s="136"/>
      <c r="M3" s="136"/>
      <c r="O3" s="136"/>
      <c r="P3" s="136"/>
    </row>
    <row r="4" spans="1:20" ht="14.65">
      <c r="A4" s="65" t="s">
        <v>8</v>
      </c>
      <c r="B4" s="54">
        <f>Lamnm/10000000</f>
        <v>6.8499999999999998E-5</v>
      </c>
      <c r="D4" s="186" t="s">
        <v>194</v>
      </c>
      <c r="E4" s="1"/>
      <c r="F4" s="1"/>
      <c r="G4" s="243">
        <v>2.98E-2</v>
      </c>
      <c r="H4" t="s">
        <v>192</v>
      </c>
      <c r="I4" s="136"/>
      <c r="J4" s="136"/>
      <c r="K4" s="142" t="s">
        <v>198</v>
      </c>
      <c r="L4" s="136"/>
      <c r="M4" s="136"/>
      <c r="N4" s="136"/>
      <c r="O4" s="136"/>
      <c r="P4" s="136"/>
    </row>
    <row r="5" spans="1:20" ht="14.65">
      <c r="A5" s="65" t="s">
        <v>108</v>
      </c>
      <c r="B5" s="178">
        <v>1.4950000000000001</v>
      </c>
      <c r="D5" s="186" t="s">
        <v>193</v>
      </c>
      <c r="E5" s="1"/>
      <c r="F5" s="1"/>
      <c r="G5" s="47">
        <v>1</v>
      </c>
      <c r="I5" s="136"/>
      <c r="J5" s="136"/>
      <c r="K5" s="142" t="s">
        <v>199</v>
      </c>
      <c r="L5" s="136"/>
      <c r="M5" s="142"/>
      <c r="N5" s="136"/>
      <c r="O5" s="136"/>
      <c r="P5" s="136"/>
    </row>
    <row r="6" spans="1:20" ht="14.65">
      <c r="A6" s="65" t="s">
        <v>109</v>
      </c>
      <c r="B6" s="47">
        <v>1.4950000000000001</v>
      </c>
      <c r="D6" s="137"/>
      <c r="I6" s="136"/>
      <c r="J6" s="136"/>
      <c r="K6" s="142" t="s">
        <v>200</v>
      </c>
      <c r="L6" s="136"/>
      <c r="M6" s="136"/>
      <c r="N6" s="136"/>
      <c r="O6" s="136"/>
      <c r="P6" s="136"/>
    </row>
    <row r="7" spans="1:20" ht="14.65" thickBot="1">
      <c r="A7" s="65" t="s">
        <v>110</v>
      </c>
      <c r="B7" s="178">
        <v>1</v>
      </c>
    </row>
    <row r="8" spans="1:20" ht="16.149999999999999">
      <c r="A8" s="65" t="s">
        <v>113</v>
      </c>
      <c r="B8" s="244">
        <v>1</v>
      </c>
      <c r="C8" s="245" t="s">
        <v>252</v>
      </c>
      <c r="D8" s="207" t="s">
        <v>342</v>
      </c>
      <c r="E8" s="246"/>
      <c r="F8" s="246"/>
      <c r="G8" s="247"/>
      <c r="J8" s="67" t="s">
        <v>270</v>
      </c>
      <c r="K8" s="67"/>
      <c r="L8" s="67"/>
      <c r="M8" s="67"/>
      <c r="N8" s="67"/>
      <c r="O8" s="67"/>
    </row>
    <row r="9" spans="1:20" ht="14.65" thickBot="1">
      <c r="A9" s="65" t="s">
        <v>114</v>
      </c>
      <c r="B9" s="47">
        <v>0.11</v>
      </c>
      <c r="D9" s="248" t="s">
        <v>343</v>
      </c>
      <c r="E9" s="249"/>
      <c r="F9" s="249"/>
      <c r="G9" s="250"/>
      <c r="J9" s="67" t="s">
        <v>260</v>
      </c>
      <c r="K9" s="67"/>
      <c r="L9" s="67"/>
      <c r="M9" s="67"/>
      <c r="N9" s="67"/>
      <c r="O9" s="67"/>
    </row>
    <row r="10" spans="1:20" ht="15.75">
      <c r="A10" s="185" t="s">
        <v>271</v>
      </c>
      <c r="B10" s="132">
        <f>4*PI()^2*Refin^2*dndc^2/(6.022E+23*(Lamnm/10000000)^4)</f>
        <v>8.0523835916103452E-8</v>
      </c>
      <c r="J10" s="67" t="s">
        <v>261</v>
      </c>
      <c r="N10" s="67" t="s">
        <v>262</v>
      </c>
    </row>
    <row r="11" spans="1:20" ht="21.4">
      <c r="J11" s="184" t="s">
        <v>266</v>
      </c>
      <c r="K11" s="67" t="s">
        <v>267</v>
      </c>
      <c r="L11" s="67"/>
      <c r="M11" s="67"/>
      <c r="N11" s="184" t="s">
        <v>268</v>
      </c>
      <c r="O11" s="67"/>
      <c r="P11" s="67" t="s">
        <v>269</v>
      </c>
      <c r="Q11" s="67"/>
    </row>
    <row r="12" spans="1:20" ht="16.5">
      <c r="J12" s="147" t="s">
        <v>224</v>
      </c>
      <c r="K12" s="141" t="s">
        <v>197</v>
      </c>
      <c r="N12" t="s">
        <v>203</v>
      </c>
      <c r="S12" t="s">
        <v>215</v>
      </c>
    </row>
    <row r="13" spans="1:20" ht="16.5">
      <c r="J13">
        <v>685</v>
      </c>
      <c r="K13" s="139">
        <f>4900000/(J13)^4.17</f>
        <v>7.334430487942811E-6</v>
      </c>
      <c r="L13" t="s">
        <v>196</v>
      </c>
      <c r="N13" s="139">
        <f>6653000/J13^4.17</f>
        <v>9.9583604155680655E-6</v>
      </c>
      <c r="O13" t="s">
        <v>207</v>
      </c>
      <c r="P13" t="s">
        <v>208</v>
      </c>
      <c r="Q13" t="s">
        <v>209</v>
      </c>
      <c r="R13" t="s">
        <v>210</v>
      </c>
      <c r="S13" t="s">
        <v>211</v>
      </c>
    </row>
    <row r="14" spans="1:20">
      <c r="J14">
        <v>632.79999999999995</v>
      </c>
      <c r="K14" s="139">
        <f>4900000/(J14)^4.17</f>
        <v>1.0207394457268623E-5</v>
      </c>
      <c r="N14" s="139">
        <f t="shared" ref="N14:N17" si="0">6653000/J14^4.17</f>
        <v>1.3859141902899622E-5</v>
      </c>
      <c r="O14">
        <v>2.1616591239999998</v>
      </c>
      <c r="P14">
        <v>4.9518800000000003E-4</v>
      </c>
      <c r="Q14">
        <v>2.1381790000000001E-2</v>
      </c>
      <c r="R14">
        <v>5.8838000000000001E-5</v>
      </c>
      <c r="S14">
        <v>8.7632000000000004E-5</v>
      </c>
      <c r="T14" s="145"/>
    </row>
    <row r="15" spans="1:20" ht="15.75">
      <c r="J15">
        <v>532</v>
      </c>
      <c r="K15" s="139">
        <f>4900000/(J15)^4.17</f>
        <v>2.104478888325769E-5</v>
      </c>
      <c r="N15" s="139">
        <f t="shared" si="0"/>
        <v>2.857366947761498E-5</v>
      </c>
      <c r="O15" s="144" t="s">
        <v>204</v>
      </c>
    </row>
    <row r="16" spans="1:20">
      <c r="J16">
        <v>514.5</v>
      </c>
      <c r="K16" s="139">
        <f>4900000/(J16)^4.17</f>
        <v>2.4194633576923557E-5</v>
      </c>
      <c r="N16" s="139">
        <f t="shared" si="0"/>
        <v>3.2850387181076004E-5</v>
      </c>
      <c r="O16" t="s">
        <v>205</v>
      </c>
      <c r="R16" s="145" t="s">
        <v>206</v>
      </c>
    </row>
    <row r="17" spans="10:15">
      <c r="J17">
        <v>488</v>
      </c>
      <c r="K17" s="139">
        <f>4900000/(J17)^4.17</f>
        <v>3.0163756224498893E-5</v>
      </c>
      <c r="N17" s="139">
        <f t="shared" si="0"/>
        <v>4.0954993910528805E-5</v>
      </c>
      <c r="O17" t="s">
        <v>265</v>
      </c>
    </row>
    <row r="18" spans="10:15">
      <c r="J18" s="138" t="s">
        <v>214</v>
      </c>
    </row>
    <row r="19" spans="10:15" ht="15.75">
      <c r="J19" t="s">
        <v>263</v>
      </c>
    </row>
    <row r="21" spans="10:15">
      <c r="J21" t="s">
        <v>217</v>
      </c>
    </row>
    <row r="22" spans="10:15">
      <c r="J22" t="s">
        <v>380</v>
      </c>
    </row>
    <row r="23" spans="10:15">
      <c r="M23" s="144" t="s">
        <v>212</v>
      </c>
      <c r="N23" s="183">
        <f>(633/488)^4</f>
        <v>2.8309718572661389</v>
      </c>
    </row>
    <row r="24" spans="10:15">
      <c r="K24" s="45"/>
      <c r="L24" s="45"/>
      <c r="M24" s="144" t="s">
        <v>213</v>
      </c>
      <c r="N24" s="183">
        <f>(633/488)^4.17</f>
        <v>2.9589853367577508</v>
      </c>
    </row>
    <row r="25" spans="10:15">
      <c r="M25" t="s">
        <v>264</v>
      </c>
      <c r="N25" s="146">
        <f>100*(N24-N23)/N24</f>
        <v>4.3262627192292928</v>
      </c>
      <c r="O25" t="s">
        <v>216</v>
      </c>
    </row>
    <row r="26" spans="10:15">
      <c r="J26" t="s">
        <v>381</v>
      </c>
    </row>
    <row r="27" spans="10:15">
      <c r="J27" t="s">
        <v>382</v>
      </c>
      <c r="N27" s="140"/>
    </row>
    <row r="28" spans="10:15">
      <c r="N28" s="140"/>
    </row>
  </sheetData>
  <phoneticPr fontId="11" type="noConversion"/>
  <pageMargins left="0.7" right="0.7" top="0.75" bottom="0.75" header="0.3" footer="0.3"/>
  <pageSetup orientation="portrait" horizontalDpi="4294967293" verticalDpi="0" r:id="rId1"/>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B7315-58B4-4EF6-A556-D81894BFE3BF}">
  <dimension ref="A1:K29"/>
  <sheetViews>
    <sheetView zoomScale="70" zoomScaleNormal="70" workbookViewId="0">
      <selection activeCell="L25" sqref="L25"/>
    </sheetView>
  </sheetViews>
  <sheetFormatPr defaultRowHeight="14.25"/>
  <cols>
    <col min="1" max="1" width="22.73046875" customWidth="1"/>
    <col min="2" max="2" width="9.06640625" customWidth="1"/>
    <col min="3" max="3" width="16.6640625" customWidth="1"/>
  </cols>
  <sheetData>
    <row r="1" spans="1:11">
      <c r="A1" s="214" t="s">
        <v>301</v>
      </c>
      <c r="B1" s="132"/>
      <c r="C1" s="132"/>
      <c r="D1" s="132"/>
      <c r="E1" s="132"/>
      <c r="F1" s="132"/>
      <c r="G1" s="132"/>
      <c r="H1" s="132"/>
      <c r="I1" s="132"/>
      <c r="J1" s="132"/>
      <c r="K1" s="132"/>
    </row>
    <row r="2" spans="1:11">
      <c r="A2" s="212" t="s">
        <v>283</v>
      </c>
      <c r="B2" s="210" t="s">
        <v>281</v>
      </c>
      <c r="C2" s="210"/>
      <c r="D2" s="210"/>
      <c r="E2" s="210"/>
      <c r="F2" s="210"/>
      <c r="G2" s="210"/>
      <c r="H2" s="210"/>
      <c r="I2" s="210"/>
      <c r="J2" s="210"/>
      <c r="K2" s="210"/>
    </row>
    <row r="3" spans="1:11">
      <c r="A3" s="212" t="s">
        <v>284</v>
      </c>
      <c r="B3" s="210" t="s">
        <v>111</v>
      </c>
      <c r="C3" s="210"/>
      <c r="D3" s="210"/>
      <c r="E3" s="210"/>
      <c r="F3" s="210"/>
      <c r="G3" s="210"/>
      <c r="H3" s="210"/>
      <c r="I3" s="210"/>
      <c r="J3" s="210"/>
      <c r="K3" s="210"/>
    </row>
    <row r="4" spans="1:11">
      <c r="A4" s="212" t="s">
        <v>285</v>
      </c>
      <c r="B4" s="210" t="s">
        <v>282</v>
      </c>
      <c r="C4" s="210"/>
      <c r="D4" s="210"/>
      <c r="E4" s="210"/>
      <c r="F4" s="210"/>
      <c r="G4" s="210"/>
      <c r="H4" s="210"/>
      <c r="I4" s="210"/>
      <c r="J4" s="210"/>
      <c r="K4" s="210"/>
    </row>
    <row r="5" spans="1:11">
      <c r="A5" s="212" t="s">
        <v>286</v>
      </c>
      <c r="B5" s="210">
        <v>0.91800000000000004</v>
      </c>
      <c r="C5" s="210" t="s">
        <v>255</v>
      </c>
      <c r="D5" s="210"/>
      <c r="E5" s="210"/>
      <c r="F5" s="210"/>
      <c r="G5" s="210"/>
      <c r="H5" s="210"/>
      <c r="I5" s="210"/>
      <c r="J5" s="210"/>
      <c r="K5" s="210"/>
    </row>
    <row r="6" spans="1:11">
      <c r="A6" s="212" t="s">
        <v>294</v>
      </c>
      <c r="B6" s="210" t="s">
        <v>289</v>
      </c>
      <c r="C6" s="210"/>
      <c r="D6" s="210"/>
      <c r="E6" s="210"/>
      <c r="F6" s="210"/>
      <c r="G6" s="210"/>
      <c r="H6" s="210"/>
      <c r="I6" s="210"/>
      <c r="J6" s="210"/>
      <c r="K6" s="210"/>
    </row>
    <row r="7" spans="1:11">
      <c r="A7" s="212" t="s">
        <v>293</v>
      </c>
      <c r="B7" s="210">
        <v>0.86</v>
      </c>
      <c r="C7" s="210" t="s">
        <v>255</v>
      </c>
      <c r="D7" s="210"/>
      <c r="E7" s="210"/>
      <c r="F7" s="210"/>
      <c r="G7" s="210"/>
      <c r="H7" s="210"/>
      <c r="I7" s="210"/>
      <c r="J7" s="210"/>
      <c r="K7" s="210"/>
    </row>
    <row r="8" spans="1:11">
      <c r="A8" s="212" t="s">
        <v>295</v>
      </c>
      <c r="B8" s="210" t="s">
        <v>289</v>
      </c>
      <c r="C8" s="210"/>
      <c r="D8" s="210"/>
      <c r="E8" s="210"/>
      <c r="F8" s="210"/>
      <c r="G8" s="210"/>
      <c r="H8" s="210"/>
      <c r="I8" s="210"/>
      <c r="J8" s="210"/>
      <c r="K8" s="210"/>
    </row>
    <row r="9" spans="1:11" ht="15.75">
      <c r="A9" s="212" t="s">
        <v>296</v>
      </c>
      <c r="B9" s="210">
        <v>25</v>
      </c>
      <c r="C9" s="210" t="s">
        <v>297</v>
      </c>
      <c r="D9" s="210"/>
      <c r="E9" s="210"/>
      <c r="F9" s="210"/>
      <c r="G9" s="210"/>
      <c r="H9" s="210"/>
      <c r="I9" s="210"/>
      <c r="J9" s="210"/>
      <c r="K9" s="210"/>
    </row>
    <row r="10" spans="1:11">
      <c r="A10" s="67"/>
      <c r="C10" s="67" t="s">
        <v>290</v>
      </c>
      <c r="D10" s="67" t="s">
        <v>276</v>
      </c>
      <c r="E10" s="67" t="s">
        <v>163</v>
      </c>
      <c r="F10" s="67" t="s">
        <v>164</v>
      </c>
      <c r="G10" s="67" t="s">
        <v>165</v>
      </c>
      <c r="H10" s="67" t="s">
        <v>166</v>
      </c>
      <c r="I10" s="67" t="s">
        <v>167</v>
      </c>
      <c r="J10" s="67" t="s">
        <v>168</v>
      </c>
      <c r="K10" s="67" t="s">
        <v>169</v>
      </c>
    </row>
    <row r="11" spans="1:11">
      <c r="A11" s="67"/>
      <c r="C11" s="67" t="s">
        <v>287</v>
      </c>
      <c r="D11">
        <v>1</v>
      </c>
      <c r="E11">
        <v>2</v>
      </c>
      <c r="F11">
        <v>3</v>
      </c>
      <c r="G11">
        <v>4</v>
      </c>
      <c r="H11">
        <v>0</v>
      </c>
      <c r="I11">
        <v>0</v>
      </c>
      <c r="J11">
        <v>0</v>
      </c>
      <c r="K11">
        <v>0</v>
      </c>
    </row>
    <row r="12" spans="1:11">
      <c r="A12" s="67"/>
      <c r="C12" s="67" t="s">
        <v>288</v>
      </c>
      <c r="D12">
        <v>10</v>
      </c>
      <c r="E12">
        <v>10</v>
      </c>
      <c r="F12">
        <v>10</v>
      </c>
      <c r="G12">
        <v>10</v>
      </c>
      <c r="H12">
        <v>10</v>
      </c>
      <c r="I12">
        <v>10</v>
      </c>
      <c r="J12">
        <v>10</v>
      </c>
      <c r="K12">
        <v>10</v>
      </c>
    </row>
    <row r="13" spans="1:11">
      <c r="A13" s="67"/>
      <c r="C13" s="67"/>
    </row>
    <row r="14" spans="1:11">
      <c r="A14" s="67"/>
      <c r="C14" s="67" t="s">
        <v>277</v>
      </c>
      <c r="D14">
        <v>12.9162</v>
      </c>
      <c r="E14">
        <v>12.8436</v>
      </c>
      <c r="F14">
        <v>13.0953</v>
      </c>
      <c r="G14">
        <v>13.0998</v>
      </c>
      <c r="H14">
        <v>0</v>
      </c>
      <c r="I14">
        <v>0</v>
      </c>
      <c r="J14">
        <v>0</v>
      </c>
      <c r="K14">
        <v>0</v>
      </c>
    </row>
    <row r="15" spans="1:11">
      <c r="A15" s="67"/>
      <c r="C15" s="213" t="s">
        <v>278</v>
      </c>
      <c r="D15">
        <v>12.949199999999999</v>
      </c>
      <c r="E15">
        <v>12.902900000000001</v>
      </c>
      <c r="F15">
        <v>13.184799999999999</v>
      </c>
      <c r="G15">
        <v>13.2256</v>
      </c>
      <c r="H15">
        <v>0</v>
      </c>
      <c r="I15">
        <v>0</v>
      </c>
      <c r="J15">
        <v>0</v>
      </c>
      <c r="K15">
        <v>0</v>
      </c>
    </row>
    <row r="16" spans="1:11">
      <c r="A16" s="67"/>
      <c r="C16" s="67" t="s">
        <v>279</v>
      </c>
      <c r="D16">
        <v>23.834199999999999</v>
      </c>
      <c r="E16">
        <v>23.419599999999999</v>
      </c>
      <c r="F16">
        <v>22.528600000000001</v>
      </c>
      <c r="G16">
        <v>23.6966</v>
      </c>
      <c r="H16">
        <v>0</v>
      </c>
      <c r="I16">
        <v>0</v>
      </c>
      <c r="J16">
        <v>0</v>
      </c>
      <c r="K16">
        <v>0</v>
      </c>
    </row>
    <row r="17" spans="1:11">
      <c r="A17" s="67"/>
      <c r="C17" s="67" t="s">
        <v>291</v>
      </c>
      <c r="D17">
        <f>D15-D14</f>
        <v>3.2999999999999474E-2</v>
      </c>
      <c r="E17">
        <f t="shared" ref="E17:K17" si="0">E15-E14</f>
        <v>5.9300000000000352E-2</v>
      </c>
      <c r="F17">
        <f t="shared" si="0"/>
        <v>8.9499999999999247E-2</v>
      </c>
      <c r="G17">
        <f t="shared" si="0"/>
        <v>0.12579999999999991</v>
      </c>
      <c r="H17">
        <f t="shared" si="0"/>
        <v>0</v>
      </c>
      <c r="I17">
        <f t="shared" si="0"/>
        <v>0</v>
      </c>
      <c r="J17">
        <f t="shared" si="0"/>
        <v>0</v>
      </c>
      <c r="K17">
        <f t="shared" si="0"/>
        <v>0</v>
      </c>
    </row>
    <row r="18" spans="1:11">
      <c r="A18" s="67"/>
      <c r="C18" s="67" t="s">
        <v>292</v>
      </c>
      <c r="D18">
        <f>D16-D15</f>
        <v>10.885</v>
      </c>
      <c r="E18">
        <f t="shared" ref="E18:K18" si="1">E16-E15</f>
        <v>10.516699999999998</v>
      </c>
      <c r="F18">
        <f t="shared" si="1"/>
        <v>9.3438000000000017</v>
      </c>
      <c r="G18">
        <f t="shared" si="1"/>
        <v>10.471</v>
      </c>
      <c r="H18">
        <f t="shared" si="1"/>
        <v>0</v>
      </c>
      <c r="I18">
        <f t="shared" si="1"/>
        <v>0</v>
      </c>
      <c r="J18">
        <f t="shared" si="1"/>
        <v>0</v>
      </c>
      <c r="K18">
        <f t="shared" si="1"/>
        <v>0</v>
      </c>
    </row>
    <row r="19" spans="1:11" ht="15.75">
      <c r="A19" s="67"/>
      <c r="C19" s="67" t="s">
        <v>298</v>
      </c>
      <c r="D19" s="39">
        <f t="shared" ref="D19:K19" si="2">D17/(D17*v2bar+D18/Dens1)</f>
        <v>2.6010322208282468E-3</v>
      </c>
      <c r="E19" s="39">
        <f t="shared" si="2"/>
        <v>4.8277485648007294E-3</v>
      </c>
      <c r="F19" s="39">
        <f t="shared" si="2"/>
        <v>8.1757225152172316E-3</v>
      </c>
      <c r="G19" s="39">
        <f t="shared" si="2"/>
        <v>1.0235076607238155E-2</v>
      </c>
      <c r="H19" s="39" t="e">
        <f t="shared" si="2"/>
        <v>#DIV/0!</v>
      </c>
      <c r="I19" s="39" t="e">
        <f t="shared" si="2"/>
        <v>#DIV/0!</v>
      </c>
      <c r="J19" s="39" t="e">
        <f t="shared" si="2"/>
        <v>#DIV/0!</v>
      </c>
      <c r="K19" s="39" t="e">
        <f t="shared" si="2"/>
        <v>#DIV/0!</v>
      </c>
    </row>
    <row r="20" spans="1:11">
      <c r="A20" s="211" t="s">
        <v>299</v>
      </c>
      <c r="C20" s="210" t="s">
        <v>300</v>
      </c>
      <c r="D20" s="210"/>
      <c r="E20" s="210"/>
      <c r="F20" s="210"/>
      <c r="G20" s="210"/>
      <c r="H20" s="210"/>
      <c r="I20" s="210"/>
      <c r="J20" s="210"/>
      <c r="K20" s="210"/>
    </row>
    <row r="21" spans="1:11">
      <c r="A21" s="211"/>
      <c r="C21" s="210" t="s">
        <v>280</v>
      </c>
      <c r="D21" s="210"/>
      <c r="E21" s="210"/>
      <c r="F21" s="210"/>
      <c r="G21" s="210"/>
      <c r="H21" s="210"/>
      <c r="I21" s="210"/>
      <c r="J21" s="210"/>
      <c r="K21" s="210"/>
    </row>
    <row r="22" spans="1:11">
      <c r="A22" s="211"/>
      <c r="C22" s="210"/>
      <c r="D22" s="210"/>
      <c r="E22" s="210"/>
      <c r="F22" s="210"/>
      <c r="G22" s="210"/>
      <c r="H22" s="210"/>
      <c r="I22" s="210"/>
      <c r="J22" s="210"/>
      <c r="K22" s="210"/>
    </row>
    <row r="23" spans="1:11">
      <c r="A23" s="211"/>
      <c r="C23" s="210"/>
      <c r="D23" s="210"/>
      <c r="E23" s="210"/>
      <c r="F23" s="210"/>
      <c r="G23" s="210"/>
      <c r="H23" s="210"/>
      <c r="I23" s="210"/>
      <c r="J23" s="210"/>
      <c r="K23" s="210"/>
    </row>
    <row r="24" spans="1:11">
      <c r="A24" s="67"/>
    </row>
    <row r="25" spans="1:11">
      <c r="A25" s="211" t="s">
        <v>302</v>
      </c>
      <c r="B25" s="132"/>
      <c r="C25" s="132"/>
      <c r="D25" s="132"/>
      <c r="E25" s="132"/>
      <c r="F25" s="132"/>
    </row>
    <row r="26" spans="1:11">
      <c r="C26" s="210" t="s">
        <v>304</v>
      </c>
      <c r="D26" s="210"/>
      <c r="E26" s="210"/>
      <c r="F26" s="210"/>
      <c r="G26" s="210"/>
      <c r="H26" s="210"/>
      <c r="I26" s="210"/>
      <c r="J26" s="210"/>
      <c r="K26" s="210"/>
    </row>
    <row r="27" spans="1:11">
      <c r="A27" s="67"/>
      <c r="C27" s="210"/>
      <c r="D27" s="210"/>
      <c r="E27" s="210"/>
      <c r="F27" s="210"/>
      <c r="G27" s="210"/>
      <c r="H27" s="210"/>
      <c r="I27" s="210"/>
      <c r="J27" s="210"/>
      <c r="K27" s="210"/>
    </row>
    <row r="28" spans="1:11" ht="16.5">
      <c r="A28" s="67"/>
      <c r="C28" s="67" t="s">
        <v>303</v>
      </c>
      <c r="D28">
        <f>D19</f>
        <v>2.6010322208282468E-3</v>
      </c>
      <c r="E28">
        <f t="shared" ref="E28:K28" si="3">E19</f>
        <v>4.8277485648007294E-3</v>
      </c>
      <c r="F28">
        <f t="shared" si="3"/>
        <v>8.1757225152172316E-3</v>
      </c>
      <c r="G28">
        <f t="shared" si="3"/>
        <v>1.0235076607238155E-2</v>
      </c>
      <c r="H28" t="e">
        <f t="shared" si="3"/>
        <v>#DIV/0!</v>
      </c>
      <c r="I28" t="e">
        <f t="shared" si="3"/>
        <v>#DIV/0!</v>
      </c>
      <c r="J28" t="e">
        <f t="shared" si="3"/>
        <v>#DIV/0!</v>
      </c>
      <c r="K28" t="e">
        <f t="shared" si="3"/>
        <v>#DIV/0!</v>
      </c>
    </row>
    <row r="29" spans="1:11">
      <c r="A29" s="67"/>
    </row>
  </sheetData>
  <hyperlinks>
    <hyperlink ref="B6" r:id="rId1" xr:uid="{7FE424C4-1025-4234-B30F-C3FB858C98DA}"/>
    <hyperlink ref="B8" r:id="rId2" xr:uid="{393D1177-92C8-4BA5-8E1A-0AB72D50BF0F}"/>
  </hyperlinks>
  <pageMargins left="0.7" right="0.7" top="0.75" bottom="0.75" header="0.3" footer="0.3"/>
  <pageSetup orientation="portrait" horizontalDpi="4294967293" verticalDpi="0" r:id="rId3"/>
  <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B1:Z32"/>
  <sheetViews>
    <sheetView zoomScale="55" zoomScaleNormal="55" workbookViewId="0">
      <selection activeCell="O10" sqref="O10"/>
    </sheetView>
  </sheetViews>
  <sheetFormatPr defaultRowHeight="14.25"/>
  <cols>
    <col min="1" max="1" width="2.73046875" customWidth="1"/>
    <col min="2" max="2" width="13.73046875" customWidth="1"/>
    <col min="3" max="3" width="8.86328125" customWidth="1"/>
    <col min="4" max="4" width="8.59765625" customWidth="1"/>
    <col min="5" max="5" width="13.796875" customWidth="1"/>
    <col min="6" max="6" width="2.46484375" customWidth="1"/>
    <col min="7" max="7" width="13.73046875" customWidth="1"/>
    <col min="8" max="8" width="13.265625" customWidth="1"/>
    <col min="9" max="9" width="14.59765625" customWidth="1"/>
    <col min="10" max="10" width="4" customWidth="1"/>
    <col min="11" max="11" width="12.73046875" customWidth="1"/>
    <col min="12" max="12" width="16.86328125" customWidth="1"/>
    <col min="13" max="13" width="7.86328125" customWidth="1"/>
    <col min="14" max="14" width="10.265625" customWidth="1"/>
    <col min="15" max="15" width="12.1328125" customWidth="1"/>
    <col min="16" max="16" width="0.86328125" customWidth="1"/>
    <col min="17" max="17" width="12.3984375" customWidth="1"/>
    <col min="19" max="19" width="0.73046875" customWidth="1"/>
    <col min="20" max="20" width="13.265625" customWidth="1"/>
    <col min="21" max="21" width="11.3984375" customWidth="1"/>
    <col min="22" max="22" width="25.59765625" customWidth="1"/>
    <col min="23" max="23" width="9.06640625" customWidth="1"/>
    <col min="25" max="25" width="15" customWidth="1"/>
  </cols>
  <sheetData>
    <row r="1" spans="2:26" ht="14.65" thickBot="1"/>
    <row r="2" spans="2:26" ht="14.65" thickBot="1">
      <c r="B2" s="271" t="s">
        <v>23</v>
      </c>
      <c r="C2" s="272"/>
      <c r="D2" s="273"/>
      <c r="E2" s="125">
        <v>45456</v>
      </c>
      <c r="F2" s="217"/>
      <c r="G2" s="274" t="s">
        <v>355</v>
      </c>
      <c r="H2" s="125" t="s">
        <v>359</v>
      </c>
    </row>
    <row r="3" spans="2:26" ht="14.65" thickBot="1">
      <c r="B3" s="275" t="s">
        <v>17</v>
      </c>
      <c r="C3" s="6"/>
      <c r="D3" s="55"/>
      <c r="E3" s="125" t="s">
        <v>358</v>
      </c>
      <c r="F3" s="39"/>
      <c r="G3" s="39"/>
      <c r="H3" s="276"/>
      <c r="I3" s="11"/>
    </row>
    <row r="4" spans="2:26" ht="14.65" thickBot="1">
      <c r="B4" s="277" t="s">
        <v>54</v>
      </c>
      <c r="C4" s="268"/>
      <c r="D4" s="224"/>
      <c r="E4" s="44" t="s">
        <v>24</v>
      </c>
      <c r="F4" s="278"/>
      <c r="G4" s="224"/>
      <c r="H4" s="225"/>
      <c r="I4" s="11"/>
      <c r="J4" s="11"/>
    </row>
    <row r="5" spans="2:26" ht="15" thickBot="1">
      <c r="B5" s="16" t="s">
        <v>16</v>
      </c>
      <c r="C5" s="38" t="s">
        <v>15</v>
      </c>
      <c r="D5" s="38"/>
      <c r="E5" s="270"/>
      <c r="F5" s="11"/>
    </row>
    <row r="6" spans="2:26" ht="14.65" thickBot="1">
      <c r="B6" s="1"/>
      <c r="C6" s="5" t="s">
        <v>5</v>
      </c>
      <c r="D6" s="56"/>
      <c r="E6" s="17" t="s">
        <v>6</v>
      </c>
      <c r="F6" s="127" t="s">
        <v>363</v>
      </c>
      <c r="G6" s="42">
        <v>1.4999999999999999E-2</v>
      </c>
      <c r="H6" s="14"/>
      <c r="I6" s="1" t="s">
        <v>55</v>
      </c>
      <c r="J6" s="1"/>
    </row>
    <row r="7" spans="2:26" ht="16.149999999999999" thickBot="1">
      <c r="B7" s="1"/>
      <c r="C7" s="5" t="s">
        <v>9</v>
      </c>
      <c r="D7" s="5"/>
      <c r="E7" s="1"/>
      <c r="F7" s="18"/>
      <c r="G7" s="43">
        <v>4.99</v>
      </c>
      <c r="H7" s="14"/>
      <c r="I7" s="1" t="s">
        <v>20</v>
      </c>
      <c r="J7" s="13"/>
      <c r="K7" s="127">
        <v>5</v>
      </c>
      <c r="L7" s="14" t="s">
        <v>18</v>
      </c>
    </row>
    <row r="8" spans="2:26" ht="15.75">
      <c r="B8" s="1"/>
      <c r="C8" s="5" t="s">
        <v>10</v>
      </c>
      <c r="D8" s="5"/>
      <c r="E8" s="1"/>
      <c r="F8" s="13"/>
      <c r="G8" s="43">
        <v>15.1</v>
      </c>
      <c r="H8" s="14"/>
      <c r="I8" s="1" t="s">
        <v>21</v>
      </c>
      <c r="J8" s="1"/>
      <c r="K8" s="126">
        <f>K7*SQRT(3/5)</f>
        <v>3.872983346207417</v>
      </c>
      <c r="L8" s="1" t="s">
        <v>18</v>
      </c>
    </row>
    <row r="9" spans="2:26" ht="15.75">
      <c r="B9" s="1"/>
      <c r="C9" s="5" t="s">
        <v>11</v>
      </c>
      <c r="D9" s="5"/>
      <c r="E9" s="1"/>
      <c r="F9" s="13"/>
      <c r="G9" s="43">
        <v>-14.87</v>
      </c>
      <c r="H9" s="14"/>
      <c r="I9" s="1" t="s">
        <v>19</v>
      </c>
      <c r="J9" s="1"/>
      <c r="K9" s="10">
        <f>Lamnm/(Refin*NormStandard!K7)</f>
        <v>91.638795986622071</v>
      </c>
      <c r="L9" s="1"/>
    </row>
    <row r="10" spans="2:26" ht="15.75">
      <c r="B10" s="1"/>
      <c r="C10" s="5" t="s">
        <v>12</v>
      </c>
      <c r="D10" s="5"/>
      <c r="E10" s="1"/>
      <c r="F10" s="13"/>
      <c r="G10" s="43">
        <v>78.599999999999994</v>
      </c>
      <c r="H10" s="14"/>
      <c r="I10" s="1" t="s">
        <v>44</v>
      </c>
      <c r="J10" s="1"/>
      <c r="K10" s="9">
        <f>K8*(4*PI()*Refin/Lamnm)*SIN(RADIANS(E32/2))</f>
        <v>0.10184578947149307</v>
      </c>
      <c r="L10" s="1"/>
    </row>
    <row r="11" spans="2:26" ht="16.5">
      <c r="B11" s="1"/>
      <c r="C11" s="5" t="s">
        <v>13</v>
      </c>
      <c r="D11" s="5"/>
      <c r="E11" s="33"/>
      <c r="F11" s="13"/>
      <c r="G11" s="43">
        <v>4.93</v>
      </c>
      <c r="I11" s="1" t="s">
        <v>45</v>
      </c>
      <c r="J11" s="1"/>
      <c r="K11" s="8">
        <f>1-K10^2/3</f>
        <v>0.99654247838897614</v>
      </c>
      <c r="L11" s="1"/>
    </row>
    <row r="12" spans="2:26">
      <c r="O12" s="37" t="s">
        <v>46</v>
      </c>
    </row>
    <row r="13" spans="2:26" ht="15" thickBot="1">
      <c r="B13" s="6" t="s">
        <v>16</v>
      </c>
      <c r="C13" s="7" t="s">
        <v>14</v>
      </c>
      <c r="D13" s="7" t="s">
        <v>80</v>
      </c>
      <c r="E13" s="7" t="s">
        <v>35</v>
      </c>
      <c r="F13" s="13"/>
      <c r="G13" s="24" t="s">
        <v>37</v>
      </c>
      <c r="H13" s="15" t="s">
        <v>48</v>
      </c>
      <c r="I13" s="6"/>
      <c r="J13" s="34"/>
      <c r="K13" s="7" t="s">
        <v>100</v>
      </c>
      <c r="L13" s="1"/>
      <c r="M13" s="7" t="s">
        <v>22</v>
      </c>
      <c r="N13" s="36" t="s">
        <v>49</v>
      </c>
      <c r="O13" s="38" t="s">
        <v>47</v>
      </c>
    </row>
    <row r="14" spans="2:26">
      <c r="B14" s="1"/>
      <c r="C14" s="23" t="s">
        <v>36</v>
      </c>
      <c r="D14" s="57"/>
      <c r="E14">
        <v>0</v>
      </c>
      <c r="F14" s="1"/>
      <c r="G14" s="16" t="s">
        <v>0</v>
      </c>
      <c r="H14" s="6" t="s">
        <v>3</v>
      </c>
      <c r="I14" s="6" t="s">
        <v>25</v>
      </c>
      <c r="J14" s="34"/>
      <c r="K14" s="6" t="s">
        <v>3</v>
      </c>
      <c r="L14" s="6" t="s">
        <v>4</v>
      </c>
      <c r="M14" s="1"/>
      <c r="N14" s="6">
        <f>1-((4*PI()*Refin*SIN(RADIANS(E14/2)/Lamnm)*Rgyration)^2/3)</f>
        <v>1</v>
      </c>
      <c r="O14" s="16">
        <v>1</v>
      </c>
      <c r="Q14" s="27" t="s">
        <v>221</v>
      </c>
      <c r="R14" s="28"/>
      <c r="S14" s="11"/>
      <c r="T14" s="27" t="s">
        <v>50</v>
      </c>
      <c r="U14" s="28"/>
    </row>
    <row r="15" spans="2:26">
      <c r="B15" s="1" t="s">
        <v>356</v>
      </c>
      <c r="C15" s="5">
        <v>1</v>
      </c>
      <c r="D15" s="5">
        <v>1</v>
      </c>
      <c r="E15" s="1">
        <v>22.5</v>
      </c>
      <c r="F15" s="1"/>
      <c r="G15" s="2" t="s">
        <v>2</v>
      </c>
      <c r="H15" s="2">
        <v>1.556</v>
      </c>
      <c r="I15" s="4"/>
      <c r="J15" s="35"/>
      <c r="K15" s="2">
        <v>2.9000000000000001E-2</v>
      </c>
      <c r="L15" s="4"/>
      <c r="M15" s="2">
        <f>H15+I15-K15-L15</f>
        <v>1.5270000000000001</v>
      </c>
      <c r="N15" s="2">
        <f>1-((4*PI()*Refin*SIN(RADIANS(E15/2)/Lamnm)*Rgyration)^2/3)</f>
        <v>0.99985500576234376</v>
      </c>
      <c r="O15" s="25">
        <f>N15/M15</f>
        <v>0.6547838937539906</v>
      </c>
      <c r="Q15" s="29" t="s">
        <v>34</v>
      </c>
      <c r="R15" s="30"/>
      <c r="S15" s="11"/>
      <c r="T15" s="29" t="s">
        <v>34</v>
      </c>
      <c r="U15" s="30"/>
      <c r="W15" t="s">
        <v>257</v>
      </c>
      <c r="Y15" t="s">
        <v>258</v>
      </c>
    </row>
    <row r="16" spans="2:26">
      <c r="B16" s="1"/>
      <c r="C16" s="5">
        <v>2</v>
      </c>
      <c r="D16" s="5">
        <v>2</v>
      </c>
      <c r="E16" s="1">
        <v>28</v>
      </c>
      <c r="F16" s="1"/>
      <c r="G16" s="2" t="s">
        <v>2</v>
      </c>
      <c r="H16" s="2">
        <v>0.94</v>
      </c>
      <c r="I16" s="4"/>
      <c r="J16" s="35"/>
      <c r="K16" s="2">
        <v>0</v>
      </c>
      <c r="L16" s="4"/>
      <c r="M16" s="2">
        <f>H16+I16-K16-L16</f>
        <v>0.94</v>
      </c>
      <c r="N16" s="2">
        <f>1-((4*PI()*Refin*SIN(RADIANS(E16/2)/Lamnm)*Rgyration)^2/3)</f>
        <v>0.99977545584076166</v>
      </c>
      <c r="O16" s="25">
        <f>N16/M16</f>
        <v>1.0635909104688954</v>
      </c>
      <c r="Q16" s="19" t="s">
        <v>26</v>
      </c>
      <c r="R16" s="20">
        <v>669.08574999999996</v>
      </c>
      <c r="T16" s="19" t="s">
        <v>26</v>
      </c>
      <c r="U16" s="20">
        <v>1.7024699999999999</v>
      </c>
      <c r="W16" t="s">
        <v>26</v>
      </c>
      <c r="X16">
        <v>489.13528000000002</v>
      </c>
      <c r="Y16" t="s">
        <v>26</v>
      </c>
      <c r="Z16">
        <v>2.2986800000000001</v>
      </c>
    </row>
    <row r="17" spans="2:26">
      <c r="B17" s="1"/>
      <c r="C17" s="5">
        <v>3</v>
      </c>
      <c r="D17" s="5">
        <v>3</v>
      </c>
      <c r="E17" s="1">
        <v>32</v>
      </c>
      <c r="F17" s="1"/>
      <c r="G17" s="2" t="s">
        <v>2</v>
      </c>
      <c r="H17" s="2">
        <v>1.1835</v>
      </c>
      <c r="I17" s="4"/>
      <c r="J17" s="35"/>
      <c r="K17" s="2">
        <v>7.0000000000000001E-3</v>
      </c>
      <c r="L17" s="4"/>
      <c r="M17" s="2">
        <f>H17+I17-K17-L17</f>
        <v>1.1765000000000001</v>
      </c>
      <c r="N17" s="2">
        <f>1-((4*PI()*Refin*SIN(RADIANS(E17/2)/Lamnm)*Rgyration)^2/3)</f>
        <v>0.99970671783663945</v>
      </c>
      <c r="O17" s="25">
        <f t="shared" ref="O17:O32" si="0">N17/M17</f>
        <v>0.84972946692447038</v>
      </c>
      <c r="Q17" s="19" t="s">
        <v>27</v>
      </c>
      <c r="R17" s="20">
        <v>1311.2567100000001</v>
      </c>
      <c r="T17" s="19" t="s">
        <v>27</v>
      </c>
      <c r="U17" s="20">
        <v>2.7317800000000001</v>
      </c>
      <c r="W17" t="s">
        <v>27</v>
      </c>
      <c r="X17">
        <v>793.15197999999998</v>
      </c>
      <c r="Y17" t="s">
        <v>27</v>
      </c>
      <c r="Z17">
        <v>3.5894300000000001</v>
      </c>
    </row>
    <row r="18" spans="2:26">
      <c r="B18" s="1"/>
      <c r="C18" s="53">
        <v>4</v>
      </c>
      <c r="D18" s="53"/>
      <c r="E18" s="54">
        <v>38</v>
      </c>
      <c r="F18" s="54"/>
      <c r="G18" s="31" t="s">
        <v>52</v>
      </c>
      <c r="H18" s="32" t="s">
        <v>53</v>
      </c>
      <c r="I18" s="54"/>
      <c r="J18" s="54"/>
      <c r="K18" s="58" t="s">
        <v>53</v>
      </c>
      <c r="L18" s="54"/>
      <c r="M18" s="58" t="s">
        <v>53</v>
      </c>
      <c r="N18" s="32" t="s">
        <v>53</v>
      </c>
      <c r="O18" s="32" t="s">
        <v>53</v>
      </c>
      <c r="Q18" s="19" t="s">
        <v>28</v>
      </c>
      <c r="R18" s="20">
        <v>791.19353999999998</v>
      </c>
      <c r="T18" s="19" t="s">
        <v>28</v>
      </c>
      <c r="U18" s="20">
        <v>0.24285999999999999</v>
      </c>
      <c r="W18" t="s">
        <v>28</v>
      </c>
      <c r="X18">
        <v>746.47442999999998</v>
      </c>
      <c r="Y18" t="s">
        <v>28</v>
      </c>
      <c r="Z18">
        <v>1.64838</v>
      </c>
    </row>
    <row r="19" spans="2:26">
      <c r="B19" s="1"/>
      <c r="C19" s="5">
        <v>5</v>
      </c>
      <c r="D19" s="5">
        <v>4</v>
      </c>
      <c r="E19" s="1">
        <v>44</v>
      </c>
      <c r="F19" s="1"/>
      <c r="G19" s="3" t="s">
        <v>1</v>
      </c>
      <c r="H19" s="4"/>
      <c r="I19" s="3">
        <f>R16</f>
        <v>669.08574999999996</v>
      </c>
      <c r="J19" s="35"/>
      <c r="K19" s="4"/>
      <c r="L19" s="3">
        <f>U16</f>
        <v>1.7024699999999999</v>
      </c>
      <c r="M19" s="3">
        <f t="shared" ref="M19:M26" si="1">H19+I19-K19-L19</f>
        <v>667.38328000000001</v>
      </c>
      <c r="N19" s="3">
        <f t="shared" ref="N19:N26" si="2">1-((4*PI()*Refin*SIN(RADIANS(E19/2)/Lamnm)*Rgyration)^2/3)</f>
        <v>0.99944551343725418</v>
      </c>
      <c r="O19" s="26">
        <f t="shared" si="0"/>
        <v>1.4975585145574131E-3</v>
      </c>
      <c r="Q19" s="19" t="s">
        <v>29</v>
      </c>
      <c r="R19" s="20">
        <v>850.51044000000002</v>
      </c>
      <c r="T19" s="19" t="s">
        <v>29</v>
      </c>
      <c r="U19" s="20">
        <v>17.133420000000001</v>
      </c>
      <c r="W19" t="s">
        <v>29</v>
      </c>
      <c r="X19">
        <v>666.21753000000001</v>
      </c>
      <c r="Y19" t="s">
        <v>29</v>
      </c>
      <c r="Z19">
        <v>13.620279999999999</v>
      </c>
    </row>
    <row r="20" spans="2:26">
      <c r="B20" s="1"/>
      <c r="C20" s="5">
        <v>6</v>
      </c>
      <c r="D20" s="5">
        <v>5</v>
      </c>
      <c r="E20" s="1">
        <v>50</v>
      </c>
      <c r="F20" s="1"/>
      <c r="G20" s="3" t="s">
        <v>1</v>
      </c>
      <c r="H20" s="4"/>
      <c r="I20" s="3">
        <f>R17</f>
        <v>1311.2567100000001</v>
      </c>
      <c r="J20" s="35"/>
      <c r="K20" s="4"/>
      <c r="L20" s="3">
        <f>U17</f>
        <v>2.7317800000000001</v>
      </c>
      <c r="M20" s="3">
        <f t="shared" si="1"/>
        <v>1308.52493</v>
      </c>
      <c r="N20" s="3">
        <f t="shared" si="2"/>
        <v>0.99928397915053291</v>
      </c>
      <c r="O20" s="26">
        <f t="shared" si="0"/>
        <v>7.6367209843723261E-4</v>
      </c>
      <c r="Q20" s="19" t="s">
        <v>30</v>
      </c>
      <c r="R20" s="20">
        <v>177.29825</v>
      </c>
      <c r="T20" s="19" t="s">
        <v>30</v>
      </c>
      <c r="U20" s="20">
        <v>1.5735600000000001</v>
      </c>
      <c r="W20" t="s">
        <v>30</v>
      </c>
      <c r="X20">
        <v>188.63036</v>
      </c>
      <c r="Y20" t="s">
        <v>30</v>
      </c>
      <c r="Z20">
        <v>1.24438</v>
      </c>
    </row>
    <row r="21" spans="2:26">
      <c r="B21" s="1"/>
      <c r="C21" s="5">
        <v>7</v>
      </c>
      <c r="D21" s="5">
        <v>6</v>
      </c>
      <c r="E21" s="1">
        <v>57</v>
      </c>
      <c r="F21" s="1"/>
      <c r="G21" s="2" t="s">
        <v>2</v>
      </c>
      <c r="H21" s="2">
        <v>1.5940000000000001</v>
      </c>
      <c r="I21" s="4"/>
      <c r="J21" s="35"/>
      <c r="K21" s="2">
        <v>0</v>
      </c>
      <c r="L21" s="4"/>
      <c r="M21" s="2">
        <f t="shared" si="1"/>
        <v>1.5940000000000001</v>
      </c>
      <c r="N21" s="2">
        <f t="shared" si="2"/>
        <v>0.99906945934173852</v>
      </c>
      <c r="O21" s="25">
        <f t="shared" si="0"/>
        <v>0.62676879507009942</v>
      </c>
      <c r="Q21" s="19" t="s">
        <v>31</v>
      </c>
      <c r="R21" s="20">
        <v>356.48971999999998</v>
      </c>
      <c r="T21" s="19" t="s">
        <v>31</v>
      </c>
      <c r="U21" s="20">
        <v>0.91273000000000004</v>
      </c>
      <c r="W21" t="s">
        <v>31</v>
      </c>
      <c r="X21">
        <v>322.43961000000002</v>
      </c>
      <c r="Y21" t="s">
        <v>31</v>
      </c>
      <c r="Z21">
        <v>1.5229200000000001</v>
      </c>
    </row>
    <row r="22" spans="2:26">
      <c r="B22" s="1"/>
      <c r="C22" s="5">
        <v>8</v>
      </c>
      <c r="D22" s="5">
        <v>7</v>
      </c>
      <c r="E22" s="1">
        <v>64</v>
      </c>
      <c r="F22" s="1"/>
      <c r="G22" s="3" t="s">
        <v>1</v>
      </c>
      <c r="H22" s="4"/>
      <c r="I22" s="3">
        <f>R18</f>
        <v>791.19353999999998</v>
      </c>
      <c r="J22" s="35"/>
      <c r="K22" s="4"/>
      <c r="L22" s="3">
        <f>U18</f>
        <v>0.24285999999999999</v>
      </c>
      <c r="M22" s="3">
        <f t="shared" si="1"/>
        <v>790.95068000000003</v>
      </c>
      <c r="N22" s="3">
        <f t="shared" si="2"/>
        <v>0.99882687154152416</v>
      </c>
      <c r="O22" s="26">
        <f t="shared" si="0"/>
        <v>1.2628181463116312E-3</v>
      </c>
      <c r="Q22" s="19" t="s">
        <v>32</v>
      </c>
      <c r="R22" s="20">
        <v>518.18389999999999</v>
      </c>
      <c r="T22" s="19" t="s">
        <v>32</v>
      </c>
      <c r="U22" s="20">
        <v>1.8532500000000001</v>
      </c>
      <c r="W22" t="s">
        <v>32</v>
      </c>
      <c r="X22">
        <v>497.82062000000002</v>
      </c>
      <c r="Y22" t="s">
        <v>32</v>
      </c>
      <c r="Z22">
        <v>2.6058300000000001</v>
      </c>
    </row>
    <row r="23" spans="2:26" ht="14.65" thickBot="1">
      <c r="B23" s="1"/>
      <c r="C23" s="5">
        <v>9</v>
      </c>
      <c r="D23" s="5">
        <v>9</v>
      </c>
      <c r="E23" s="1">
        <v>72</v>
      </c>
      <c r="F23" s="1"/>
      <c r="G23" s="2" t="s">
        <v>2</v>
      </c>
      <c r="H23" s="2">
        <v>1.371</v>
      </c>
      <c r="I23" s="4"/>
      <c r="J23" s="35"/>
      <c r="K23" s="2">
        <v>2E-3</v>
      </c>
      <c r="L23" s="4"/>
      <c r="M23" s="2">
        <f t="shared" si="1"/>
        <v>1.369</v>
      </c>
      <c r="N23" s="2">
        <f t="shared" si="2"/>
        <v>0.99851525938213348</v>
      </c>
      <c r="O23" s="25">
        <f t="shared" si="0"/>
        <v>0.72937564600594118</v>
      </c>
      <c r="Q23" s="21" t="s">
        <v>33</v>
      </c>
      <c r="R23" s="22">
        <v>599.08276000000001</v>
      </c>
      <c r="T23" s="21" t="s">
        <v>33</v>
      </c>
      <c r="U23" s="22">
        <v>1.2981499999999999</v>
      </c>
      <c r="W23" t="s">
        <v>33</v>
      </c>
      <c r="X23">
        <v>557.64251999999999</v>
      </c>
      <c r="Y23" t="s">
        <v>33</v>
      </c>
      <c r="Z23">
        <v>2.7940999999999998</v>
      </c>
    </row>
    <row r="24" spans="2:26">
      <c r="B24" s="1"/>
      <c r="C24" s="5">
        <v>10</v>
      </c>
      <c r="D24" s="5">
        <v>9</v>
      </c>
      <c r="E24" s="1">
        <v>81</v>
      </c>
      <c r="F24" s="1"/>
      <c r="G24" s="3" t="s">
        <v>1</v>
      </c>
      <c r="H24" s="4"/>
      <c r="I24" s="3">
        <f>R19</f>
        <v>850.51044000000002</v>
      </c>
      <c r="J24" s="35"/>
      <c r="K24" s="4"/>
      <c r="L24" s="3">
        <f>U19</f>
        <v>17.133420000000001</v>
      </c>
      <c r="M24" s="3">
        <f t="shared" si="1"/>
        <v>833.37702000000002</v>
      </c>
      <c r="N24" s="3">
        <f t="shared" si="2"/>
        <v>0.99812087529549787</v>
      </c>
      <c r="O24" s="26">
        <f t="shared" si="0"/>
        <v>1.1976822630596388E-3</v>
      </c>
    </row>
    <row r="25" spans="2:26">
      <c r="B25" s="1"/>
      <c r="C25" s="5">
        <v>11</v>
      </c>
      <c r="D25" s="5">
        <v>10</v>
      </c>
      <c r="E25" s="1">
        <v>90</v>
      </c>
      <c r="F25" s="1"/>
      <c r="G25" s="2" t="s">
        <v>2</v>
      </c>
      <c r="H25" s="2">
        <v>1.1970000000000001</v>
      </c>
      <c r="I25" s="4"/>
      <c r="J25" s="35"/>
      <c r="K25" s="2">
        <v>-4.0000000000000001E-3</v>
      </c>
      <c r="L25" s="4"/>
      <c r="M25" s="2">
        <f t="shared" si="1"/>
        <v>1.2010000000000001</v>
      </c>
      <c r="N25" s="2">
        <f t="shared" si="2"/>
        <v>0.99768009315055783</v>
      </c>
      <c r="O25" s="25">
        <f t="shared" si="0"/>
        <v>0.83070782110787489</v>
      </c>
    </row>
    <row r="26" spans="2:26">
      <c r="B26" s="1"/>
      <c r="C26" s="5">
        <v>12</v>
      </c>
      <c r="D26" s="5">
        <v>11</v>
      </c>
      <c r="E26" s="1">
        <v>99</v>
      </c>
      <c r="F26" s="1"/>
      <c r="G26" s="3" t="s">
        <v>1</v>
      </c>
      <c r="H26" s="4"/>
      <c r="I26" s="3">
        <f>R20</f>
        <v>177.29825</v>
      </c>
      <c r="J26" s="35"/>
      <c r="K26" s="4"/>
      <c r="L26" s="3">
        <f>U20</f>
        <v>1.5735600000000001</v>
      </c>
      <c r="M26" s="3">
        <f t="shared" si="1"/>
        <v>175.72469000000001</v>
      </c>
      <c r="N26" s="3">
        <f t="shared" si="2"/>
        <v>0.99719291297049173</v>
      </c>
      <c r="O26" s="26">
        <f t="shared" si="0"/>
        <v>5.6747456090006001E-3</v>
      </c>
    </row>
    <row r="27" spans="2:26">
      <c r="B27" s="1"/>
      <c r="C27" s="53">
        <v>13</v>
      </c>
      <c r="D27" s="53"/>
      <c r="E27" s="54">
        <v>108</v>
      </c>
      <c r="F27" s="54"/>
      <c r="G27" s="31" t="s">
        <v>52</v>
      </c>
      <c r="H27" s="58" t="s">
        <v>53</v>
      </c>
      <c r="I27" s="54"/>
      <c r="J27" s="54"/>
      <c r="K27" s="58" t="s">
        <v>53</v>
      </c>
      <c r="L27" s="54"/>
      <c r="M27" s="58" t="s">
        <v>53</v>
      </c>
      <c r="N27" s="32" t="s">
        <v>53</v>
      </c>
      <c r="O27" s="32" t="s">
        <v>53</v>
      </c>
    </row>
    <row r="28" spans="2:26">
      <c r="B28" s="1"/>
      <c r="C28" s="5">
        <v>14</v>
      </c>
      <c r="D28" s="5">
        <v>12</v>
      </c>
      <c r="E28" s="1">
        <v>117</v>
      </c>
      <c r="F28" s="1"/>
      <c r="G28" s="3" t="s">
        <v>1</v>
      </c>
      <c r="H28" s="4"/>
      <c r="I28" s="3">
        <f>R21</f>
        <v>356.48971999999998</v>
      </c>
      <c r="J28" s="35"/>
      <c r="K28" s="4"/>
      <c r="L28" s="3">
        <f>U21</f>
        <v>0.91273000000000004</v>
      </c>
      <c r="M28" s="3">
        <f>H28+I28-K28-L28</f>
        <v>355.57698999999997</v>
      </c>
      <c r="N28" s="3">
        <f>1-((4*PI()*Refin*SIN(RADIANS(E28/2)/Lamnm)*Rgyration)^2/3)</f>
        <v>0.99607935860989394</v>
      </c>
      <c r="O28" s="26">
        <f t="shared" si="0"/>
        <v>2.801304321210138E-3</v>
      </c>
    </row>
    <row r="29" spans="2:26">
      <c r="B29" s="1"/>
      <c r="C29" s="5">
        <v>15</v>
      </c>
      <c r="D29" s="5">
        <v>13</v>
      </c>
      <c r="E29" s="1">
        <v>126</v>
      </c>
      <c r="F29" s="1"/>
      <c r="G29" s="2" t="s">
        <v>2</v>
      </c>
      <c r="H29" s="2">
        <v>1.528</v>
      </c>
      <c r="I29" s="4"/>
      <c r="J29" s="35"/>
      <c r="K29" s="2">
        <v>3.0000000000000001E-3</v>
      </c>
      <c r="L29" s="4"/>
      <c r="M29" s="2">
        <f>H29+I29-K29-L29</f>
        <v>1.5250000000000001</v>
      </c>
      <c r="N29" s="2">
        <f>1-((4*PI()*Refin*SIN(RADIANS(E29/2)/Lamnm)*Rgyration)^2/3)</f>
        <v>0.99545298448791808</v>
      </c>
      <c r="O29" s="25">
        <f t="shared" si="0"/>
        <v>0.65275605540191339</v>
      </c>
    </row>
    <row r="30" spans="2:26">
      <c r="B30" s="1"/>
      <c r="C30" s="5">
        <v>16</v>
      </c>
      <c r="D30" s="5">
        <v>14</v>
      </c>
      <c r="E30" s="1">
        <v>134</v>
      </c>
      <c r="F30" s="1"/>
      <c r="G30" s="3" t="s">
        <v>1</v>
      </c>
      <c r="H30" s="4"/>
      <c r="I30" s="3">
        <f>R22</f>
        <v>518.18389999999999</v>
      </c>
      <c r="J30" s="35"/>
      <c r="K30" s="4"/>
      <c r="L30" s="3">
        <f>U22</f>
        <v>1.8532500000000001</v>
      </c>
      <c r="M30" s="3">
        <f>H30+I30-K30-L30</f>
        <v>516.33064999999999</v>
      </c>
      <c r="N30" s="3">
        <f>1-((4*PI()*Refin*SIN(RADIANS(E30/2)/Lamnm)*Rgyration)^2/3)</f>
        <v>0.99485725615094722</v>
      </c>
      <c r="O30" s="26">
        <f t="shared" si="0"/>
        <v>1.9267832660155798E-3</v>
      </c>
    </row>
    <row r="31" spans="2:26">
      <c r="B31" s="1"/>
      <c r="C31" s="5">
        <v>17</v>
      </c>
      <c r="D31" s="5">
        <v>15</v>
      </c>
      <c r="E31" s="1">
        <v>141</v>
      </c>
      <c r="F31" s="1"/>
      <c r="G31" s="2" t="s">
        <v>2</v>
      </c>
      <c r="H31" s="2">
        <v>0.85219999999999996</v>
      </c>
      <c r="I31" s="4"/>
      <c r="J31" s="35"/>
      <c r="K31" s="2">
        <v>0</v>
      </c>
      <c r="L31" s="4"/>
      <c r="M31" s="2">
        <f>H31+I31-K31-L31</f>
        <v>0.85219999999999996</v>
      </c>
      <c r="N31" s="2">
        <f>1-((4*PI()*Refin*SIN(RADIANS(E31/2)/Lamnm)*Rgyration)^2/3)</f>
        <v>0.9943059211508517</v>
      </c>
      <c r="O31" s="25">
        <f>N31/M31</f>
        <v>1.16675184364099</v>
      </c>
    </row>
    <row r="32" spans="2:26">
      <c r="B32" s="1"/>
      <c r="C32" s="5">
        <v>18</v>
      </c>
      <c r="D32" s="5">
        <v>16</v>
      </c>
      <c r="E32" s="1">
        <v>147</v>
      </c>
      <c r="F32" s="1"/>
      <c r="G32" s="3" t="s">
        <v>1</v>
      </c>
      <c r="H32" s="4"/>
      <c r="I32" s="3">
        <f>R23</f>
        <v>599.08276000000001</v>
      </c>
      <c r="J32" s="35"/>
      <c r="K32" s="4"/>
      <c r="L32" s="3">
        <f>U23</f>
        <v>1.2981499999999999</v>
      </c>
      <c r="M32" s="3">
        <f>H32+I32-K32-L32</f>
        <v>597.78461000000004</v>
      </c>
      <c r="N32" s="3">
        <f>1-((4*PI()*Refin*SIN(RADIANS(E32/2)/Lamnm)*Rgyration)^2/3)</f>
        <v>0.99381100858363813</v>
      </c>
      <c r="O32" s="26">
        <f t="shared" si="0"/>
        <v>1.662490120954499E-3</v>
      </c>
    </row>
  </sheetData>
  <phoneticPr fontId="11" type="noConversion"/>
  <pageMargins left="0.7" right="0.7" top="0.75" bottom="0.75" header="0.3" footer="0.3"/>
  <drawing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B1:AH39"/>
  <sheetViews>
    <sheetView zoomScale="59" zoomScaleNormal="59" workbookViewId="0">
      <selection activeCell="V5" sqref="V5"/>
    </sheetView>
  </sheetViews>
  <sheetFormatPr defaultRowHeight="14.25"/>
  <cols>
    <col min="2" max="2" width="11" customWidth="1"/>
    <col min="4" max="4" width="13.59765625" customWidth="1"/>
    <col min="5" max="5" width="2" customWidth="1"/>
    <col min="6" max="6" width="11.86328125" customWidth="1"/>
    <col min="7" max="7" width="12.59765625" customWidth="1"/>
    <col min="8" max="8" width="20.33203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 min="20" max="20" width="2.796875" customWidth="1"/>
    <col min="21" max="21" width="10.1328125" customWidth="1"/>
    <col min="29" max="29" width="10.86328125" customWidth="1"/>
  </cols>
  <sheetData>
    <row r="1" spans="2:24" ht="14.65" thickBot="1"/>
    <row r="2" spans="2:24" ht="14.65" thickBot="1">
      <c r="B2" s="6" t="s">
        <v>66</v>
      </c>
      <c r="C2" s="6"/>
      <c r="D2" s="125">
        <v>45456</v>
      </c>
    </row>
    <row r="3" spans="2:24" ht="14.65" thickBot="1">
      <c r="B3" s="6" t="s">
        <v>67</v>
      </c>
      <c r="C3" s="6"/>
      <c r="D3" s="40" t="s">
        <v>357</v>
      </c>
      <c r="G3" s="11"/>
      <c r="H3" s="11"/>
    </row>
    <row r="4" spans="2:24" ht="14.65" thickBot="1">
      <c r="B4" s="6" t="s">
        <v>54</v>
      </c>
      <c r="C4" s="1"/>
      <c r="D4" s="41" t="s">
        <v>24</v>
      </c>
      <c r="E4" s="12"/>
      <c r="H4" s="11"/>
      <c r="I4" s="11"/>
    </row>
    <row r="5" spans="2:24" ht="15" thickBot="1">
      <c r="B5" s="6" t="s">
        <v>16</v>
      </c>
      <c r="C5" s="7" t="s">
        <v>15</v>
      </c>
      <c r="D5" s="1"/>
    </row>
    <row r="6" spans="2:24" ht="14.65" thickBot="1">
      <c r="B6" s="1"/>
      <c r="C6" s="5" t="s">
        <v>5</v>
      </c>
      <c r="D6" s="17" t="s">
        <v>6</v>
      </c>
      <c r="E6" s="44" t="s">
        <v>274</v>
      </c>
      <c r="F6" s="42">
        <v>1.4999999999999999E-2</v>
      </c>
      <c r="G6" s="148"/>
      <c r="H6" s="149" t="s">
        <v>234</v>
      </c>
      <c r="I6" s="150"/>
      <c r="J6" s="151"/>
      <c r="K6" s="152"/>
    </row>
    <row r="7" spans="2:24" ht="15.75">
      <c r="B7" s="1"/>
      <c r="C7" s="5" t="s">
        <v>9</v>
      </c>
      <c r="D7" s="1"/>
      <c r="E7" s="18"/>
      <c r="F7" s="43">
        <v>4.99</v>
      </c>
      <c r="G7" s="148"/>
      <c r="H7" s="153" t="s">
        <v>273</v>
      </c>
      <c r="I7" s="154"/>
      <c r="J7" s="166">
        <v>6</v>
      </c>
      <c r="K7" s="155" t="s">
        <v>18</v>
      </c>
    </row>
    <row r="8" spans="2:24" ht="15.75">
      <c r="B8" s="1"/>
      <c r="C8" s="5" t="s">
        <v>10</v>
      </c>
      <c r="D8" s="1"/>
      <c r="E8" s="13"/>
      <c r="F8" s="43">
        <v>15.1</v>
      </c>
      <c r="G8" s="148"/>
      <c r="H8" s="153" t="s">
        <v>231</v>
      </c>
      <c r="I8" s="156"/>
      <c r="J8" s="157">
        <f>J7*SQRT(3/5)</f>
        <v>4.6475800154489004</v>
      </c>
      <c r="K8" s="158" t="s">
        <v>18</v>
      </c>
    </row>
    <row r="9" spans="2:24" ht="15.75">
      <c r="B9" s="1"/>
      <c r="C9" s="5" t="s">
        <v>11</v>
      </c>
      <c r="D9" s="1"/>
      <c r="E9" s="13"/>
      <c r="F9" s="43">
        <v>-14.87</v>
      </c>
      <c r="G9" s="148"/>
      <c r="H9" s="153" t="s">
        <v>19</v>
      </c>
      <c r="I9" s="156"/>
      <c r="J9" s="159">
        <f>Lamnm/(Refin*J7)</f>
        <v>76.365663322185057</v>
      </c>
      <c r="K9" s="158"/>
      <c r="O9" s="165"/>
      <c r="P9" s="165"/>
    </row>
    <row r="10" spans="2:24" ht="15.75">
      <c r="B10" s="1"/>
      <c r="C10" s="5" t="s">
        <v>12</v>
      </c>
      <c r="D10" s="1"/>
      <c r="E10" s="13"/>
      <c r="F10" s="43">
        <v>78.599999999999994</v>
      </c>
      <c r="G10" s="148"/>
      <c r="H10" s="153" t="s">
        <v>232</v>
      </c>
      <c r="I10" s="156"/>
      <c r="J10" s="160">
        <f>J8*(4*PI()*Refin/Lamnm)*SIN(RADIANS(D32/2))</f>
        <v>0.12221494736579167</v>
      </c>
      <c r="K10" s="158"/>
      <c r="O10" s="165"/>
      <c r="P10" s="165"/>
      <c r="U10" s="39"/>
    </row>
    <row r="11" spans="2:24" ht="16.899999999999999" thickBot="1">
      <c r="B11" s="1"/>
      <c r="C11" s="5" t="s">
        <v>13</v>
      </c>
      <c r="D11" s="33"/>
      <c r="E11" s="13"/>
      <c r="F11" s="43">
        <v>4.93</v>
      </c>
      <c r="G11" s="148"/>
      <c r="H11" s="161" t="s">
        <v>233</v>
      </c>
      <c r="I11" s="162"/>
      <c r="J11" s="163">
        <f>1-J10^2/3</f>
        <v>0.99502116888012559</v>
      </c>
      <c r="K11" s="164"/>
      <c r="M11" s="39"/>
      <c r="O11" s="39"/>
      <c r="U11" s="39"/>
    </row>
    <row r="12" spans="2:24">
      <c r="M12" s="295" t="s">
        <v>308</v>
      </c>
      <c r="U12" s="39"/>
    </row>
    <row r="13" spans="2:24" ht="15" thickBot="1">
      <c r="B13" s="6" t="s">
        <v>16</v>
      </c>
      <c r="C13" s="7" t="s">
        <v>14</v>
      </c>
      <c r="D13" s="7" t="s">
        <v>35</v>
      </c>
      <c r="E13" s="13"/>
      <c r="F13" s="24" t="s">
        <v>37</v>
      </c>
      <c r="G13" s="15" t="s">
        <v>101</v>
      </c>
      <c r="H13" s="6"/>
      <c r="I13" s="34"/>
      <c r="J13" s="6" t="s">
        <v>102</v>
      </c>
      <c r="K13" s="1"/>
      <c r="L13" s="7" t="s">
        <v>22</v>
      </c>
      <c r="M13" s="296"/>
      <c r="U13" s="39"/>
    </row>
    <row r="14" spans="2:24" ht="14.65" thickBot="1">
      <c r="B14" s="1"/>
      <c r="C14" s="23" t="s">
        <v>36</v>
      </c>
      <c r="D14">
        <v>0</v>
      </c>
      <c r="E14" s="1"/>
      <c r="F14" s="16" t="s">
        <v>0</v>
      </c>
      <c r="G14" s="6" t="s">
        <v>103</v>
      </c>
      <c r="H14" s="6" t="s">
        <v>104</v>
      </c>
      <c r="I14" s="34"/>
      <c r="J14" s="6" t="s">
        <v>103</v>
      </c>
      <c r="K14" s="6" t="s">
        <v>105</v>
      </c>
      <c r="L14" s="1"/>
      <c r="M14" s="16"/>
      <c r="O14" s="27" t="s">
        <v>117</v>
      </c>
      <c r="P14" s="129"/>
      <c r="Q14" s="130"/>
      <c r="R14" s="129" t="s">
        <v>50</v>
      </c>
      <c r="S14" s="28"/>
      <c r="U14" s="172" t="s">
        <v>309</v>
      </c>
      <c r="V14" s="169"/>
      <c r="W14" s="169"/>
      <c r="X14" s="170"/>
    </row>
    <row r="15" spans="2:24">
      <c r="B15" s="1"/>
      <c r="C15" s="5">
        <v>1</v>
      </c>
      <c r="D15" s="1">
        <v>22.5</v>
      </c>
      <c r="E15" s="1"/>
      <c r="F15" s="2" t="s">
        <v>2</v>
      </c>
      <c r="G15" s="280">
        <v>0.26019999999999999</v>
      </c>
      <c r="H15" s="4"/>
      <c r="I15" s="35"/>
      <c r="J15" s="280">
        <v>5.2400000000000002E-2</v>
      </c>
      <c r="K15" s="4"/>
      <c r="L15" s="2">
        <f>G15+H15-J15-K15</f>
        <v>0.20779999999999998</v>
      </c>
      <c r="M15" s="25">
        <f>NormStandard!O15*L15</f>
        <v>0.13606409312207923</v>
      </c>
      <c r="O15" s="29" t="s">
        <v>34</v>
      </c>
      <c r="P15" s="30"/>
      <c r="Q15" s="11"/>
      <c r="R15" s="29" t="s">
        <v>34</v>
      </c>
      <c r="S15" s="30"/>
      <c r="U15" s="234">
        <f>NormStandard!O15*J15/(NormStandard!O25*J25)</f>
        <v>1.3860047278777927</v>
      </c>
      <c r="W15" s="67"/>
    </row>
    <row r="16" spans="2:24">
      <c r="B16" s="1"/>
      <c r="C16" s="5">
        <v>2</v>
      </c>
      <c r="D16" s="1">
        <v>28</v>
      </c>
      <c r="E16" s="1"/>
      <c r="F16" s="2" t="s">
        <v>2</v>
      </c>
      <c r="G16" s="280">
        <v>8.5000000000000006E-2</v>
      </c>
      <c r="H16" s="4"/>
      <c r="I16" s="35"/>
      <c r="J16" s="280">
        <v>2.4400000000000002E-2</v>
      </c>
      <c r="K16" s="4"/>
      <c r="L16" s="2">
        <f>G16+H16-J16-K16</f>
        <v>6.0600000000000001E-2</v>
      </c>
      <c r="M16" s="25">
        <f>NormStandard!O16*L16</f>
        <v>6.4453609174415061E-2</v>
      </c>
      <c r="O16" s="19" t="s">
        <v>26</v>
      </c>
      <c r="P16" s="204">
        <v>51.756729999999997</v>
      </c>
      <c r="R16" s="19" t="s">
        <v>26</v>
      </c>
      <c r="S16" s="204">
        <v>13.064679999999999</v>
      </c>
      <c r="U16" s="2">
        <f>NormStandard!O16*J16/(NormStandard!O25*J25)</f>
        <v>1.048334504059047</v>
      </c>
    </row>
    <row r="17" spans="2:21">
      <c r="B17" s="1"/>
      <c r="C17" s="5">
        <v>3</v>
      </c>
      <c r="D17" s="1">
        <v>32</v>
      </c>
      <c r="E17" s="1"/>
      <c r="F17" s="2" t="s">
        <v>2</v>
      </c>
      <c r="G17" s="280">
        <v>9.7670000000000007E-2</v>
      </c>
      <c r="H17" s="4"/>
      <c r="I17" s="35"/>
      <c r="J17" s="280">
        <v>2.8500000000000001E-2</v>
      </c>
      <c r="K17" s="4"/>
      <c r="L17" s="2">
        <f>G17+H17-J17-K17</f>
        <v>6.9170000000000009E-2</v>
      </c>
      <c r="M17" s="25">
        <f>NormStandard!O17*L17</f>
        <v>5.8775787227165623E-2</v>
      </c>
      <c r="O17" s="19" t="s">
        <v>27</v>
      </c>
      <c r="P17" s="204">
        <v>78.84272</v>
      </c>
      <c r="R17" s="19" t="s">
        <v>27</v>
      </c>
      <c r="S17" s="204">
        <v>20.952549999999999</v>
      </c>
      <c r="U17" s="2">
        <f>NormStandard!O17*J17/(NormStandard!O25*J25)</f>
        <v>0.97827504585953595</v>
      </c>
    </row>
    <row r="18" spans="2:21">
      <c r="B18" s="1"/>
      <c r="C18" s="5">
        <v>4</v>
      </c>
      <c r="D18" s="1">
        <v>38</v>
      </c>
      <c r="E18" s="1"/>
      <c r="F18" s="31" t="s">
        <v>52</v>
      </c>
      <c r="G18" s="32" t="s">
        <v>53</v>
      </c>
      <c r="H18" s="4"/>
      <c r="I18" s="35"/>
      <c r="J18" s="32" t="s">
        <v>53</v>
      </c>
      <c r="K18" s="4"/>
      <c r="L18" s="32" t="s">
        <v>53</v>
      </c>
      <c r="M18" s="32" t="str">
        <f>NormStandard!O18</f>
        <v>---</v>
      </c>
      <c r="N18" s="132"/>
      <c r="O18" s="19" t="s">
        <v>28</v>
      </c>
      <c r="P18" s="204">
        <v>69.559030000000007</v>
      </c>
      <c r="Q18" s="132"/>
      <c r="R18" s="19" t="s">
        <v>28</v>
      </c>
      <c r="S18" s="204">
        <v>16.207039999999999</v>
      </c>
      <c r="T18" s="132"/>
      <c r="U18" s="32" t="s">
        <v>53</v>
      </c>
    </row>
    <row r="19" spans="2:21">
      <c r="B19" s="1"/>
      <c r="C19" s="5">
        <v>5</v>
      </c>
      <c r="D19" s="1">
        <v>44</v>
      </c>
      <c r="E19" s="1"/>
      <c r="F19" s="3" t="s">
        <v>1</v>
      </c>
      <c r="G19" s="4"/>
      <c r="H19" s="3">
        <f>P16</f>
        <v>51.756729999999997</v>
      </c>
      <c r="I19" s="35"/>
      <c r="J19" s="4"/>
      <c r="K19" s="3">
        <f>S16</f>
        <v>13.064679999999999</v>
      </c>
      <c r="L19" s="3">
        <f t="shared" ref="L19:L26" si="0">G19+H19-J19-K19</f>
        <v>38.692049999999995</v>
      </c>
      <c r="M19" s="64">
        <f>NormStandard!O19*L19</f>
        <v>5.794360892318115E-2</v>
      </c>
      <c r="O19" s="19" t="s">
        <v>29</v>
      </c>
      <c r="P19" s="204">
        <v>92.743520000000004</v>
      </c>
      <c r="R19" s="19" t="s">
        <v>29</v>
      </c>
      <c r="S19" s="204">
        <v>31.105070000000001</v>
      </c>
      <c r="U19" s="3">
        <f>NormStandard!O19*K19/(NormStandard!O25*J25)</f>
        <v>0.79034737293947466</v>
      </c>
    </row>
    <row r="20" spans="2:21">
      <c r="B20" s="1"/>
      <c r="C20" s="5">
        <v>6</v>
      </c>
      <c r="D20" s="1">
        <v>50</v>
      </c>
      <c r="E20" s="1"/>
      <c r="F20" s="3" t="s">
        <v>1</v>
      </c>
      <c r="G20" s="4"/>
      <c r="H20" s="3">
        <f>P17</f>
        <v>78.84272</v>
      </c>
      <c r="I20" s="35"/>
      <c r="J20" s="4"/>
      <c r="K20" s="3">
        <f>S17</f>
        <v>20.952549999999999</v>
      </c>
      <c r="L20" s="3">
        <f t="shared" si="0"/>
        <v>57.890169999999998</v>
      </c>
      <c r="M20" s="64">
        <f>NormStandard!O20*L20</f>
        <v>4.4209107602788129E-2</v>
      </c>
      <c r="O20" s="19" t="s">
        <v>30</v>
      </c>
      <c r="P20" s="204">
        <v>16.760829999999999</v>
      </c>
      <c r="R20" s="19" t="s">
        <v>30</v>
      </c>
      <c r="S20" s="204">
        <v>4.7908999999999997</v>
      </c>
      <c r="U20" s="3">
        <f>NormStandard!O20*K20/(NormStandard!O25*J25)</f>
        <v>0.64636710439755662</v>
      </c>
    </row>
    <row r="21" spans="2:21">
      <c r="B21" s="1"/>
      <c r="C21" s="5">
        <v>7</v>
      </c>
      <c r="D21" s="1">
        <v>57</v>
      </c>
      <c r="E21" s="1"/>
      <c r="F21" s="2" t="s">
        <v>2</v>
      </c>
      <c r="G21" s="280">
        <v>0.13200000000000001</v>
      </c>
      <c r="H21" s="4"/>
      <c r="I21" s="35"/>
      <c r="J21" s="280">
        <v>4.48E-2</v>
      </c>
      <c r="K21" s="4"/>
      <c r="L21" s="2">
        <f t="shared" si="0"/>
        <v>8.72E-2</v>
      </c>
      <c r="M21" s="25">
        <f>NormStandard!O21*L21</f>
        <v>5.4654238930112668E-2</v>
      </c>
      <c r="O21" s="19" t="s">
        <v>31</v>
      </c>
      <c r="P21" s="204">
        <v>31.407129999999999</v>
      </c>
      <c r="R21" s="19" t="s">
        <v>31</v>
      </c>
      <c r="S21" s="204">
        <v>7.7860899999999997</v>
      </c>
      <c r="U21" s="2">
        <f>NormStandard!O21*J21/(NormStandard!O25*J25)</f>
        <v>1.1342814159841126</v>
      </c>
    </row>
    <row r="22" spans="2:21">
      <c r="B22" s="1"/>
      <c r="C22" s="5">
        <v>8</v>
      </c>
      <c r="D22" s="1">
        <v>64</v>
      </c>
      <c r="E22" s="1"/>
      <c r="F22" s="3" t="s">
        <v>1</v>
      </c>
      <c r="G22" s="4"/>
      <c r="H22" s="3">
        <f>P18</f>
        <v>69.559030000000007</v>
      </c>
      <c r="I22" s="35"/>
      <c r="J22" s="4"/>
      <c r="K22" s="3">
        <f>S18</f>
        <v>16.207039999999999</v>
      </c>
      <c r="L22" s="3">
        <f t="shared" si="0"/>
        <v>53.351990000000008</v>
      </c>
      <c r="M22" s="64">
        <f>NormStandard!O22*L22</f>
        <v>6.7373861113836697E-2</v>
      </c>
      <c r="O22" s="19" t="s">
        <v>32</v>
      </c>
      <c r="P22" s="204">
        <v>44.614530000000002</v>
      </c>
      <c r="R22" s="19" t="s">
        <v>32</v>
      </c>
      <c r="S22" s="204">
        <v>11.23428</v>
      </c>
      <c r="U22" s="3">
        <f>NormStandard!O22*K22/(NormStandard!O25*J25)</f>
        <v>0.8267609478558543</v>
      </c>
    </row>
    <row r="23" spans="2:21" ht="14.65" thickBot="1">
      <c r="B23" s="1"/>
      <c r="C23" s="5">
        <v>9</v>
      </c>
      <c r="D23" s="1">
        <v>72</v>
      </c>
      <c r="E23" s="1"/>
      <c r="F23" s="2" t="s">
        <v>2</v>
      </c>
      <c r="G23" s="280">
        <v>0.11700000000000001</v>
      </c>
      <c r="H23" s="4"/>
      <c r="I23" s="35"/>
      <c r="J23" s="280">
        <v>3.4799999999999998E-2</v>
      </c>
      <c r="K23" s="4"/>
      <c r="L23" s="2">
        <f t="shared" si="0"/>
        <v>8.2200000000000009E-2</v>
      </c>
      <c r="M23" s="25">
        <f>NormStandard!O23*L23</f>
        <v>5.995467810168837E-2</v>
      </c>
      <c r="O23" s="21" t="s">
        <v>33</v>
      </c>
      <c r="P23" s="205">
        <v>48.080800000000004</v>
      </c>
      <c r="R23" s="21" t="s">
        <v>33</v>
      </c>
      <c r="S23" s="205">
        <v>12.053459999999999</v>
      </c>
      <c r="U23" s="2">
        <f>NormStandard!O23*J23/(NormStandard!O25*J25)</f>
        <v>1.0253353687761775</v>
      </c>
    </row>
    <row r="24" spans="2:21">
      <c r="B24" s="1"/>
      <c r="C24" s="5">
        <v>10</v>
      </c>
      <c r="D24" s="1">
        <v>81</v>
      </c>
      <c r="E24" s="1"/>
      <c r="F24" s="3" t="s">
        <v>1</v>
      </c>
      <c r="G24" s="4"/>
      <c r="H24" s="3">
        <f>P19</f>
        <v>92.743520000000004</v>
      </c>
      <c r="I24" s="35"/>
      <c r="J24" s="4"/>
      <c r="K24" s="3">
        <f>S19</f>
        <v>31.105070000000001</v>
      </c>
      <c r="L24" s="3">
        <f t="shared" si="0"/>
        <v>61.638450000000006</v>
      </c>
      <c r="M24" s="64">
        <f>NormStandard!O24*L24</f>
        <v>7.38232782874884E-2</v>
      </c>
      <c r="U24" s="3">
        <f>NormStandard!O24*K24/(NormStandard!O25*J25)</f>
        <v>1.5049020630368126</v>
      </c>
    </row>
    <row r="25" spans="2:21">
      <c r="B25" s="1"/>
      <c r="C25" s="5">
        <v>11</v>
      </c>
      <c r="D25" s="1">
        <v>90</v>
      </c>
      <c r="E25" s="1"/>
      <c r="F25" s="2" t="s">
        <v>2</v>
      </c>
      <c r="G25" s="280">
        <v>0.104</v>
      </c>
      <c r="H25" s="4"/>
      <c r="I25" s="35"/>
      <c r="J25" s="280">
        <v>2.98E-2</v>
      </c>
      <c r="K25" s="4"/>
      <c r="L25" s="2">
        <f t="shared" si="0"/>
        <v>7.4199999999999988E-2</v>
      </c>
      <c r="M25" s="25">
        <f>NormStandard!O25*L25</f>
        <v>6.1638520326204309E-2</v>
      </c>
      <c r="U25" s="2">
        <f>NormStandard!O25*J25/(NormStandard!O25*J25)</f>
        <v>1</v>
      </c>
    </row>
    <row r="26" spans="2:21">
      <c r="B26" s="1"/>
      <c r="C26" s="5">
        <v>12</v>
      </c>
      <c r="D26" s="1">
        <v>99</v>
      </c>
      <c r="E26" s="1"/>
      <c r="F26" s="3" t="s">
        <v>1</v>
      </c>
      <c r="G26" s="4"/>
      <c r="H26" s="3">
        <f>P20</f>
        <v>16.760829999999999</v>
      </c>
      <c r="I26" s="35"/>
      <c r="J26" s="4"/>
      <c r="K26" s="3">
        <f>S20</f>
        <v>4.7908999999999997</v>
      </c>
      <c r="L26" s="3">
        <f t="shared" si="0"/>
        <v>11.969929999999998</v>
      </c>
      <c r="M26" s="64">
        <f>NormStandard!O26*L26</f>
        <v>6.7926307707544542E-2</v>
      </c>
      <c r="U26" s="3">
        <f>NormStandard!O26*K26/(NormStandard!O25*J25)</f>
        <v>1.0982442547222913</v>
      </c>
    </row>
    <row r="27" spans="2:21">
      <c r="B27" s="1"/>
      <c r="C27" s="5">
        <v>13</v>
      </c>
      <c r="D27" s="1">
        <v>108</v>
      </c>
      <c r="E27" s="1"/>
      <c r="F27" s="31" t="s">
        <v>52</v>
      </c>
      <c r="G27" s="32"/>
      <c r="H27" s="4"/>
      <c r="I27" s="35"/>
      <c r="J27" s="32" t="s">
        <v>53</v>
      </c>
      <c r="K27" s="32" t="s">
        <v>53</v>
      </c>
      <c r="L27" s="32" t="s">
        <v>53</v>
      </c>
      <c r="M27" s="32" t="str">
        <f>NormStandard!O27</f>
        <v>---</v>
      </c>
      <c r="N27" s="132"/>
      <c r="O27" s="132"/>
      <c r="P27" s="132"/>
      <c r="Q27" s="132"/>
      <c r="R27" s="132"/>
      <c r="S27" s="132"/>
      <c r="T27" s="132"/>
      <c r="U27" s="32" t="s">
        <v>53</v>
      </c>
    </row>
    <row r="28" spans="2:21">
      <c r="B28" s="1"/>
      <c r="C28" s="5">
        <v>14</v>
      </c>
      <c r="D28" s="1">
        <v>117</v>
      </c>
      <c r="E28" s="1"/>
      <c r="F28" s="3" t="s">
        <v>1</v>
      </c>
      <c r="G28" s="4"/>
      <c r="H28" s="3">
        <f>P21</f>
        <v>31.407129999999999</v>
      </c>
      <c r="I28" s="35"/>
      <c r="J28" s="4"/>
      <c r="K28" s="3">
        <f>S21</f>
        <v>7.7860899999999997</v>
      </c>
      <c r="L28" s="3">
        <f>G28+H28-J28-K28</f>
        <v>23.621040000000001</v>
      </c>
      <c r="M28" s="64">
        <f>NormStandard!O28*L28</f>
        <v>6.6169721423477518E-2</v>
      </c>
      <c r="U28" s="3">
        <f>NormStandard!O28*K28/(NormStandard!O25*J25)</f>
        <v>0.88107960254981155</v>
      </c>
    </row>
    <row r="29" spans="2:21">
      <c r="B29" s="1"/>
      <c r="C29" s="5">
        <v>15</v>
      </c>
      <c r="D29" s="1">
        <v>126</v>
      </c>
      <c r="E29" s="1"/>
      <c r="F29" s="2" t="s">
        <v>2</v>
      </c>
      <c r="G29" s="280">
        <v>0.13300000000000001</v>
      </c>
      <c r="H29" s="4"/>
      <c r="I29" s="35"/>
      <c r="J29" s="280">
        <v>4.1000000000000002E-2</v>
      </c>
      <c r="K29" s="4"/>
      <c r="L29" s="2">
        <f>G29+H29-J29-K29</f>
        <v>9.1999999999999998E-2</v>
      </c>
      <c r="M29" s="25">
        <f>NormStandard!O29*L29</f>
        <v>6.0053557096976032E-2</v>
      </c>
      <c r="U29" s="2">
        <f>NormStandard!O29*J29/(NormStandard!O25*J25)</f>
        <v>1.0811107919031426</v>
      </c>
    </row>
    <row r="30" spans="2:21">
      <c r="B30" s="1"/>
      <c r="C30" s="5">
        <v>16</v>
      </c>
      <c r="D30" s="1">
        <v>134</v>
      </c>
      <c r="E30" s="1"/>
      <c r="F30" s="3" t="s">
        <v>1</v>
      </c>
      <c r="G30" s="4"/>
      <c r="H30" s="3">
        <f>P22</f>
        <v>44.614530000000002</v>
      </c>
      <c r="I30" s="35"/>
      <c r="J30" s="4"/>
      <c r="K30" s="3">
        <f>S22</f>
        <v>11.23428</v>
      </c>
      <c r="L30" s="3">
        <f>G30+H30-J30-K30</f>
        <v>33.380250000000004</v>
      </c>
      <c r="M30" s="64">
        <f>NormStandard!O30*L30</f>
        <v>6.431650711541656E-2</v>
      </c>
      <c r="U30" s="3">
        <f>NormStandard!O30*K30/(NormStandard!O25*J25)</f>
        <v>0.8744068402161369</v>
      </c>
    </row>
    <row r="31" spans="2:21">
      <c r="B31" s="1"/>
      <c r="C31" s="5">
        <v>17</v>
      </c>
      <c r="D31" s="1">
        <v>141</v>
      </c>
      <c r="E31" s="1"/>
      <c r="F31" s="2" t="s">
        <v>2</v>
      </c>
      <c r="G31" s="280">
        <v>7.5999999999999998E-2</v>
      </c>
      <c r="H31" s="4"/>
      <c r="I31" s="35"/>
      <c r="J31" s="280">
        <v>2.0199999999999999E-2</v>
      </c>
      <c r="K31" s="4"/>
      <c r="L31" s="2">
        <f>G31+H31-J31-K31</f>
        <v>5.5800000000000002E-2</v>
      </c>
      <c r="M31" s="25">
        <f>NormStandard!O31*L31</f>
        <v>6.5104752875167246E-2</v>
      </c>
      <c r="U31" s="2">
        <f>NormStandard!O31*J31/(NormStandard!O25*J25)</f>
        <v>0.95206215447632292</v>
      </c>
    </row>
    <row r="32" spans="2:21">
      <c r="B32" s="1"/>
      <c r="C32" s="5">
        <v>18</v>
      </c>
      <c r="D32" s="1">
        <v>147</v>
      </c>
      <c r="E32" s="1"/>
      <c r="F32" s="3" t="s">
        <v>1</v>
      </c>
      <c r="G32" s="4"/>
      <c r="H32" s="3">
        <f>P23</f>
        <v>48.080800000000004</v>
      </c>
      <c r="I32" s="35"/>
      <c r="J32" s="4"/>
      <c r="K32" s="3">
        <f>S23</f>
        <v>12.053459999999999</v>
      </c>
      <c r="L32" s="3">
        <f>G32+H32-J32-K32</f>
        <v>36.027340000000002</v>
      </c>
      <c r="M32" s="64">
        <f>NormStandard!O32*L32</f>
        <v>5.9895096834268864E-2</v>
      </c>
      <c r="U32" s="3">
        <f>NormStandard!O32*K32/(NormStandard!O25*J25)</f>
        <v>0.80948021958367133</v>
      </c>
    </row>
    <row r="33" spans="21:34">
      <c r="U33" s="279"/>
    </row>
    <row r="34" spans="21:34">
      <c r="U34" s="279"/>
    </row>
    <row r="35" spans="21:34">
      <c r="U35" s="279"/>
    </row>
    <row r="37" spans="21:34">
      <c r="V37" t="s">
        <v>360</v>
      </c>
      <c r="W37" t="s">
        <v>386</v>
      </c>
      <c r="X37" s="279">
        <f>AVERAGE(U15:U17,U19:U26,U28:U32)</f>
        <v>1.0023120258898588</v>
      </c>
      <c r="AB37" s="2" t="s">
        <v>360</v>
      </c>
      <c r="AC37" s="2" t="s">
        <v>83</v>
      </c>
      <c r="AD37" s="286">
        <f>AVERAGE(U15:U17,U21,U23,U25,U29,U31)</f>
        <v>1.0756755011170165</v>
      </c>
      <c r="AF37" s="3" t="s">
        <v>360</v>
      </c>
      <c r="AG37" s="3" t="s">
        <v>1</v>
      </c>
      <c r="AH37" s="287">
        <f>AVERAGE(U19:U20,U22,U24,U26,U28,U30,U32)</f>
        <v>0.9289485506627011</v>
      </c>
    </row>
    <row r="38" spans="21:34">
      <c r="V38" t="s">
        <v>361</v>
      </c>
      <c r="X38" s="279">
        <f>STDEV(U15:U17,U19:U26,U28:U32)</f>
        <v>0.21742223621150014</v>
      </c>
      <c r="AB38" s="2" t="s">
        <v>361</v>
      </c>
      <c r="AC38" s="2"/>
      <c r="AD38" s="286">
        <f>STDEV(U15:U17,U21,U23,U25,U29,U31)</f>
        <v>0.13812208538147064</v>
      </c>
      <c r="AF38" s="3" t="s">
        <v>361</v>
      </c>
      <c r="AG38" s="3"/>
      <c r="AH38" s="287">
        <f>STDEV(U19:U20,U22,U24,U26,U28,U30,U32)</f>
        <v>0.264420462450773</v>
      </c>
    </row>
    <row r="39" spans="21:34">
      <c r="V39" t="s">
        <v>362</v>
      </c>
      <c r="X39" s="285">
        <f>100*X38/X37</f>
        <v>21.69207099141321</v>
      </c>
      <c r="AB39" s="2" t="s">
        <v>362</v>
      </c>
      <c r="AC39" s="2"/>
      <c r="AD39" s="288">
        <f>100*AD38/AD37</f>
        <v>12.840497458391511</v>
      </c>
      <c r="AF39" s="3" t="s">
        <v>362</v>
      </c>
      <c r="AG39" s="3"/>
      <c r="AH39" s="289">
        <f>100*AH38/AH37</f>
        <v>28.464489477069371</v>
      </c>
    </row>
  </sheetData>
  <mergeCells count="1">
    <mergeCell ref="M12:M13"/>
  </mergeCells>
  <phoneticPr fontId="11" type="noConversion"/>
  <pageMargins left="0.7" right="0.7" top="0.75" bottom="0.75" header="0.3" footer="0.3"/>
  <pageSetup orientation="portrait" horizontalDpi="4294967293" verticalDpi="4294967293"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4A769B-E8D0-4B12-BC4F-B4796A537870}">
  <dimension ref="B1:S32"/>
  <sheetViews>
    <sheetView zoomScale="60" zoomScaleNormal="60" workbookViewId="0">
      <selection activeCell="X20" sqref="X20"/>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357</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80">
        <v>0.23400000000000001</v>
      </c>
      <c r="H15" s="4"/>
      <c r="I15" s="35"/>
      <c r="J15" s="201">
        <f>Conc1!J15</f>
        <v>5.2400000000000002E-2</v>
      </c>
      <c r="K15" s="4"/>
      <c r="L15" s="2">
        <f>G15+H15-J15-K15</f>
        <v>0.18160000000000001</v>
      </c>
      <c r="M15" s="25">
        <f>NormStandard!O15*L15</f>
        <v>0.1189087551057247</v>
      </c>
      <c r="O15" s="29" t="s">
        <v>34</v>
      </c>
      <c r="P15" s="30"/>
      <c r="Q15" s="11"/>
      <c r="R15" s="189"/>
      <c r="S15" s="190"/>
    </row>
    <row r="16" spans="2:19">
      <c r="B16" s="1"/>
      <c r="C16" s="5">
        <v>2</v>
      </c>
      <c r="D16" s="1">
        <v>28</v>
      </c>
      <c r="E16" s="1"/>
      <c r="F16" s="2" t="s">
        <v>2</v>
      </c>
      <c r="G16" s="280">
        <v>0.1187</v>
      </c>
      <c r="H16" s="4"/>
      <c r="I16" s="35"/>
      <c r="J16" s="201">
        <f>Conc1!J16</f>
        <v>2.4400000000000002E-2</v>
      </c>
      <c r="K16" s="4"/>
      <c r="L16" s="2">
        <f>G16+H16-J16-K16</f>
        <v>9.4299999999999995E-2</v>
      </c>
      <c r="M16" s="25">
        <f>NormStandard!O16*L16</f>
        <v>0.10029662285721683</v>
      </c>
      <c r="O16" s="19" t="s">
        <v>26</v>
      </c>
      <c r="P16" s="204">
        <v>63.876939999999998</v>
      </c>
      <c r="R16" s="19" t="s">
        <v>26</v>
      </c>
      <c r="S16" s="202">
        <f>Conc1!S16</f>
        <v>13.064679999999999</v>
      </c>
    </row>
    <row r="17" spans="2:19">
      <c r="B17" s="1"/>
      <c r="C17" s="5">
        <v>3</v>
      </c>
      <c r="D17" s="1">
        <v>32</v>
      </c>
      <c r="E17" s="1"/>
      <c r="F17" s="2" t="s">
        <v>2</v>
      </c>
      <c r="G17" s="280">
        <v>0.128</v>
      </c>
      <c r="H17" s="4"/>
      <c r="I17" s="35"/>
      <c r="J17" s="201">
        <f>Conc1!J17</f>
        <v>2.8500000000000001E-2</v>
      </c>
      <c r="K17" s="4"/>
      <c r="L17" s="2">
        <f>G17+H17-J17-K17</f>
        <v>9.9500000000000005E-2</v>
      </c>
      <c r="M17" s="25">
        <f>NormStandard!O17*L17</f>
        <v>8.4548081958984805E-2</v>
      </c>
      <c r="O17" s="19" t="s">
        <v>27</v>
      </c>
      <c r="P17" s="204">
        <v>96.400360000000006</v>
      </c>
      <c r="R17" s="19" t="s">
        <v>27</v>
      </c>
      <c r="S17" s="202">
        <f>Conc1!S17</f>
        <v>20.952549999999999</v>
      </c>
    </row>
    <row r="18" spans="2:19">
      <c r="B18" s="1"/>
      <c r="C18" s="5">
        <v>4</v>
      </c>
      <c r="D18" s="1">
        <v>38</v>
      </c>
      <c r="E18" s="1"/>
      <c r="F18" s="31" t="s">
        <v>52</v>
      </c>
      <c r="G18" s="32"/>
      <c r="H18" s="4"/>
      <c r="I18" s="35"/>
      <c r="J18" s="32" t="s">
        <v>53</v>
      </c>
      <c r="K18" s="4"/>
      <c r="L18" s="32" t="s">
        <v>53</v>
      </c>
      <c r="M18" s="32" t="str">
        <f>NormStandard!O18</f>
        <v>---</v>
      </c>
      <c r="O18" s="19" t="s">
        <v>28</v>
      </c>
      <c r="P18" s="204">
        <v>90.979380000000006</v>
      </c>
      <c r="R18" s="19" t="s">
        <v>28</v>
      </c>
      <c r="S18" s="202">
        <f>Conc1!S18</f>
        <v>16.207039999999999</v>
      </c>
    </row>
    <row r="19" spans="2:19">
      <c r="B19" s="1"/>
      <c r="C19" s="5">
        <v>5</v>
      </c>
      <c r="D19" s="1">
        <v>44</v>
      </c>
      <c r="E19" s="1"/>
      <c r="F19" s="3" t="s">
        <v>1</v>
      </c>
      <c r="G19" s="4"/>
      <c r="H19" s="3">
        <f>P16</f>
        <v>63.876939999999998</v>
      </c>
      <c r="I19" s="35"/>
      <c r="J19" s="4"/>
      <c r="K19" s="3">
        <f>S16</f>
        <v>13.064679999999999</v>
      </c>
      <c r="L19" s="3">
        <f t="shared" ref="L19:L26" si="0">G19+H19-J19-K19</f>
        <v>50.812259999999995</v>
      </c>
      <c r="M19" s="64">
        <f>NormStandard!O19*L19</f>
        <v>7.6094332606905055E-2</v>
      </c>
      <c r="O19" s="19" t="s">
        <v>29</v>
      </c>
      <c r="P19" s="204">
        <v>107.48484999999999</v>
      </c>
      <c r="R19" s="19" t="s">
        <v>29</v>
      </c>
      <c r="S19" s="202">
        <f>Conc1!S19</f>
        <v>31.105070000000001</v>
      </c>
    </row>
    <row r="20" spans="2:19">
      <c r="B20" s="1"/>
      <c r="C20" s="5">
        <v>6</v>
      </c>
      <c r="D20" s="1">
        <v>50</v>
      </c>
      <c r="E20" s="1"/>
      <c r="F20" s="3" t="s">
        <v>1</v>
      </c>
      <c r="G20" s="4"/>
      <c r="H20" s="3">
        <f>P17</f>
        <v>96.400360000000006</v>
      </c>
      <c r="I20" s="35"/>
      <c r="J20" s="4"/>
      <c r="K20" s="3">
        <f>S17</f>
        <v>20.952549999999999</v>
      </c>
      <c r="L20" s="3">
        <f t="shared" si="0"/>
        <v>75.447810000000004</v>
      </c>
      <c r="M20" s="64">
        <f>NormStandard!O20*L20</f>
        <v>5.7617387385193626E-2</v>
      </c>
      <c r="O20" s="19" t="s">
        <v>30</v>
      </c>
      <c r="P20" s="204">
        <v>19.856490000000001</v>
      </c>
      <c r="R20" s="19" t="s">
        <v>30</v>
      </c>
      <c r="S20" s="202">
        <f>Conc1!S20</f>
        <v>4.7908999999999997</v>
      </c>
    </row>
    <row r="21" spans="2:19">
      <c r="B21" s="1"/>
      <c r="C21" s="5">
        <v>7</v>
      </c>
      <c r="D21" s="1">
        <v>57</v>
      </c>
      <c r="E21" s="1"/>
      <c r="F21" s="2" t="s">
        <v>2</v>
      </c>
      <c r="G21" s="280">
        <v>0.16900000000000001</v>
      </c>
      <c r="H21" s="4"/>
      <c r="I21" s="35"/>
      <c r="J21" s="201">
        <f>Conc1!J21</f>
        <v>4.48E-2</v>
      </c>
      <c r="K21" s="4"/>
      <c r="L21" s="2">
        <f t="shared" si="0"/>
        <v>0.1242</v>
      </c>
      <c r="M21" s="25">
        <f>NormStandard!O21*L21</f>
        <v>7.7844684347706347E-2</v>
      </c>
      <c r="O21" s="19" t="s">
        <v>31</v>
      </c>
      <c r="P21" s="204">
        <v>39.796340000000001</v>
      </c>
      <c r="R21" s="19" t="s">
        <v>31</v>
      </c>
      <c r="S21" s="202">
        <f>Conc1!S21</f>
        <v>7.7860899999999997</v>
      </c>
    </row>
    <row r="22" spans="2:19">
      <c r="B22" s="1"/>
      <c r="C22" s="5">
        <v>8</v>
      </c>
      <c r="D22" s="1">
        <v>64</v>
      </c>
      <c r="E22" s="1"/>
      <c r="F22" s="3" t="s">
        <v>1</v>
      </c>
      <c r="G22" s="4"/>
      <c r="H22" s="3">
        <f>P18</f>
        <v>90.979380000000006</v>
      </c>
      <c r="I22" s="35"/>
      <c r="J22" s="4"/>
      <c r="K22" s="3">
        <f>S18</f>
        <v>16.207039999999999</v>
      </c>
      <c r="L22" s="3">
        <f t="shared" si="0"/>
        <v>74.772340000000014</v>
      </c>
      <c r="M22" s="64">
        <f>NormStandard!O22*L22</f>
        <v>9.4423867794183047E-2</v>
      </c>
      <c r="O22" s="19" t="s">
        <v>32</v>
      </c>
      <c r="P22" s="204">
        <v>56.150370000000002</v>
      </c>
      <c r="R22" s="19" t="s">
        <v>32</v>
      </c>
      <c r="S22" s="202">
        <f>Conc1!S22</f>
        <v>11.23428</v>
      </c>
    </row>
    <row r="23" spans="2:19" ht="14.65" thickBot="1">
      <c r="B23" s="1"/>
      <c r="C23" s="5">
        <v>9</v>
      </c>
      <c r="D23" s="1">
        <v>72</v>
      </c>
      <c r="E23" s="1"/>
      <c r="F23" s="2" t="s">
        <v>2</v>
      </c>
      <c r="G23" s="280">
        <v>0.15</v>
      </c>
      <c r="H23" s="4"/>
      <c r="I23" s="35"/>
      <c r="J23" s="201">
        <f>Conc1!J23</f>
        <v>3.4799999999999998E-2</v>
      </c>
      <c r="K23" s="4"/>
      <c r="L23" s="2">
        <f t="shared" si="0"/>
        <v>0.1152</v>
      </c>
      <c r="M23" s="25">
        <f>NormStandard!O23*L23</f>
        <v>8.4024074419884423E-2</v>
      </c>
      <c r="O23" s="21" t="s">
        <v>33</v>
      </c>
      <c r="P23" s="205">
        <v>63.084409999999998</v>
      </c>
      <c r="R23" s="21" t="s">
        <v>33</v>
      </c>
      <c r="S23" s="203">
        <f>Conc1!S23</f>
        <v>12.053459999999999</v>
      </c>
    </row>
    <row r="24" spans="2:19">
      <c r="B24" s="1"/>
      <c r="C24" s="5">
        <v>10</v>
      </c>
      <c r="D24" s="1">
        <v>81</v>
      </c>
      <c r="E24" s="1"/>
      <c r="F24" s="3" t="s">
        <v>1</v>
      </c>
      <c r="G24" s="4"/>
      <c r="H24" s="3">
        <f>P19</f>
        <v>107.48484999999999</v>
      </c>
      <c r="I24" s="35"/>
      <c r="J24" s="4"/>
      <c r="K24" s="3">
        <f>S19</f>
        <v>31.105070000000001</v>
      </c>
      <c r="L24" s="3">
        <f t="shared" si="0"/>
        <v>76.379779999999997</v>
      </c>
      <c r="M24" s="64">
        <f>NormStandard!O24*L24</f>
        <v>9.1478707762397332E-2</v>
      </c>
    </row>
    <row r="25" spans="2:19">
      <c r="B25" s="1"/>
      <c r="C25" s="5">
        <v>11</v>
      </c>
      <c r="D25" s="1">
        <v>90</v>
      </c>
      <c r="E25" s="1"/>
      <c r="F25" s="2" t="s">
        <v>2</v>
      </c>
      <c r="G25" s="280">
        <v>0.13400000000000001</v>
      </c>
      <c r="H25" s="4"/>
      <c r="I25" s="35"/>
      <c r="J25" s="201">
        <f>Conc1!J25</f>
        <v>2.98E-2</v>
      </c>
      <c r="K25" s="4"/>
      <c r="L25" s="2">
        <f t="shared" si="0"/>
        <v>0.10420000000000001</v>
      </c>
      <c r="M25" s="25">
        <f>NormStandard!O25*L25</f>
        <v>8.6559754959440571E-2</v>
      </c>
    </row>
    <row r="26" spans="2:19">
      <c r="B26" s="1"/>
      <c r="C26" s="5">
        <v>12</v>
      </c>
      <c r="D26" s="1">
        <v>99</v>
      </c>
      <c r="E26" s="1"/>
      <c r="F26" s="3" t="s">
        <v>1</v>
      </c>
      <c r="G26" s="4"/>
      <c r="H26" s="3">
        <f>P20</f>
        <v>19.856490000000001</v>
      </c>
      <c r="I26" s="35"/>
      <c r="J26" s="4"/>
      <c r="K26" s="3">
        <f>S20</f>
        <v>4.7908999999999997</v>
      </c>
      <c r="L26" s="3">
        <f t="shared" si="0"/>
        <v>15.06559</v>
      </c>
      <c r="M26" s="64">
        <f>NormStandard!O26*L26</f>
        <v>8.5493390699503347E-2</v>
      </c>
    </row>
    <row r="27" spans="2:19">
      <c r="B27" s="1"/>
      <c r="C27" s="5">
        <v>13</v>
      </c>
      <c r="D27" s="1">
        <v>108</v>
      </c>
      <c r="E27" s="1"/>
      <c r="F27" s="31" t="s">
        <v>52</v>
      </c>
      <c r="G27" s="32"/>
      <c r="H27" s="4"/>
      <c r="I27" s="35"/>
      <c r="J27" s="32" t="s">
        <v>53</v>
      </c>
      <c r="K27" s="32" t="s">
        <v>53</v>
      </c>
      <c r="L27" s="32" t="s">
        <v>53</v>
      </c>
      <c r="M27" s="32" t="str">
        <f>NormStandard!O27</f>
        <v>---</v>
      </c>
    </row>
    <row r="28" spans="2:19">
      <c r="B28" s="1"/>
      <c r="C28" s="5">
        <v>14</v>
      </c>
      <c r="D28" s="1">
        <v>117</v>
      </c>
      <c r="E28" s="1"/>
      <c r="F28" s="3" t="s">
        <v>1</v>
      </c>
      <c r="G28" s="4"/>
      <c r="H28" s="3">
        <f>P21</f>
        <v>39.796340000000001</v>
      </c>
      <c r="I28" s="35"/>
      <c r="J28" s="4"/>
      <c r="K28" s="3">
        <f>S21</f>
        <v>7.7860899999999997</v>
      </c>
      <c r="L28" s="3">
        <f>G28+H28-J28-K28</f>
        <v>32.010249999999999</v>
      </c>
      <c r="M28" s="64">
        <f>NormStandard!O28*L28</f>
        <v>8.9670451648016819E-2</v>
      </c>
    </row>
    <row r="29" spans="2:19">
      <c r="B29" s="1"/>
      <c r="C29" s="5">
        <v>15</v>
      </c>
      <c r="D29" s="1">
        <v>126</v>
      </c>
      <c r="E29" s="1"/>
      <c r="F29" s="2" t="s">
        <v>2</v>
      </c>
      <c r="G29" s="280">
        <v>0.17399999999999999</v>
      </c>
      <c r="H29" s="4"/>
      <c r="I29" s="35"/>
      <c r="J29" s="201">
        <f>Conc1!J29</f>
        <v>4.1000000000000002E-2</v>
      </c>
      <c r="K29" s="4"/>
      <c r="L29" s="2">
        <f>G29+H29-J29-K29</f>
        <v>0.13299999999999998</v>
      </c>
      <c r="M29" s="25">
        <f>NormStandard!O29*L29</f>
        <v>8.6816555368454465E-2</v>
      </c>
    </row>
    <row r="30" spans="2:19">
      <c r="B30" s="1"/>
      <c r="C30" s="5">
        <v>16</v>
      </c>
      <c r="D30" s="1">
        <v>134</v>
      </c>
      <c r="E30" s="1"/>
      <c r="F30" s="3" t="s">
        <v>1</v>
      </c>
      <c r="G30" s="4"/>
      <c r="H30" s="3">
        <f>P22</f>
        <v>56.150370000000002</v>
      </c>
      <c r="I30" s="35"/>
      <c r="J30" s="4"/>
      <c r="K30" s="3">
        <f>S22</f>
        <v>11.23428</v>
      </c>
      <c r="L30" s="3">
        <f>G30+H30-J30-K30</f>
        <v>44.916090000000004</v>
      </c>
      <c r="M30" s="64">
        <f>NormStandard!O30*L30</f>
        <v>8.6543570586849736E-2</v>
      </c>
    </row>
    <row r="31" spans="2:19">
      <c r="B31" s="1"/>
      <c r="C31" s="5">
        <v>17</v>
      </c>
      <c r="D31" s="1">
        <v>141</v>
      </c>
      <c r="E31" s="1"/>
      <c r="F31" s="2" t="s">
        <v>2</v>
      </c>
      <c r="G31" s="280">
        <v>9.5000000000000001E-2</v>
      </c>
      <c r="H31" s="4"/>
      <c r="I31" s="35"/>
      <c r="J31" s="201">
        <f>Conc1!J31</f>
        <v>2.0199999999999999E-2</v>
      </c>
      <c r="K31" s="4"/>
      <c r="L31" s="2">
        <f>G31+H31-J31-K31</f>
        <v>7.4800000000000005E-2</v>
      </c>
      <c r="M31" s="25">
        <f>NormStandard!O31*L31</f>
        <v>8.7273037904346068E-2</v>
      </c>
    </row>
    <row r="32" spans="2:19">
      <c r="B32" s="1"/>
      <c r="C32" s="5">
        <v>18</v>
      </c>
      <c r="D32" s="1">
        <v>147</v>
      </c>
      <c r="E32" s="1"/>
      <c r="F32" s="3" t="s">
        <v>1</v>
      </c>
      <c r="G32" s="4"/>
      <c r="H32" s="3">
        <f>P23</f>
        <v>63.084409999999998</v>
      </c>
      <c r="I32" s="35"/>
      <c r="J32" s="4"/>
      <c r="K32" s="3">
        <f>S23</f>
        <v>12.053459999999999</v>
      </c>
      <c r="L32" s="3">
        <f>G32+H32-J32-K32</f>
        <v>51.030949999999997</v>
      </c>
      <c r="M32" s="64">
        <f>NormStandard!O32*L32</f>
        <v>8.4838450237922983E-2</v>
      </c>
    </row>
  </sheetData>
  <mergeCells count="1">
    <mergeCell ref="M12:M13"/>
  </mergeCells>
  <pageMargins left="0.7" right="0.7" top="0.75" bottom="0.75" header="0.3" footer="0.3"/>
  <pageSetup orientation="portrait" horizontalDpi="4294967293" verticalDpi="4294967293"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AA2FE2-7AAD-4C91-BDAA-33C221330A16}">
  <dimension ref="B1:S32"/>
  <sheetViews>
    <sheetView zoomScale="85" zoomScaleNormal="85" workbookViewId="0">
      <selection activeCell="A15" sqref="A15:A31"/>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357</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80">
        <v>0.1903</v>
      </c>
      <c r="H15" s="4"/>
      <c r="I15" s="35"/>
      <c r="J15" s="201">
        <f>Conc1!J15</f>
        <v>5.2400000000000002E-2</v>
      </c>
      <c r="K15" s="4"/>
      <c r="L15" s="2">
        <f>G15+H15-J15-K15</f>
        <v>0.13789999999999999</v>
      </c>
      <c r="M15" s="25">
        <f>NormStandard!O15*L15</f>
        <v>9.0294698948675298E-2</v>
      </c>
      <c r="O15" s="29" t="s">
        <v>34</v>
      </c>
      <c r="P15" s="30"/>
      <c r="Q15" s="11"/>
      <c r="R15" s="189"/>
      <c r="S15" s="190"/>
    </row>
    <row r="16" spans="2:19">
      <c r="B16" s="1"/>
      <c r="C16" s="5">
        <v>2</v>
      </c>
      <c r="D16" s="1">
        <v>28</v>
      </c>
      <c r="E16" s="1"/>
      <c r="F16" s="2" t="s">
        <v>2</v>
      </c>
      <c r="G16" s="280">
        <v>0.1047</v>
      </c>
      <c r="H16" s="4"/>
      <c r="I16" s="35"/>
      <c r="J16" s="201">
        <f>Conc1!J16</f>
        <v>2.4400000000000002E-2</v>
      </c>
      <c r="K16" s="4"/>
      <c r="L16" s="2">
        <f>G16+H16-J16-K16</f>
        <v>8.0299999999999996E-2</v>
      </c>
      <c r="M16" s="25">
        <f>NormStandard!O16*L16</f>
        <v>8.5406350110652299E-2</v>
      </c>
      <c r="O16" s="19" t="s">
        <v>26</v>
      </c>
      <c r="P16" s="204">
        <v>68.058480000000003</v>
      </c>
      <c r="R16" s="19" t="s">
        <v>26</v>
      </c>
      <c r="S16" s="202">
        <f>Conc1!S16</f>
        <v>13.064679999999999</v>
      </c>
    </row>
    <row r="17" spans="2:19">
      <c r="B17" s="1"/>
      <c r="C17" s="5">
        <v>3</v>
      </c>
      <c r="D17" s="1">
        <v>32</v>
      </c>
      <c r="E17" s="1"/>
      <c r="F17" s="2" t="s">
        <v>2</v>
      </c>
      <c r="G17" s="280">
        <v>0.13250000000000001</v>
      </c>
      <c r="H17" s="4"/>
      <c r="I17" s="35"/>
      <c r="J17" s="201">
        <f>Conc1!J17</f>
        <v>2.8500000000000001E-2</v>
      </c>
      <c r="K17" s="4"/>
      <c r="L17" s="2">
        <f>G17+H17-J17-K17</f>
        <v>0.10400000000000001</v>
      </c>
      <c r="M17" s="25">
        <f>NormStandard!O17*L17</f>
        <v>8.8371864560144925E-2</v>
      </c>
      <c r="O17" s="19" t="s">
        <v>27</v>
      </c>
      <c r="P17" s="204">
        <v>100.9387</v>
      </c>
      <c r="R17" s="19" t="s">
        <v>27</v>
      </c>
      <c r="S17" s="202">
        <f>Conc1!S17</f>
        <v>20.952549999999999</v>
      </c>
    </row>
    <row r="18" spans="2:19">
      <c r="B18" s="1"/>
      <c r="C18" s="5">
        <v>4</v>
      </c>
      <c r="D18" s="1">
        <v>38</v>
      </c>
      <c r="E18" s="1"/>
      <c r="F18" s="31" t="s">
        <v>52</v>
      </c>
      <c r="G18" s="32"/>
      <c r="H18" s="4"/>
      <c r="I18" s="35"/>
      <c r="J18" s="32" t="s">
        <v>53</v>
      </c>
      <c r="K18" s="4"/>
      <c r="L18" s="32" t="s">
        <v>53</v>
      </c>
      <c r="M18" s="32" t="str">
        <f>NormStandard!O18</f>
        <v>---</v>
      </c>
      <c r="O18" s="19" t="s">
        <v>28</v>
      </c>
      <c r="P18" s="204">
        <v>94.225489999999994</v>
      </c>
      <c r="R18" s="19" t="s">
        <v>28</v>
      </c>
      <c r="S18" s="202">
        <f>Conc1!S18</f>
        <v>16.207039999999999</v>
      </c>
    </row>
    <row r="19" spans="2:19">
      <c r="B19" s="1"/>
      <c r="C19" s="5">
        <v>5</v>
      </c>
      <c r="D19" s="1">
        <v>44</v>
      </c>
      <c r="E19" s="1"/>
      <c r="F19" s="3" t="s">
        <v>1</v>
      </c>
      <c r="G19" s="4"/>
      <c r="H19" s="3">
        <f>P16</f>
        <v>68.058480000000003</v>
      </c>
      <c r="I19" s="35"/>
      <c r="J19" s="4"/>
      <c r="K19" s="3">
        <f>S16</f>
        <v>13.064679999999999</v>
      </c>
      <c r="L19" s="3">
        <f t="shared" ref="L19:L26" si="0">G19+H19-J19-K19</f>
        <v>54.993800000000007</v>
      </c>
      <c r="M19" s="64">
        <f>NormStandard!O19*L19</f>
        <v>8.2356433437867471E-2</v>
      </c>
      <c r="O19" s="19" t="s">
        <v>29</v>
      </c>
      <c r="P19" s="204">
        <v>112.71938</v>
      </c>
      <c r="R19" s="19" t="s">
        <v>29</v>
      </c>
      <c r="S19" s="202">
        <f>Conc1!S19</f>
        <v>31.105070000000001</v>
      </c>
    </row>
    <row r="20" spans="2:19">
      <c r="B20" s="1"/>
      <c r="C20" s="5">
        <v>6</v>
      </c>
      <c r="D20" s="1">
        <v>50</v>
      </c>
      <c r="E20" s="1"/>
      <c r="F20" s="3" t="s">
        <v>1</v>
      </c>
      <c r="G20" s="4"/>
      <c r="H20" s="3">
        <f>P17</f>
        <v>100.9387</v>
      </c>
      <c r="I20" s="35"/>
      <c r="J20" s="4"/>
      <c r="K20" s="3">
        <f>S17</f>
        <v>20.952549999999999</v>
      </c>
      <c r="L20" s="3">
        <f t="shared" si="0"/>
        <v>79.986149999999995</v>
      </c>
      <c r="M20" s="64">
        <f>NormStandard!O20*L20</f>
        <v>6.1083191016415246E-2</v>
      </c>
      <c r="O20" s="19" t="s">
        <v>30</v>
      </c>
      <c r="P20" s="204">
        <v>21.327940000000002</v>
      </c>
      <c r="R20" s="19" t="s">
        <v>30</v>
      </c>
      <c r="S20" s="202">
        <f>Conc1!S20</f>
        <v>4.7908999999999997</v>
      </c>
    </row>
    <row r="21" spans="2:19">
      <c r="B21" s="1"/>
      <c r="C21" s="5">
        <v>7</v>
      </c>
      <c r="D21" s="1">
        <v>57</v>
      </c>
      <c r="E21" s="1"/>
      <c r="F21" s="2" t="s">
        <v>2</v>
      </c>
      <c r="G21" s="280">
        <v>0.17899999999999999</v>
      </c>
      <c r="H21" s="4"/>
      <c r="I21" s="35"/>
      <c r="J21" s="201">
        <f>Conc1!J21</f>
        <v>4.48E-2</v>
      </c>
      <c r="K21" s="4"/>
      <c r="L21" s="2">
        <f t="shared" si="0"/>
        <v>0.13419999999999999</v>
      </c>
      <c r="M21" s="25">
        <f>NormStandard!O21*L21</f>
        <v>8.4112372298407331E-2</v>
      </c>
      <c r="O21" s="19" t="s">
        <v>31</v>
      </c>
      <c r="P21" s="204">
        <v>42.148620000000001</v>
      </c>
      <c r="R21" s="19" t="s">
        <v>31</v>
      </c>
      <c r="S21" s="202">
        <f>Conc1!S21</f>
        <v>7.7860899999999997</v>
      </c>
    </row>
    <row r="22" spans="2:19">
      <c r="B22" s="1"/>
      <c r="C22" s="5">
        <v>8</v>
      </c>
      <c r="D22" s="1">
        <v>64</v>
      </c>
      <c r="E22" s="1"/>
      <c r="F22" s="3" t="s">
        <v>1</v>
      </c>
      <c r="G22" s="4"/>
      <c r="H22" s="3">
        <f>P18</f>
        <v>94.225489999999994</v>
      </c>
      <c r="I22" s="35"/>
      <c r="J22" s="4"/>
      <c r="K22" s="3">
        <f>S18</f>
        <v>16.207039999999999</v>
      </c>
      <c r="L22" s="3">
        <f t="shared" si="0"/>
        <v>78.018450000000001</v>
      </c>
      <c r="M22" s="64">
        <f>NormStandard!O22*L22</f>
        <v>9.8523114407106691E-2</v>
      </c>
      <c r="O22" s="19" t="s">
        <v>32</v>
      </c>
      <c r="P22" s="204">
        <v>59.54956</v>
      </c>
      <c r="R22" s="19" t="s">
        <v>32</v>
      </c>
      <c r="S22" s="202">
        <f>Conc1!S22</f>
        <v>11.23428</v>
      </c>
    </row>
    <row r="23" spans="2:19" ht="14.65" thickBot="1">
      <c r="B23" s="1"/>
      <c r="C23" s="5">
        <v>9</v>
      </c>
      <c r="D23" s="1">
        <v>72</v>
      </c>
      <c r="E23" s="1"/>
      <c r="F23" s="2" t="s">
        <v>2</v>
      </c>
      <c r="G23" s="280">
        <v>0.16700000000000001</v>
      </c>
      <c r="H23" s="4"/>
      <c r="I23" s="35"/>
      <c r="J23" s="201">
        <f>Conc1!J23</f>
        <v>3.4799999999999998E-2</v>
      </c>
      <c r="K23" s="4"/>
      <c r="L23" s="2">
        <f t="shared" si="0"/>
        <v>0.13220000000000001</v>
      </c>
      <c r="M23" s="25">
        <f>NormStandard!O23*L23</f>
        <v>9.6423460401985434E-2</v>
      </c>
      <c r="O23" s="21" t="s">
        <v>33</v>
      </c>
      <c r="P23" s="205">
        <v>65.391970000000001</v>
      </c>
      <c r="R23" s="21" t="s">
        <v>33</v>
      </c>
      <c r="S23" s="203">
        <f>Conc1!S23</f>
        <v>12.053459999999999</v>
      </c>
    </row>
    <row r="24" spans="2:19">
      <c r="B24" s="1"/>
      <c r="C24" s="5">
        <v>10</v>
      </c>
      <c r="D24" s="1">
        <v>81</v>
      </c>
      <c r="E24" s="1"/>
      <c r="F24" s="3" t="s">
        <v>1</v>
      </c>
      <c r="G24" s="4"/>
      <c r="H24" s="3">
        <f>P19</f>
        <v>112.71938</v>
      </c>
      <c r="I24" s="35"/>
      <c r="J24" s="4"/>
      <c r="K24" s="3">
        <f>S19</f>
        <v>31.105070000000001</v>
      </c>
      <c r="L24" s="3">
        <f t="shared" si="0"/>
        <v>81.614310000000003</v>
      </c>
      <c r="M24" s="64">
        <f>NormStandard!O24*L24</f>
        <v>9.7748011498850915E-2</v>
      </c>
    </row>
    <row r="25" spans="2:19">
      <c r="B25" s="1"/>
      <c r="C25" s="5">
        <v>11</v>
      </c>
      <c r="D25" s="1">
        <v>90</v>
      </c>
      <c r="E25" s="1"/>
      <c r="F25" s="2" t="s">
        <v>2</v>
      </c>
      <c r="G25" s="280">
        <v>0.14099999999999999</v>
      </c>
      <c r="H25" s="4"/>
      <c r="I25" s="35"/>
      <c r="J25" s="201">
        <f>Conc1!J25</f>
        <v>2.98E-2</v>
      </c>
      <c r="K25" s="4"/>
      <c r="L25" s="2">
        <f t="shared" si="0"/>
        <v>0.11119999999999999</v>
      </c>
      <c r="M25" s="25">
        <f>NormStandard!O25*L25</f>
        <v>9.2374709707195676E-2</v>
      </c>
    </row>
    <row r="26" spans="2:19">
      <c r="B26" s="1"/>
      <c r="C26" s="5">
        <v>12</v>
      </c>
      <c r="D26" s="1">
        <v>99</v>
      </c>
      <c r="E26" s="1"/>
      <c r="F26" s="3" t="s">
        <v>1</v>
      </c>
      <c r="G26" s="4"/>
      <c r="H26" s="3">
        <f>P20</f>
        <v>21.327940000000002</v>
      </c>
      <c r="I26" s="35"/>
      <c r="J26" s="4"/>
      <c r="K26" s="3">
        <f>S20</f>
        <v>4.7908999999999997</v>
      </c>
      <c r="L26" s="3">
        <f t="shared" si="0"/>
        <v>16.537040000000001</v>
      </c>
      <c r="M26" s="64">
        <f>NormStandard!O26*L26</f>
        <v>9.3843495125867288E-2</v>
      </c>
    </row>
    <row r="27" spans="2:19">
      <c r="B27" s="1"/>
      <c r="C27" s="5">
        <v>13</v>
      </c>
      <c r="D27" s="1">
        <v>108</v>
      </c>
      <c r="E27" s="1"/>
      <c r="F27" s="31" t="s">
        <v>52</v>
      </c>
      <c r="G27" s="32"/>
      <c r="H27" s="4"/>
      <c r="I27" s="35"/>
      <c r="J27" s="32" t="s">
        <v>53</v>
      </c>
      <c r="K27" s="32" t="s">
        <v>53</v>
      </c>
      <c r="L27" s="32" t="s">
        <v>53</v>
      </c>
      <c r="M27" s="32" t="str">
        <f>NormStandard!O27</f>
        <v>---</v>
      </c>
    </row>
    <row r="28" spans="2:19">
      <c r="B28" s="1"/>
      <c r="C28" s="5">
        <v>14</v>
      </c>
      <c r="D28" s="1">
        <v>117</v>
      </c>
      <c r="E28" s="1"/>
      <c r="F28" s="3" t="s">
        <v>1</v>
      </c>
      <c r="G28" s="4"/>
      <c r="H28" s="3">
        <f>P21</f>
        <v>42.148620000000001</v>
      </c>
      <c r="I28" s="35"/>
      <c r="J28" s="4"/>
      <c r="K28" s="3">
        <f>S21</f>
        <v>7.7860899999999997</v>
      </c>
      <c r="L28" s="3">
        <f>G28+H28-J28-K28</f>
        <v>34.36253</v>
      </c>
      <c r="M28" s="64">
        <f>NormStandard!O28*L28</f>
        <v>9.6259903776713007E-2</v>
      </c>
    </row>
    <row r="29" spans="2:19">
      <c r="B29" s="1"/>
      <c r="C29" s="5">
        <v>15</v>
      </c>
      <c r="D29" s="1">
        <v>126</v>
      </c>
      <c r="E29" s="1"/>
      <c r="F29" s="2" t="s">
        <v>2</v>
      </c>
      <c r="G29" s="280">
        <v>0.184</v>
      </c>
      <c r="H29" s="4"/>
      <c r="I29" s="35"/>
      <c r="J29" s="201">
        <f>Conc1!J29</f>
        <v>4.1000000000000002E-2</v>
      </c>
      <c r="K29" s="4"/>
      <c r="L29" s="2">
        <f>G29+H29-J29-K29</f>
        <v>0.14299999999999999</v>
      </c>
      <c r="M29" s="25">
        <f>NormStandard!O29*L29</f>
        <v>9.3344115922473603E-2</v>
      </c>
    </row>
    <row r="30" spans="2:19">
      <c r="B30" s="1"/>
      <c r="C30" s="5">
        <v>16</v>
      </c>
      <c r="D30" s="1">
        <v>134</v>
      </c>
      <c r="E30" s="1"/>
      <c r="F30" s="3" t="s">
        <v>1</v>
      </c>
      <c r="G30" s="4"/>
      <c r="H30" s="3">
        <f>P22</f>
        <v>59.54956</v>
      </c>
      <c r="I30" s="35"/>
      <c r="J30" s="4"/>
      <c r="K30" s="3">
        <f>S22</f>
        <v>11.23428</v>
      </c>
      <c r="L30" s="3">
        <f>G30+H30-J30-K30</f>
        <v>48.315280000000001</v>
      </c>
      <c r="M30" s="64">
        <f>NormStandard!O30*L30</f>
        <v>9.3093072996857221E-2</v>
      </c>
    </row>
    <row r="31" spans="2:19">
      <c r="B31" s="1"/>
      <c r="C31" s="5">
        <v>17</v>
      </c>
      <c r="D31" s="1">
        <v>141</v>
      </c>
      <c r="E31" s="1"/>
      <c r="F31" s="2" t="s">
        <v>2</v>
      </c>
      <c r="G31" s="280">
        <v>0.10100000000000001</v>
      </c>
      <c r="H31" s="4"/>
      <c r="I31" s="35"/>
      <c r="J31" s="201">
        <f>Conc1!J31</f>
        <v>2.0199999999999999E-2</v>
      </c>
      <c r="K31" s="4"/>
      <c r="L31" s="2">
        <f>G31+H31-J31-K31</f>
        <v>8.0800000000000011E-2</v>
      </c>
      <c r="M31" s="25">
        <f>NormStandard!O31*L31</f>
        <v>9.4273548966192014E-2</v>
      </c>
    </row>
    <row r="32" spans="2:19">
      <c r="B32" s="1"/>
      <c r="C32" s="5">
        <v>18</v>
      </c>
      <c r="D32" s="1">
        <v>147</v>
      </c>
      <c r="E32" s="1"/>
      <c r="F32" s="3" t="s">
        <v>1</v>
      </c>
      <c r="G32" s="4"/>
      <c r="H32" s="3">
        <f>P23</f>
        <v>65.391970000000001</v>
      </c>
      <c r="I32" s="35"/>
      <c r="J32" s="4"/>
      <c r="K32" s="3">
        <f>S23</f>
        <v>12.053459999999999</v>
      </c>
      <c r="L32" s="3">
        <f>G32+H32-J32-K32</f>
        <v>53.338509999999999</v>
      </c>
      <c r="M32" s="64">
        <f>NormStandard!O32*L32</f>
        <v>8.867474594143275E-2</v>
      </c>
    </row>
  </sheetData>
  <mergeCells count="1">
    <mergeCell ref="M12:M13"/>
  </mergeCells>
  <pageMargins left="0.7" right="0.7" top="0.75" bottom="0.75" header="0.3" footer="0.3"/>
  <pageSetup orientation="portrait" horizontalDpi="4294967293" verticalDpi="4294967293"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061B6C-1C83-42ED-80E7-7B6C70A3D3F5}">
  <dimension ref="B1:S32"/>
  <sheetViews>
    <sheetView zoomScale="70" zoomScaleNormal="70" workbookViewId="0">
      <selection activeCell="P27" sqref="P27"/>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357</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
        <v>0.18659999999999999</v>
      </c>
      <c r="H15" s="4"/>
      <c r="I15" s="35"/>
      <c r="J15" s="201">
        <f>Conc1!J15</f>
        <v>5.2400000000000002E-2</v>
      </c>
      <c r="K15" s="4"/>
      <c r="L15" s="2">
        <f>G15+H15-J15-K15</f>
        <v>0.13419999999999999</v>
      </c>
      <c r="M15" s="25">
        <f>NormStandard!O15*L15</f>
        <v>8.7871998541785526E-2</v>
      </c>
      <c r="O15" s="29" t="s">
        <v>34</v>
      </c>
      <c r="P15" s="30"/>
      <c r="Q15" s="11"/>
      <c r="R15" s="189"/>
      <c r="S15" s="190"/>
    </row>
    <row r="16" spans="2:19">
      <c r="B16" s="1"/>
      <c r="C16" s="5">
        <v>2</v>
      </c>
      <c r="D16" s="1">
        <v>28</v>
      </c>
      <c r="E16" s="1"/>
      <c r="F16" s="2" t="s">
        <v>2</v>
      </c>
      <c r="G16" s="2">
        <v>0.1042</v>
      </c>
      <c r="H16" s="4"/>
      <c r="I16" s="35"/>
      <c r="J16" s="201">
        <f>Conc1!J16</f>
        <v>2.4400000000000002E-2</v>
      </c>
      <c r="K16" s="4"/>
      <c r="L16" s="2">
        <f>G16+H16-J16-K16</f>
        <v>7.9799999999999996E-2</v>
      </c>
      <c r="M16" s="25">
        <f>NormStandard!O16*L16</f>
        <v>8.487455465541785E-2</v>
      </c>
      <c r="O16" s="19" t="s">
        <v>26</v>
      </c>
      <c r="P16" s="204">
        <v>68.581180000000003</v>
      </c>
      <c r="R16" s="19" t="s">
        <v>26</v>
      </c>
      <c r="S16" s="202">
        <f>Conc1!S16</f>
        <v>13.064679999999999</v>
      </c>
    </row>
    <row r="17" spans="2:19">
      <c r="B17" s="1"/>
      <c r="C17" s="5">
        <v>3</v>
      </c>
      <c r="D17" s="1">
        <v>32</v>
      </c>
      <c r="E17" s="1"/>
      <c r="F17" s="2" t="s">
        <v>2</v>
      </c>
      <c r="G17" s="2">
        <v>0.13100000000000001</v>
      </c>
      <c r="H17" s="4"/>
      <c r="I17" s="35"/>
      <c r="J17" s="201">
        <f>Conc1!J17</f>
        <v>2.8500000000000001E-2</v>
      </c>
      <c r="K17" s="4"/>
      <c r="L17" s="2">
        <f>G17+H17-J17-K17</f>
        <v>0.10250000000000001</v>
      </c>
      <c r="M17" s="25">
        <f>NormStandard!O17*L17</f>
        <v>8.7097270359758214E-2</v>
      </c>
      <c r="O17" s="19" t="s">
        <v>27</v>
      </c>
      <c r="P17" s="204">
        <v>102.81728</v>
      </c>
      <c r="R17" s="19" t="s">
        <v>27</v>
      </c>
      <c r="S17" s="202">
        <f>Conc1!S17</f>
        <v>20.952549999999999</v>
      </c>
    </row>
    <row r="18" spans="2:19">
      <c r="B18" s="1"/>
      <c r="C18" s="5">
        <v>4</v>
      </c>
      <c r="D18" s="1">
        <v>38</v>
      </c>
      <c r="E18" s="1"/>
      <c r="F18" s="31" t="s">
        <v>52</v>
      </c>
      <c r="G18" s="32"/>
      <c r="H18" s="4"/>
      <c r="I18" s="35"/>
      <c r="J18" s="32" t="s">
        <v>53</v>
      </c>
      <c r="K18" s="4"/>
      <c r="L18" s="32" t="s">
        <v>53</v>
      </c>
      <c r="M18" s="32" t="str">
        <f>NormStandard!O18</f>
        <v>---</v>
      </c>
      <c r="O18" s="19" t="s">
        <v>28</v>
      </c>
      <c r="P18" s="204">
        <v>94.198679999999996</v>
      </c>
      <c r="R18" s="19" t="s">
        <v>28</v>
      </c>
      <c r="S18" s="202">
        <f>Conc1!S18</f>
        <v>16.207039999999999</v>
      </c>
    </row>
    <row r="19" spans="2:19">
      <c r="B19" s="1"/>
      <c r="C19" s="5">
        <v>5</v>
      </c>
      <c r="D19" s="1">
        <v>44</v>
      </c>
      <c r="E19" s="1"/>
      <c r="F19" s="3" t="s">
        <v>1</v>
      </c>
      <c r="G19" s="4"/>
      <c r="H19" s="3">
        <f>P16</f>
        <v>68.581180000000003</v>
      </c>
      <c r="I19" s="35"/>
      <c r="J19" s="4"/>
      <c r="K19" s="3">
        <f>S16</f>
        <v>13.064679999999999</v>
      </c>
      <c r="L19" s="3">
        <f t="shared" ref="L19:L26" si="0">G19+H19-J19-K19</f>
        <v>55.516500000000008</v>
      </c>
      <c r="M19" s="64">
        <f>NormStandard!O19*L19</f>
        <v>8.3139207273426635E-2</v>
      </c>
      <c r="O19" s="19" t="s">
        <v>29</v>
      </c>
      <c r="P19" s="204">
        <v>116.98542</v>
      </c>
      <c r="R19" s="19" t="s">
        <v>29</v>
      </c>
      <c r="S19" s="202">
        <f>Conc1!S19</f>
        <v>31.105070000000001</v>
      </c>
    </row>
    <row r="20" spans="2:19">
      <c r="B20" s="1"/>
      <c r="C20" s="5">
        <v>6</v>
      </c>
      <c r="D20" s="1">
        <v>50</v>
      </c>
      <c r="E20" s="1"/>
      <c r="F20" s="3" t="s">
        <v>1</v>
      </c>
      <c r="G20" s="4"/>
      <c r="H20" s="3">
        <f>P17</f>
        <v>102.81728</v>
      </c>
      <c r="I20" s="35"/>
      <c r="J20" s="4"/>
      <c r="K20" s="3">
        <f>S17</f>
        <v>20.952549999999999</v>
      </c>
      <c r="L20" s="3">
        <f t="shared" si="0"/>
        <v>81.864729999999994</v>
      </c>
      <c r="M20" s="64">
        <f>NormStandard!O20*L20</f>
        <v>6.2517810147097466E-2</v>
      </c>
      <c r="O20" s="19" t="s">
        <v>30</v>
      </c>
      <c r="P20" s="204">
        <v>22.228010000000001</v>
      </c>
      <c r="R20" s="19" t="s">
        <v>30</v>
      </c>
      <c r="S20" s="202">
        <f>Conc1!S20</f>
        <v>4.7908999999999997</v>
      </c>
    </row>
    <row r="21" spans="2:19">
      <c r="B21" s="1"/>
      <c r="C21" s="5">
        <v>7</v>
      </c>
      <c r="D21" s="1">
        <v>57</v>
      </c>
      <c r="E21" s="1"/>
      <c r="F21" s="2" t="s">
        <v>2</v>
      </c>
      <c r="G21" s="2">
        <v>0.1772</v>
      </c>
      <c r="H21" s="4"/>
      <c r="I21" s="35"/>
      <c r="J21" s="201">
        <f>Conc1!J21</f>
        <v>4.48E-2</v>
      </c>
      <c r="K21" s="4"/>
      <c r="L21" s="2">
        <f t="shared" si="0"/>
        <v>0.13239999999999999</v>
      </c>
      <c r="M21" s="25">
        <f>NormStandard!O21*L21</f>
        <v>8.2984188467281159E-2</v>
      </c>
      <c r="O21" s="19" t="s">
        <v>31</v>
      </c>
      <c r="P21" s="204">
        <v>42.404139999999998</v>
      </c>
      <c r="R21" s="19" t="s">
        <v>31</v>
      </c>
      <c r="S21" s="202">
        <f>Conc1!S21</f>
        <v>7.7860899999999997</v>
      </c>
    </row>
    <row r="22" spans="2:19">
      <c r="B22" s="1"/>
      <c r="C22" s="5">
        <v>8</v>
      </c>
      <c r="D22" s="1">
        <v>64</v>
      </c>
      <c r="E22" s="1"/>
      <c r="F22" s="3" t="s">
        <v>1</v>
      </c>
      <c r="G22" s="4"/>
      <c r="H22" s="3">
        <f>P18</f>
        <v>94.198679999999996</v>
      </c>
      <c r="I22" s="35"/>
      <c r="J22" s="4"/>
      <c r="K22" s="3">
        <f>S18</f>
        <v>16.207039999999999</v>
      </c>
      <c r="L22" s="3">
        <f t="shared" si="0"/>
        <v>77.99163999999999</v>
      </c>
      <c r="M22" s="64">
        <f>NormStandard!O22*L22</f>
        <v>9.8489258252604059E-2</v>
      </c>
      <c r="O22" s="19" t="s">
        <v>32</v>
      </c>
      <c r="P22" s="204">
        <v>61.443759999999997</v>
      </c>
      <c r="R22" s="19" t="s">
        <v>32</v>
      </c>
      <c r="S22" s="202">
        <f>Conc1!S22</f>
        <v>11.23428</v>
      </c>
    </row>
    <row r="23" spans="2:19" ht="14.65" thickBot="1">
      <c r="B23" s="1"/>
      <c r="C23" s="5">
        <v>9</v>
      </c>
      <c r="D23" s="1">
        <v>72</v>
      </c>
      <c r="E23" s="1"/>
      <c r="F23" s="2" t="s">
        <v>2</v>
      </c>
      <c r="G23" s="2">
        <v>0.15629999999999999</v>
      </c>
      <c r="H23" s="4"/>
      <c r="I23" s="35"/>
      <c r="J23" s="201">
        <f>Conc1!J23</f>
        <v>3.4799999999999998E-2</v>
      </c>
      <c r="K23" s="4"/>
      <c r="L23" s="2">
        <f t="shared" si="0"/>
        <v>0.1215</v>
      </c>
      <c r="M23" s="25">
        <f>NormStandard!O23*L23</f>
        <v>8.8619140989721845E-2</v>
      </c>
      <c r="O23" s="21" t="s">
        <v>33</v>
      </c>
      <c r="P23" s="205">
        <v>67.015680000000003</v>
      </c>
      <c r="R23" s="21" t="s">
        <v>33</v>
      </c>
      <c r="S23" s="203">
        <f>Conc1!S23</f>
        <v>12.053459999999999</v>
      </c>
    </row>
    <row r="24" spans="2:19">
      <c r="B24" s="1"/>
      <c r="C24" s="5">
        <v>10</v>
      </c>
      <c r="D24" s="1">
        <v>81</v>
      </c>
      <c r="E24" s="1"/>
      <c r="F24" s="3" t="s">
        <v>1</v>
      </c>
      <c r="G24" s="4"/>
      <c r="H24" s="3">
        <f>P19</f>
        <v>116.98542</v>
      </c>
      <c r="I24" s="35"/>
      <c r="J24" s="4"/>
      <c r="K24" s="3">
        <f>S19</f>
        <v>31.105070000000001</v>
      </c>
      <c r="L24" s="3">
        <f t="shared" si="0"/>
        <v>85.880350000000007</v>
      </c>
      <c r="M24" s="64">
        <f>NormStandard!O24*L24</f>
        <v>0.10285737194035385</v>
      </c>
    </row>
    <row r="25" spans="2:19">
      <c r="B25" s="1"/>
      <c r="C25" s="5">
        <v>11</v>
      </c>
      <c r="D25" s="1">
        <v>90</v>
      </c>
      <c r="E25" s="1"/>
      <c r="F25" s="2" t="s">
        <v>2</v>
      </c>
      <c r="G25" s="2">
        <v>0.14069999999999999</v>
      </c>
      <c r="H25" s="4"/>
      <c r="I25" s="35"/>
      <c r="J25" s="201">
        <f>Conc1!J25</f>
        <v>2.98E-2</v>
      </c>
      <c r="K25" s="4"/>
      <c r="L25" s="2">
        <f t="shared" si="0"/>
        <v>0.1109</v>
      </c>
      <c r="M25" s="25">
        <f>NormStandard!O25*L25</f>
        <v>9.2125497360863326E-2</v>
      </c>
    </row>
    <row r="26" spans="2:19">
      <c r="B26" s="1"/>
      <c r="C26" s="5">
        <v>12</v>
      </c>
      <c r="D26" s="1">
        <v>99</v>
      </c>
      <c r="E26" s="1"/>
      <c r="F26" s="3" t="s">
        <v>1</v>
      </c>
      <c r="G26" s="4"/>
      <c r="H26" s="3">
        <f>P20</f>
        <v>22.228010000000001</v>
      </c>
      <c r="I26" s="35"/>
      <c r="J26" s="4"/>
      <c r="K26" s="3">
        <f>S20</f>
        <v>4.7908999999999997</v>
      </c>
      <c r="L26" s="3">
        <f t="shared" si="0"/>
        <v>17.437110000000001</v>
      </c>
      <c r="M26" s="64">
        <f>NormStandard!O26*L26</f>
        <v>9.8951163406160461E-2</v>
      </c>
    </row>
    <row r="27" spans="2:19">
      <c r="B27" s="1"/>
      <c r="C27" s="5">
        <v>13</v>
      </c>
      <c r="D27" s="1">
        <v>108</v>
      </c>
      <c r="E27" s="1"/>
      <c r="F27" s="31" t="s">
        <v>52</v>
      </c>
      <c r="G27" s="32"/>
      <c r="H27" s="4"/>
      <c r="I27" s="35"/>
      <c r="J27" s="32" t="s">
        <v>53</v>
      </c>
      <c r="K27" s="32" t="s">
        <v>53</v>
      </c>
      <c r="L27" s="32" t="s">
        <v>53</v>
      </c>
      <c r="M27" s="32" t="str">
        <f>NormStandard!O27</f>
        <v>---</v>
      </c>
    </row>
    <row r="28" spans="2:19">
      <c r="B28" s="1"/>
      <c r="C28" s="5">
        <v>14</v>
      </c>
      <c r="D28" s="1">
        <v>117</v>
      </c>
      <c r="E28" s="1"/>
      <c r="F28" s="3" t="s">
        <v>1</v>
      </c>
      <c r="G28" s="4"/>
      <c r="H28" s="3">
        <f>P21</f>
        <v>42.404139999999998</v>
      </c>
      <c r="I28" s="35"/>
      <c r="J28" s="4"/>
      <c r="K28" s="3">
        <f>S21</f>
        <v>7.7860899999999997</v>
      </c>
      <c r="L28" s="3">
        <f>G28+H28-J28-K28</f>
        <v>34.618049999999997</v>
      </c>
      <c r="M28" s="64">
        <f>NormStandard!O28*L28</f>
        <v>9.6975693056868609E-2</v>
      </c>
    </row>
    <row r="29" spans="2:19">
      <c r="B29" s="1"/>
      <c r="C29" s="5">
        <v>15</v>
      </c>
      <c r="D29" s="1">
        <v>126</v>
      </c>
      <c r="E29" s="1"/>
      <c r="F29" s="2" t="s">
        <v>2</v>
      </c>
      <c r="G29" s="2">
        <v>0.18099999999999999</v>
      </c>
      <c r="H29" s="4"/>
      <c r="I29" s="35"/>
      <c r="J29" s="201">
        <f>Conc1!J29</f>
        <v>4.1000000000000002E-2</v>
      </c>
      <c r="K29" s="4"/>
      <c r="L29" s="2">
        <f>G29+H29-J29-K29</f>
        <v>0.13999999999999999</v>
      </c>
      <c r="M29" s="25">
        <f>NormStandard!O29*L29</f>
        <v>9.138584775626786E-2</v>
      </c>
    </row>
    <row r="30" spans="2:19">
      <c r="B30" s="1"/>
      <c r="C30" s="5">
        <v>16</v>
      </c>
      <c r="D30" s="1">
        <v>134</v>
      </c>
      <c r="E30" s="1"/>
      <c r="F30" s="3" t="s">
        <v>1</v>
      </c>
      <c r="G30" s="4"/>
      <c r="H30" s="3">
        <f>P22</f>
        <v>61.443759999999997</v>
      </c>
      <c r="I30" s="35"/>
      <c r="J30" s="4"/>
      <c r="K30" s="3">
        <f>S22</f>
        <v>11.23428</v>
      </c>
      <c r="L30" s="3">
        <f>G30+H30-J30-K30</f>
        <v>50.209479999999999</v>
      </c>
      <c r="M30" s="64">
        <f>NormStandard!O30*L30</f>
        <v>9.6742785859343941E-2</v>
      </c>
    </row>
    <row r="31" spans="2:19">
      <c r="B31" s="1"/>
      <c r="C31" s="5">
        <v>17</v>
      </c>
      <c r="D31" s="1">
        <v>141</v>
      </c>
      <c r="E31" s="1"/>
      <c r="F31" s="2" t="s">
        <v>2</v>
      </c>
      <c r="G31" s="2">
        <v>9.9669999999999995E-2</v>
      </c>
      <c r="H31" s="4"/>
      <c r="I31" s="35"/>
      <c r="J31" s="201">
        <f>Conc1!J31</f>
        <v>2.0199999999999999E-2</v>
      </c>
      <c r="K31" s="4"/>
      <c r="L31" s="2">
        <f>G31+H31-J31-K31</f>
        <v>7.9469999999999999E-2</v>
      </c>
      <c r="M31" s="25">
        <f>NormStandard!O31*L31</f>
        <v>9.2721769014149483E-2</v>
      </c>
    </row>
    <row r="32" spans="2:19">
      <c r="B32" s="1"/>
      <c r="C32" s="5">
        <v>18</v>
      </c>
      <c r="D32" s="1">
        <v>147</v>
      </c>
      <c r="E32" s="1"/>
      <c r="F32" s="3" t="s">
        <v>1</v>
      </c>
      <c r="G32" s="4"/>
      <c r="H32" s="3">
        <f>P23</f>
        <v>67.015680000000003</v>
      </c>
      <c r="I32" s="35"/>
      <c r="J32" s="4"/>
      <c r="K32" s="3">
        <f>S23</f>
        <v>12.053459999999999</v>
      </c>
      <c r="L32" s="3">
        <f>G32+H32-J32-K32</f>
        <v>54.962220000000002</v>
      </c>
      <c r="M32" s="64">
        <f>NormStandard!O32*L32</f>
        <v>9.137414777572779E-2</v>
      </c>
    </row>
  </sheetData>
  <mergeCells count="1">
    <mergeCell ref="M12:M13"/>
  </mergeCells>
  <pageMargins left="0.7" right="0.7" top="0.75" bottom="0.75" header="0.3" footer="0.3"/>
  <pageSetup orientation="portrait" horizontalDpi="4294967293" verticalDpi="4294967293"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815653-FDD2-4E26-938F-66D4BA6036A5}">
  <dimension ref="B1:S32"/>
  <sheetViews>
    <sheetView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82</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
      <c r="H15" s="4"/>
      <c r="I15" s="35"/>
      <c r="J15" s="201">
        <f>Conc1!J15</f>
        <v>5.2400000000000002E-2</v>
      </c>
      <c r="K15" s="4"/>
      <c r="L15" s="2">
        <f>G15+H15-J15-K15</f>
        <v>-5.2400000000000002E-2</v>
      </c>
      <c r="M15" s="25">
        <f>NormStandard!O15*L15</f>
        <v>-3.4310676032709111E-2</v>
      </c>
      <c r="O15" s="29" t="s">
        <v>34</v>
      </c>
      <c r="P15" s="30"/>
      <c r="Q15" s="11"/>
      <c r="R15" s="189"/>
      <c r="S15" s="190"/>
    </row>
    <row r="16" spans="2:19">
      <c r="B16" s="1"/>
      <c r="C16" s="5">
        <v>2</v>
      </c>
      <c r="D16" s="1">
        <v>28</v>
      </c>
      <c r="E16" s="1"/>
      <c r="F16" s="2" t="s">
        <v>2</v>
      </c>
      <c r="G16" s="2"/>
      <c r="H16" s="4"/>
      <c r="I16" s="35"/>
      <c r="J16" s="201">
        <f>Conc1!J16</f>
        <v>2.4400000000000002E-2</v>
      </c>
      <c r="K16" s="4"/>
      <c r="L16" s="2">
        <f>G16+H16-J16-K16</f>
        <v>-2.4400000000000002E-2</v>
      </c>
      <c r="M16" s="25">
        <f>NormStandard!O16*L16</f>
        <v>-2.595161821544105E-2</v>
      </c>
      <c r="O16" s="19" t="s">
        <v>26</v>
      </c>
      <c r="P16" s="204"/>
      <c r="R16" s="19" t="s">
        <v>26</v>
      </c>
      <c r="S16" s="202">
        <f>Conc1!S16</f>
        <v>13.064679999999999</v>
      </c>
    </row>
    <row r="17" spans="2:19">
      <c r="B17" s="1"/>
      <c r="C17" s="5">
        <v>3</v>
      </c>
      <c r="D17" s="1">
        <v>32</v>
      </c>
      <c r="E17" s="1"/>
      <c r="F17" s="2" t="s">
        <v>2</v>
      </c>
      <c r="G17" s="2"/>
      <c r="H17" s="4"/>
      <c r="I17" s="35"/>
      <c r="J17" s="201">
        <f>Conc1!J17</f>
        <v>2.8500000000000001E-2</v>
      </c>
      <c r="K17" s="4"/>
      <c r="L17" s="2">
        <f>G17+H17-J17-K17</f>
        <v>-2.8500000000000001E-2</v>
      </c>
      <c r="M17" s="25">
        <f>NormStandard!O17*L17</f>
        <v>-2.4217289807347407E-2</v>
      </c>
      <c r="O17" s="19" t="s">
        <v>27</v>
      </c>
      <c r="P17" s="204"/>
      <c r="R17" s="19" t="s">
        <v>27</v>
      </c>
      <c r="S17" s="202">
        <f>Conc1!S17</f>
        <v>20.952549999999999</v>
      </c>
    </row>
    <row r="18" spans="2:19">
      <c r="B18" s="1"/>
      <c r="C18" s="5">
        <v>4</v>
      </c>
      <c r="D18" s="1">
        <v>38</v>
      </c>
      <c r="E18" s="1"/>
      <c r="F18" s="31" t="s">
        <v>52</v>
      </c>
      <c r="G18" s="32" t="s">
        <v>53</v>
      </c>
      <c r="H18" s="4"/>
      <c r="I18" s="35"/>
      <c r="J18" s="32" t="s">
        <v>53</v>
      </c>
      <c r="K18" s="4"/>
      <c r="L18" s="32" t="s">
        <v>53</v>
      </c>
      <c r="M18" s="32" t="str">
        <f>NormStandard!O18</f>
        <v>---</v>
      </c>
      <c r="O18" s="19" t="s">
        <v>28</v>
      </c>
      <c r="P18" s="204"/>
      <c r="R18" s="19" t="s">
        <v>28</v>
      </c>
      <c r="S18" s="202">
        <f>Conc1!S18</f>
        <v>16.207039999999999</v>
      </c>
    </row>
    <row r="19" spans="2:19">
      <c r="B19" s="1"/>
      <c r="C19" s="5">
        <v>5</v>
      </c>
      <c r="D19" s="1">
        <v>44</v>
      </c>
      <c r="E19" s="1"/>
      <c r="F19" s="3" t="s">
        <v>1</v>
      </c>
      <c r="G19" s="4"/>
      <c r="H19" s="3">
        <f>P16</f>
        <v>0</v>
      </c>
      <c r="I19" s="35"/>
      <c r="J19" s="4"/>
      <c r="K19" s="3">
        <f>S16</f>
        <v>13.064679999999999</v>
      </c>
      <c r="L19" s="3">
        <f t="shared" ref="L19:L26" si="0">G19+H19-J19-K19</f>
        <v>-13.064679999999999</v>
      </c>
      <c r="M19" s="64">
        <f>NormStandard!O19*L19</f>
        <v>-1.9565122773967943E-2</v>
      </c>
      <c r="O19" s="19" t="s">
        <v>29</v>
      </c>
      <c r="P19" s="204"/>
      <c r="R19" s="19" t="s">
        <v>29</v>
      </c>
      <c r="S19" s="202">
        <f>Conc1!S19</f>
        <v>31.105070000000001</v>
      </c>
    </row>
    <row r="20" spans="2:19">
      <c r="B20" s="1"/>
      <c r="C20" s="5">
        <v>6</v>
      </c>
      <c r="D20" s="1">
        <v>50</v>
      </c>
      <c r="E20" s="1"/>
      <c r="F20" s="3" t="s">
        <v>1</v>
      </c>
      <c r="G20" s="4"/>
      <c r="H20" s="3">
        <f>P17</f>
        <v>0</v>
      </c>
      <c r="I20" s="35"/>
      <c r="J20" s="4"/>
      <c r="K20" s="3">
        <f>S17</f>
        <v>20.952549999999999</v>
      </c>
      <c r="L20" s="3">
        <f t="shared" si="0"/>
        <v>-20.952549999999999</v>
      </c>
      <c r="M20" s="64">
        <f>NormStandard!O20*L20</f>
        <v>-1.6000877826111037E-2</v>
      </c>
      <c r="O20" s="19" t="s">
        <v>30</v>
      </c>
      <c r="P20" s="204"/>
      <c r="R20" s="19" t="s">
        <v>30</v>
      </c>
      <c r="S20" s="202">
        <f>Conc1!S20</f>
        <v>4.7908999999999997</v>
      </c>
    </row>
    <row r="21" spans="2:19">
      <c r="B21" s="1"/>
      <c r="C21" s="5">
        <v>7</v>
      </c>
      <c r="D21" s="1">
        <v>57</v>
      </c>
      <c r="E21" s="1"/>
      <c r="F21" s="2" t="s">
        <v>2</v>
      </c>
      <c r="G21" s="2"/>
      <c r="H21" s="4"/>
      <c r="I21" s="35"/>
      <c r="J21" s="201">
        <f>Conc1!J21</f>
        <v>4.48E-2</v>
      </c>
      <c r="K21" s="4"/>
      <c r="L21" s="2">
        <f t="shared" si="0"/>
        <v>-4.48E-2</v>
      </c>
      <c r="M21" s="25">
        <f>NormStandard!O21*L21</f>
        <v>-2.8079242019140454E-2</v>
      </c>
      <c r="O21" s="19" t="s">
        <v>31</v>
      </c>
      <c r="P21" s="204"/>
      <c r="R21" s="19" t="s">
        <v>31</v>
      </c>
      <c r="S21" s="202">
        <f>Conc1!S21</f>
        <v>7.7860899999999997</v>
      </c>
    </row>
    <row r="22" spans="2:19">
      <c r="B22" s="1"/>
      <c r="C22" s="5">
        <v>8</v>
      </c>
      <c r="D22" s="1">
        <v>64</v>
      </c>
      <c r="E22" s="1"/>
      <c r="F22" s="3" t="s">
        <v>1</v>
      </c>
      <c r="G22" s="4"/>
      <c r="H22" s="3">
        <f>P18</f>
        <v>0</v>
      </c>
      <c r="I22" s="35"/>
      <c r="J22" s="4"/>
      <c r="K22" s="3">
        <f>S18</f>
        <v>16.207039999999999</v>
      </c>
      <c r="L22" s="3">
        <f t="shared" si="0"/>
        <v>-16.207039999999999</v>
      </c>
      <c r="M22" s="64">
        <f>NormStandard!O22*L22</f>
        <v>-2.0466544209998459E-2</v>
      </c>
      <c r="O22" s="19" t="s">
        <v>32</v>
      </c>
      <c r="P22" s="204"/>
      <c r="R22" s="19" t="s">
        <v>32</v>
      </c>
      <c r="S22" s="202">
        <f>Conc1!S22</f>
        <v>11.23428</v>
      </c>
    </row>
    <row r="23" spans="2:19" ht="14.65" thickBot="1">
      <c r="B23" s="1"/>
      <c r="C23" s="5">
        <v>9</v>
      </c>
      <c r="D23" s="1">
        <v>72</v>
      </c>
      <c r="E23" s="1"/>
      <c r="F23" s="2" t="s">
        <v>2</v>
      </c>
      <c r="G23" s="2"/>
      <c r="H23" s="4"/>
      <c r="I23" s="35"/>
      <c r="J23" s="201">
        <f>Conc1!J23</f>
        <v>3.4799999999999998E-2</v>
      </c>
      <c r="K23" s="4"/>
      <c r="L23" s="2">
        <f t="shared" si="0"/>
        <v>-3.4799999999999998E-2</v>
      </c>
      <c r="M23" s="25">
        <f>NormStandard!O23*L23</f>
        <v>-2.5382272481006753E-2</v>
      </c>
      <c r="O23" s="21" t="s">
        <v>33</v>
      </c>
      <c r="P23" s="205"/>
      <c r="R23" s="21" t="s">
        <v>33</v>
      </c>
      <c r="S23" s="203">
        <f>Conc1!S23</f>
        <v>12.053459999999999</v>
      </c>
    </row>
    <row r="24" spans="2:19">
      <c r="B24" s="1"/>
      <c r="C24" s="5">
        <v>10</v>
      </c>
      <c r="D24" s="1">
        <v>81</v>
      </c>
      <c r="E24" s="1"/>
      <c r="F24" s="3" t="s">
        <v>1</v>
      </c>
      <c r="G24" s="4"/>
      <c r="H24" s="3">
        <f>P19</f>
        <v>0</v>
      </c>
      <c r="I24" s="35"/>
      <c r="J24" s="4"/>
      <c r="K24" s="3">
        <f>S19</f>
        <v>31.105070000000001</v>
      </c>
      <c r="L24" s="3">
        <f t="shared" si="0"/>
        <v>-31.105070000000001</v>
      </c>
      <c r="M24" s="64">
        <f>NormStandard!O24*L24</f>
        <v>-3.7253990630228481E-2</v>
      </c>
    </row>
    <row r="25" spans="2:19">
      <c r="B25" s="1"/>
      <c r="C25" s="5">
        <v>11</v>
      </c>
      <c r="D25" s="1">
        <v>90</v>
      </c>
      <c r="E25" s="1"/>
      <c r="F25" s="2" t="s">
        <v>2</v>
      </c>
      <c r="G25" s="2"/>
      <c r="H25" s="4"/>
      <c r="I25" s="35"/>
      <c r="J25" s="201">
        <f>Conc1!J25</f>
        <v>2.98E-2</v>
      </c>
      <c r="K25" s="4"/>
      <c r="L25" s="2">
        <f t="shared" si="0"/>
        <v>-2.98E-2</v>
      </c>
      <c r="M25" s="25">
        <f>NormStandard!O25*L25</f>
        <v>-2.4755093069014671E-2</v>
      </c>
    </row>
    <row r="26" spans="2:19">
      <c r="B26" s="1"/>
      <c r="C26" s="5">
        <v>12</v>
      </c>
      <c r="D26" s="1">
        <v>99</v>
      </c>
      <c r="E26" s="1"/>
      <c r="F26" s="3" t="s">
        <v>1</v>
      </c>
      <c r="G26" s="4"/>
      <c r="H26" s="3">
        <f>P20</f>
        <v>0</v>
      </c>
      <c r="I26" s="35"/>
      <c r="J26" s="4"/>
      <c r="K26" s="3">
        <f>S20</f>
        <v>4.7908999999999997</v>
      </c>
      <c r="L26" s="3">
        <f t="shared" si="0"/>
        <v>-4.7908999999999997</v>
      </c>
      <c r="M26" s="64">
        <f>NormStandard!O26*L26</f>
        <v>-2.7187138738160973E-2</v>
      </c>
    </row>
    <row r="27" spans="2:19">
      <c r="B27" s="1"/>
      <c r="C27" s="5">
        <v>13</v>
      </c>
      <c r="D27" s="1">
        <v>108</v>
      </c>
      <c r="E27" s="1"/>
      <c r="F27" s="31" t="s">
        <v>52</v>
      </c>
      <c r="G27" s="32" t="s">
        <v>53</v>
      </c>
      <c r="H27" s="4"/>
      <c r="I27" s="35"/>
      <c r="J27" s="32" t="s">
        <v>53</v>
      </c>
      <c r="K27" s="32" t="s">
        <v>53</v>
      </c>
      <c r="L27" s="32" t="s">
        <v>53</v>
      </c>
      <c r="M27" s="32" t="str">
        <f>NormStandard!O27</f>
        <v>---</v>
      </c>
    </row>
    <row r="28" spans="2:19">
      <c r="B28" s="1"/>
      <c r="C28" s="5">
        <v>14</v>
      </c>
      <c r="D28" s="1">
        <v>117</v>
      </c>
      <c r="E28" s="1"/>
      <c r="F28" s="3" t="s">
        <v>1</v>
      </c>
      <c r="G28" s="4"/>
      <c r="H28" s="3">
        <f>P21</f>
        <v>0</v>
      </c>
      <c r="I28" s="35"/>
      <c r="J28" s="4"/>
      <c r="K28" s="3">
        <f>S21</f>
        <v>7.7860899999999997</v>
      </c>
      <c r="L28" s="3">
        <f>G28+H28-J28-K28</f>
        <v>-7.7860899999999997</v>
      </c>
      <c r="M28" s="64">
        <f>NormStandard!O28*L28</f>
        <v>-2.1811207562331042E-2</v>
      </c>
    </row>
    <row r="29" spans="2:19">
      <c r="B29" s="1"/>
      <c r="C29" s="5">
        <v>15</v>
      </c>
      <c r="D29" s="1">
        <v>126</v>
      </c>
      <c r="E29" s="1"/>
      <c r="F29" s="2" t="s">
        <v>2</v>
      </c>
      <c r="G29" s="2"/>
      <c r="H29" s="4"/>
      <c r="I29" s="35"/>
      <c r="J29" s="201">
        <f>Conc1!J29</f>
        <v>4.1000000000000002E-2</v>
      </c>
      <c r="K29" s="4"/>
      <c r="L29" s="2">
        <f>G29+H29-J29-K29</f>
        <v>-4.1000000000000002E-2</v>
      </c>
      <c r="M29" s="25">
        <f>NormStandard!O29*L29</f>
        <v>-2.676299827147845E-2</v>
      </c>
    </row>
    <row r="30" spans="2:19">
      <c r="B30" s="1"/>
      <c r="C30" s="5">
        <v>16</v>
      </c>
      <c r="D30" s="1">
        <v>134</v>
      </c>
      <c r="E30" s="1"/>
      <c r="F30" s="3" t="s">
        <v>1</v>
      </c>
      <c r="G30" s="4"/>
      <c r="H30" s="3">
        <f>P22</f>
        <v>0</v>
      </c>
      <c r="I30" s="35"/>
      <c r="J30" s="4"/>
      <c r="K30" s="3">
        <f>S22</f>
        <v>11.23428</v>
      </c>
      <c r="L30" s="3">
        <f>G30+H30-J30-K30</f>
        <v>-11.23428</v>
      </c>
      <c r="M30" s="64">
        <f>NormStandard!O30*L30</f>
        <v>-2.1646022709733509E-2</v>
      </c>
    </row>
    <row r="31" spans="2:19">
      <c r="B31" s="1"/>
      <c r="C31" s="5">
        <v>17</v>
      </c>
      <c r="D31" s="1">
        <v>141</v>
      </c>
      <c r="E31" s="1"/>
      <c r="F31" s="2" t="s">
        <v>2</v>
      </c>
      <c r="G31" s="2"/>
      <c r="H31" s="4"/>
      <c r="I31" s="35"/>
      <c r="J31" s="201">
        <f>Conc1!J31</f>
        <v>2.0199999999999999E-2</v>
      </c>
      <c r="K31" s="4"/>
      <c r="L31" s="2">
        <f>G31+H31-J31-K31</f>
        <v>-2.0199999999999999E-2</v>
      </c>
      <c r="M31" s="25">
        <f>NormStandard!O31*L31</f>
        <v>-2.3568387241547997E-2</v>
      </c>
    </row>
    <row r="32" spans="2:19">
      <c r="B32" s="1"/>
      <c r="C32" s="5">
        <v>18</v>
      </c>
      <c r="D32" s="1">
        <v>147</v>
      </c>
      <c r="E32" s="1"/>
      <c r="F32" s="3" t="s">
        <v>1</v>
      </c>
      <c r="G32" s="4"/>
      <c r="H32" s="3">
        <f>P23</f>
        <v>0</v>
      </c>
      <c r="I32" s="35"/>
      <c r="J32" s="4"/>
      <c r="K32" s="3">
        <f>S23</f>
        <v>12.053459999999999</v>
      </c>
      <c r="L32" s="3">
        <f>G32+H32-J32-K32</f>
        <v>-12.053459999999999</v>
      </c>
      <c r="M32" s="64">
        <f>NormStandard!O32*L32</f>
        <v>-2.0038758173320216E-2</v>
      </c>
    </row>
  </sheetData>
  <mergeCells count="1">
    <mergeCell ref="M12:M13"/>
  </mergeCells>
  <pageMargins left="0.7" right="0.7" top="0.75" bottom="0.75" header="0.3" footer="0.3"/>
  <pageSetup orientation="portrait" horizontalDpi="4294967293" verticalDpi="4294967293"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2FB1E5-0FD6-4066-B286-F639C60A780F}">
  <dimension ref="B1:S32"/>
  <sheetViews>
    <sheetView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82</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
      <c r="H15" s="4"/>
      <c r="I15" s="35"/>
      <c r="J15" s="201">
        <f>Conc1!J15</f>
        <v>5.2400000000000002E-2</v>
      </c>
      <c r="K15" s="4"/>
      <c r="L15" s="2">
        <f>G15+H15-J15-K15</f>
        <v>-5.2400000000000002E-2</v>
      </c>
      <c r="M15" s="25">
        <f>NormStandard!O15*L15</f>
        <v>-3.4310676032709111E-2</v>
      </c>
      <c r="O15" s="29" t="s">
        <v>34</v>
      </c>
      <c r="P15" s="30"/>
      <c r="Q15" s="11"/>
      <c r="R15" s="189"/>
      <c r="S15" s="190"/>
    </row>
    <row r="16" spans="2:19">
      <c r="B16" s="1"/>
      <c r="C16" s="5">
        <v>2</v>
      </c>
      <c r="D16" s="1">
        <v>28</v>
      </c>
      <c r="E16" s="1"/>
      <c r="F16" s="2" t="s">
        <v>2</v>
      </c>
      <c r="G16" s="2"/>
      <c r="H16" s="4"/>
      <c r="I16" s="35"/>
      <c r="J16" s="201">
        <f>Conc1!J16</f>
        <v>2.4400000000000002E-2</v>
      </c>
      <c r="K16" s="4"/>
      <c r="L16" s="2">
        <f>G16+H16-J16-K16</f>
        <v>-2.4400000000000002E-2</v>
      </c>
      <c r="M16" s="25">
        <f>NormStandard!O16*L16</f>
        <v>-2.595161821544105E-2</v>
      </c>
      <c r="O16" s="19" t="s">
        <v>26</v>
      </c>
      <c r="P16" s="204"/>
      <c r="R16" s="19" t="s">
        <v>26</v>
      </c>
      <c r="S16" s="202">
        <f>Conc1!S16</f>
        <v>13.064679999999999</v>
      </c>
    </row>
    <row r="17" spans="2:19">
      <c r="B17" s="1"/>
      <c r="C17" s="5">
        <v>3</v>
      </c>
      <c r="D17" s="1">
        <v>32</v>
      </c>
      <c r="E17" s="1"/>
      <c r="F17" s="2" t="s">
        <v>2</v>
      </c>
      <c r="G17" s="2"/>
      <c r="H17" s="4"/>
      <c r="I17" s="35"/>
      <c r="J17" s="201">
        <f>Conc1!J17</f>
        <v>2.8500000000000001E-2</v>
      </c>
      <c r="K17" s="4"/>
      <c r="L17" s="2">
        <f>G17+H17-J17-K17</f>
        <v>-2.8500000000000001E-2</v>
      </c>
      <c r="M17" s="25">
        <f>NormStandard!O17*L17</f>
        <v>-2.4217289807347407E-2</v>
      </c>
      <c r="O17" s="19" t="s">
        <v>27</v>
      </c>
      <c r="P17" s="204"/>
      <c r="R17" s="19" t="s">
        <v>27</v>
      </c>
      <c r="S17" s="202">
        <f>Conc1!S17</f>
        <v>20.952549999999999</v>
      </c>
    </row>
    <row r="18" spans="2:19">
      <c r="B18" s="1"/>
      <c r="C18" s="5">
        <v>4</v>
      </c>
      <c r="D18" s="1">
        <v>38</v>
      </c>
      <c r="E18" s="1"/>
      <c r="F18" s="31" t="s">
        <v>52</v>
      </c>
      <c r="G18" s="32" t="s">
        <v>53</v>
      </c>
      <c r="H18" s="4"/>
      <c r="I18" s="35"/>
      <c r="J18" s="32" t="s">
        <v>53</v>
      </c>
      <c r="K18" s="4"/>
      <c r="L18" s="32" t="s">
        <v>53</v>
      </c>
      <c r="M18" s="32" t="str">
        <f>NormStandard!O18</f>
        <v>---</v>
      </c>
      <c r="O18" s="19" t="s">
        <v>28</v>
      </c>
      <c r="P18" s="204"/>
      <c r="R18" s="19" t="s">
        <v>28</v>
      </c>
      <c r="S18" s="202">
        <f>Conc1!S18</f>
        <v>16.207039999999999</v>
      </c>
    </row>
    <row r="19" spans="2:19">
      <c r="B19" s="1"/>
      <c r="C19" s="5">
        <v>5</v>
      </c>
      <c r="D19" s="1">
        <v>44</v>
      </c>
      <c r="E19" s="1"/>
      <c r="F19" s="3" t="s">
        <v>1</v>
      </c>
      <c r="G19" s="4"/>
      <c r="H19" s="3">
        <f>P16</f>
        <v>0</v>
      </c>
      <c r="I19" s="35"/>
      <c r="J19" s="4"/>
      <c r="K19" s="3">
        <f>S16</f>
        <v>13.064679999999999</v>
      </c>
      <c r="L19" s="3">
        <f t="shared" ref="L19:L26" si="0">G19+H19-J19-K19</f>
        <v>-13.064679999999999</v>
      </c>
      <c r="M19" s="64">
        <f>NormStandard!O19*L19</f>
        <v>-1.9565122773967943E-2</v>
      </c>
      <c r="O19" s="19" t="s">
        <v>29</v>
      </c>
      <c r="P19" s="204"/>
      <c r="R19" s="19" t="s">
        <v>29</v>
      </c>
      <c r="S19" s="202">
        <f>Conc1!S19</f>
        <v>31.105070000000001</v>
      </c>
    </row>
    <row r="20" spans="2:19">
      <c r="B20" s="1"/>
      <c r="C20" s="5">
        <v>6</v>
      </c>
      <c r="D20" s="1">
        <v>50</v>
      </c>
      <c r="E20" s="1"/>
      <c r="F20" s="3" t="s">
        <v>1</v>
      </c>
      <c r="G20" s="4"/>
      <c r="H20" s="3">
        <f>P17</f>
        <v>0</v>
      </c>
      <c r="I20" s="35"/>
      <c r="J20" s="4"/>
      <c r="K20" s="3">
        <f>S17</f>
        <v>20.952549999999999</v>
      </c>
      <c r="L20" s="3">
        <f t="shared" si="0"/>
        <v>-20.952549999999999</v>
      </c>
      <c r="M20" s="64">
        <f>NormStandard!O20*L20</f>
        <v>-1.6000877826111037E-2</v>
      </c>
      <c r="O20" s="19" t="s">
        <v>30</v>
      </c>
      <c r="P20" s="204"/>
      <c r="R20" s="19" t="s">
        <v>30</v>
      </c>
      <c r="S20" s="202">
        <f>Conc1!S20</f>
        <v>4.7908999999999997</v>
      </c>
    </row>
    <row r="21" spans="2:19">
      <c r="B21" s="1"/>
      <c r="C21" s="5">
        <v>7</v>
      </c>
      <c r="D21" s="1">
        <v>57</v>
      </c>
      <c r="E21" s="1"/>
      <c r="F21" s="2" t="s">
        <v>2</v>
      </c>
      <c r="G21" s="2"/>
      <c r="H21" s="4"/>
      <c r="I21" s="35"/>
      <c r="J21" s="201">
        <f>Conc1!J21</f>
        <v>4.48E-2</v>
      </c>
      <c r="K21" s="4"/>
      <c r="L21" s="2">
        <f t="shared" si="0"/>
        <v>-4.48E-2</v>
      </c>
      <c r="M21" s="25">
        <f>NormStandard!O21*L21</f>
        <v>-2.8079242019140454E-2</v>
      </c>
      <c r="O21" s="19" t="s">
        <v>31</v>
      </c>
      <c r="P21" s="204"/>
      <c r="R21" s="19" t="s">
        <v>31</v>
      </c>
      <c r="S21" s="202">
        <f>Conc1!S21</f>
        <v>7.7860899999999997</v>
      </c>
    </row>
    <row r="22" spans="2:19">
      <c r="B22" s="1"/>
      <c r="C22" s="5">
        <v>8</v>
      </c>
      <c r="D22" s="1">
        <v>64</v>
      </c>
      <c r="E22" s="1"/>
      <c r="F22" s="3" t="s">
        <v>1</v>
      </c>
      <c r="G22" s="4"/>
      <c r="H22" s="3">
        <f>P18</f>
        <v>0</v>
      </c>
      <c r="I22" s="35"/>
      <c r="J22" s="4"/>
      <c r="K22" s="3">
        <f>S18</f>
        <v>16.207039999999999</v>
      </c>
      <c r="L22" s="3">
        <f t="shared" si="0"/>
        <v>-16.207039999999999</v>
      </c>
      <c r="M22" s="64">
        <f>NormStandard!O22*L22</f>
        <v>-2.0466544209998459E-2</v>
      </c>
      <c r="O22" s="19" t="s">
        <v>32</v>
      </c>
      <c r="P22" s="204"/>
      <c r="R22" s="19" t="s">
        <v>32</v>
      </c>
      <c r="S22" s="202">
        <f>Conc1!S22</f>
        <v>11.23428</v>
      </c>
    </row>
    <row r="23" spans="2:19" ht="14.65" thickBot="1">
      <c r="B23" s="1"/>
      <c r="C23" s="5">
        <v>9</v>
      </c>
      <c r="D23" s="1">
        <v>72</v>
      </c>
      <c r="E23" s="1"/>
      <c r="F23" s="2" t="s">
        <v>2</v>
      </c>
      <c r="G23" s="2"/>
      <c r="H23" s="4"/>
      <c r="I23" s="35"/>
      <c r="J23" s="201">
        <f>Conc1!J23</f>
        <v>3.4799999999999998E-2</v>
      </c>
      <c r="K23" s="4"/>
      <c r="L23" s="2">
        <f t="shared" si="0"/>
        <v>-3.4799999999999998E-2</v>
      </c>
      <c r="M23" s="25">
        <f>NormStandard!O23*L23</f>
        <v>-2.5382272481006753E-2</v>
      </c>
      <c r="O23" s="21" t="s">
        <v>33</v>
      </c>
      <c r="P23" s="205"/>
      <c r="R23" s="21" t="s">
        <v>33</v>
      </c>
      <c r="S23" s="203">
        <f>Conc1!S23</f>
        <v>12.053459999999999</v>
      </c>
    </row>
    <row r="24" spans="2:19">
      <c r="B24" s="1"/>
      <c r="C24" s="5">
        <v>10</v>
      </c>
      <c r="D24" s="1">
        <v>81</v>
      </c>
      <c r="E24" s="1"/>
      <c r="F24" s="3" t="s">
        <v>1</v>
      </c>
      <c r="G24" s="4"/>
      <c r="H24" s="3">
        <f>P19</f>
        <v>0</v>
      </c>
      <c r="I24" s="35"/>
      <c r="J24" s="4"/>
      <c r="K24" s="3">
        <f>S19</f>
        <v>31.105070000000001</v>
      </c>
      <c r="L24" s="3">
        <f t="shared" si="0"/>
        <v>-31.105070000000001</v>
      </c>
      <c r="M24" s="64">
        <f>NormStandard!O24*L24</f>
        <v>-3.7253990630228481E-2</v>
      </c>
    </row>
    <row r="25" spans="2:19">
      <c r="B25" s="1"/>
      <c r="C25" s="5">
        <v>11</v>
      </c>
      <c r="D25" s="1">
        <v>90</v>
      </c>
      <c r="E25" s="1"/>
      <c r="F25" s="2" t="s">
        <v>2</v>
      </c>
      <c r="G25" s="2"/>
      <c r="H25" s="4"/>
      <c r="I25" s="35"/>
      <c r="J25" s="201">
        <f>Conc1!J25</f>
        <v>2.98E-2</v>
      </c>
      <c r="K25" s="4"/>
      <c r="L25" s="2">
        <f t="shared" si="0"/>
        <v>-2.98E-2</v>
      </c>
      <c r="M25" s="25">
        <f>NormStandard!O25*L25</f>
        <v>-2.4755093069014671E-2</v>
      </c>
    </row>
    <row r="26" spans="2:19">
      <c r="B26" s="1"/>
      <c r="C26" s="5">
        <v>12</v>
      </c>
      <c r="D26" s="1">
        <v>99</v>
      </c>
      <c r="E26" s="1"/>
      <c r="F26" s="3" t="s">
        <v>1</v>
      </c>
      <c r="G26" s="4"/>
      <c r="H26" s="3">
        <f>P20</f>
        <v>0</v>
      </c>
      <c r="I26" s="35"/>
      <c r="J26" s="4"/>
      <c r="K26" s="3">
        <f>S20</f>
        <v>4.7908999999999997</v>
      </c>
      <c r="L26" s="3">
        <f t="shared" si="0"/>
        <v>-4.7908999999999997</v>
      </c>
      <c r="M26" s="64">
        <f>NormStandard!O26*L26</f>
        <v>-2.7187138738160973E-2</v>
      </c>
    </row>
    <row r="27" spans="2:19">
      <c r="B27" s="1"/>
      <c r="C27" s="5">
        <v>13</v>
      </c>
      <c r="D27" s="1">
        <v>108</v>
      </c>
      <c r="E27" s="1"/>
      <c r="F27" s="31" t="s">
        <v>52</v>
      </c>
      <c r="G27" s="32" t="s">
        <v>53</v>
      </c>
      <c r="H27" s="4"/>
      <c r="I27" s="35"/>
      <c r="J27" s="32" t="s">
        <v>53</v>
      </c>
      <c r="K27" s="32" t="s">
        <v>53</v>
      </c>
      <c r="L27" s="32" t="s">
        <v>53</v>
      </c>
      <c r="M27" s="32" t="str">
        <f>NormStandard!O27</f>
        <v>---</v>
      </c>
    </row>
    <row r="28" spans="2:19">
      <c r="B28" s="1"/>
      <c r="C28" s="5">
        <v>14</v>
      </c>
      <c r="D28" s="1">
        <v>117</v>
      </c>
      <c r="E28" s="1"/>
      <c r="F28" s="3" t="s">
        <v>1</v>
      </c>
      <c r="G28" s="4"/>
      <c r="H28" s="3">
        <f>P21</f>
        <v>0</v>
      </c>
      <c r="I28" s="35"/>
      <c r="J28" s="4"/>
      <c r="K28" s="3">
        <f>S21</f>
        <v>7.7860899999999997</v>
      </c>
      <c r="L28" s="3">
        <f>G28+H28-J28-K28</f>
        <v>-7.7860899999999997</v>
      </c>
      <c r="M28" s="64">
        <f>NormStandard!O28*L28</f>
        <v>-2.1811207562331042E-2</v>
      </c>
    </row>
    <row r="29" spans="2:19">
      <c r="B29" s="1"/>
      <c r="C29" s="5">
        <v>15</v>
      </c>
      <c r="D29" s="1">
        <v>126</v>
      </c>
      <c r="E29" s="1"/>
      <c r="F29" s="2" t="s">
        <v>2</v>
      </c>
      <c r="G29" s="2"/>
      <c r="H29" s="4"/>
      <c r="I29" s="35"/>
      <c r="J29" s="201">
        <f>Conc1!J29</f>
        <v>4.1000000000000002E-2</v>
      </c>
      <c r="K29" s="4"/>
      <c r="L29" s="2">
        <f>G29+H29-J29-K29</f>
        <v>-4.1000000000000002E-2</v>
      </c>
      <c r="M29" s="25">
        <f>NormStandard!O29*L29</f>
        <v>-2.676299827147845E-2</v>
      </c>
    </row>
    <row r="30" spans="2:19">
      <c r="B30" s="1"/>
      <c r="C30" s="5">
        <v>16</v>
      </c>
      <c r="D30" s="1">
        <v>134</v>
      </c>
      <c r="E30" s="1"/>
      <c r="F30" s="3" t="s">
        <v>1</v>
      </c>
      <c r="G30" s="4"/>
      <c r="H30" s="3">
        <f>P22</f>
        <v>0</v>
      </c>
      <c r="I30" s="35"/>
      <c r="J30" s="4"/>
      <c r="K30" s="3">
        <f>S22</f>
        <v>11.23428</v>
      </c>
      <c r="L30" s="3">
        <f>G30+H30-J30-K30</f>
        <v>-11.23428</v>
      </c>
      <c r="M30" s="64">
        <f>NormStandard!O30*L30</f>
        <v>-2.1646022709733509E-2</v>
      </c>
    </row>
    <row r="31" spans="2:19">
      <c r="B31" s="1"/>
      <c r="C31" s="5">
        <v>17</v>
      </c>
      <c r="D31" s="1">
        <v>141</v>
      </c>
      <c r="E31" s="1"/>
      <c r="F31" s="2" t="s">
        <v>2</v>
      </c>
      <c r="G31" s="2"/>
      <c r="H31" s="4"/>
      <c r="I31" s="35"/>
      <c r="J31" s="201">
        <f>Conc1!J31</f>
        <v>2.0199999999999999E-2</v>
      </c>
      <c r="K31" s="4"/>
      <c r="L31" s="2">
        <f>G31+H31-J31-K31</f>
        <v>-2.0199999999999999E-2</v>
      </c>
      <c r="M31" s="25">
        <f>NormStandard!O31*L31</f>
        <v>-2.3568387241547997E-2</v>
      </c>
    </row>
    <row r="32" spans="2:19">
      <c r="B32" s="1"/>
      <c r="C32" s="5">
        <v>18</v>
      </c>
      <c r="D32" s="1">
        <v>147</v>
      </c>
      <c r="E32" s="1"/>
      <c r="F32" s="3" t="s">
        <v>1</v>
      </c>
      <c r="G32" s="4"/>
      <c r="H32" s="3">
        <f>P23</f>
        <v>0</v>
      </c>
      <c r="I32" s="35"/>
      <c r="J32" s="4"/>
      <c r="K32" s="3">
        <f>S23</f>
        <v>12.053459999999999</v>
      </c>
      <c r="L32" s="3">
        <f>G32+H32-J32-K32</f>
        <v>-12.053459999999999</v>
      </c>
      <c r="M32" s="64">
        <f>NormStandard!O32*L32</f>
        <v>-2.0038758173320216E-2</v>
      </c>
    </row>
  </sheetData>
  <mergeCells count="1">
    <mergeCell ref="M12:M13"/>
  </mergeCells>
  <pageMargins left="0.7" right="0.7" top="0.75" bottom="0.75" header="0.3" footer="0.3"/>
  <pageSetup orientation="portrait" horizontalDpi="4294967293" verticalDpi="4294967293"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55297-6D4B-440F-A799-62689F67BF7E}">
  <dimension ref="B1:S32"/>
  <sheetViews>
    <sheetView zoomScale="70" zoomScaleNormal="70" workbookViewId="0">
      <selection activeCell="P16" sqref="P16:P23"/>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82</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
      <c r="H15" s="4"/>
      <c r="I15" s="35"/>
      <c r="J15" s="201">
        <f>Conc1!J15</f>
        <v>5.2400000000000002E-2</v>
      </c>
      <c r="K15" s="4"/>
      <c r="L15" s="2">
        <f>G15+H15-J15-K15</f>
        <v>-5.2400000000000002E-2</v>
      </c>
      <c r="M15" s="25">
        <f>NormStandard!O15*L15</f>
        <v>-3.4310676032709111E-2</v>
      </c>
      <c r="O15" s="29" t="s">
        <v>34</v>
      </c>
      <c r="P15" s="30"/>
      <c r="Q15" s="11"/>
      <c r="R15" s="189"/>
      <c r="S15" s="190"/>
    </row>
    <row r="16" spans="2:19">
      <c r="B16" s="1"/>
      <c r="C16" s="5">
        <v>2</v>
      </c>
      <c r="D16" s="1">
        <v>28</v>
      </c>
      <c r="E16" s="1"/>
      <c r="F16" s="2" t="s">
        <v>2</v>
      </c>
      <c r="G16" s="2"/>
      <c r="H16" s="4"/>
      <c r="I16" s="35"/>
      <c r="J16" s="201">
        <f>Conc1!J16</f>
        <v>2.4400000000000002E-2</v>
      </c>
      <c r="K16" s="4"/>
      <c r="L16" s="2">
        <f>G16+H16-J16-K16</f>
        <v>-2.4400000000000002E-2</v>
      </c>
      <c r="M16" s="25">
        <f>NormStandard!O16*L16</f>
        <v>-2.595161821544105E-2</v>
      </c>
      <c r="O16" s="19" t="s">
        <v>26</v>
      </c>
      <c r="P16" s="204"/>
      <c r="R16" s="19" t="s">
        <v>26</v>
      </c>
      <c r="S16" s="202">
        <f>Conc1!S16</f>
        <v>13.064679999999999</v>
      </c>
    </row>
    <row r="17" spans="2:19">
      <c r="B17" s="1"/>
      <c r="C17" s="5">
        <v>3</v>
      </c>
      <c r="D17" s="1">
        <v>32</v>
      </c>
      <c r="E17" s="1"/>
      <c r="F17" s="2" t="s">
        <v>2</v>
      </c>
      <c r="G17" s="2"/>
      <c r="H17" s="4"/>
      <c r="I17" s="35"/>
      <c r="J17" s="201">
        <f>Conc1!J17</f>
        <v>2.8500000000000001E-2</v>
      </c>
      <c r="K17" s="4"/>
      <c r="L17" s="2">
        <f>G17+H17-J17-K17</f>
        <v>-2.8500000000000001E-2</v>
      </c>
      <c r="M17" s="25">
        <f>NormStandard!O17*L17</f>
        <v>-2.4217289807347407E-2</v>
      </c>
      <c r="O17" s="19" t="s">
        <v>27</v>
      </c>
      <c r="P17" s="204"/>
      <c r="R17" s="19" t="s">
        <v>27</v>
      </c>
      <c r="S17" s="202">
        <f>Conc1!S17</f>
        <v>20.952549999999999</v>
      </c>
    </row>
    <row r="18" spans="2:19">
      <c r="B18" s="1"/>
      <c r="C18" s="5">
        <v>4</v>
      </c>
      <c r="D18" s="1">
        <v>38</v>
      </c>
      <c r="E18" s="1"/>
      <c r="F18" s="31" t="s">
        <v>52</v>
      </c>
      <c r="G18" s="32" t="s">
        <v>53</v>
      </c>
      <c r="H18" s="4"/>
      <c r="I18" s="35"/>
      <c r="J18" s="32" t="s">
        <v>53</v>
      </c>
      <c r="K18" s="4"/>
      <c r="L18" s="32" t="s">
        <v>53</v>
      </c>
      <c r="M18" s="32" t="str">
        <f>NormStandard!O18</f>
        <v>---</v>
      </c>
      <c r="O18" s="19" t="s">
        <v>28</v>
      </c>
      <c r="P18" s="204"/>
      <c r="R18" s="19" t="s">
        <v>28</v>
      </c>
      <c r="S18" s="202">
        <f>Conc1!S18</f>
        <v>16.207039999999999</v>
      </c>
    </row>
    <row r="19" spans="2:19">
      <c r="B19" s="1"/>
      <c r="C19" s="5">
        <v>5</v>
      </c>
      <c r="D19" s="1">
        <v>44</v>
      </c>
      <c r="E19" s="1"/>
      <c r="F19" s="3" t="s">
        <v>1</v>
      </c>
      <c r="G19" s="4"/>
      <c r="H19" s="3">
        <f>P16</f>
        <v>0</v>
      </c>
      <c r="I19" s="35"/>
      <c r="J19" s="4"/>
      <c r="K19" s="3">
        <f>S16</f>
        <v>13.064679999999999</v>
      </c>
      <c r="L19" s="3">
        <f t="shared" ref="L19:L26" si="0">G19+H19-J19-K19</f>
        <v>-13.064679999999999</v>
      </c>
      <c r="M19" s="64">
        <f>NormStandard!O19*L19</f>
        <v>-1.9565122773967943E-2</v>
      </c>
      <c r="O19" s="19" t="s">
        <v>29</v>
      </c>
      <c r="P19" s="204"/>
      <c r="R19" s="19" t="s">
        <v>29</v>
      </c>
      <c r="S19" s="202">
        <f>Conc1!S19</f>
        <v>31.105070000000001</v>
      </c>
    </row>
    <row r="20" spans="2:19">
      <c r="B20" s="1"/>
      <c r="C20" s="5">
        <v>6</v>
      </c>
      <c r="D20" s="1">
        <v>50</v>
      </c>
      <c r="E20" s="1"/>
      <c r="F20" s="3" t="s">
        <v>1</v>
      </c>
      <c r="G20" s="4"/>
      <c r="H20" s="3">
        <f>P17</f>
        <v>0</v>
      </c>
      <c r="I20" s="35"/>
      <c r="J20" s="4"/>
      <c r="K20" s="3">
        <f>S17</f>
        <v>20.952549999999999</v>
      </c>
      <c r="L20" s="3">
        <f t="shared" si="0"/>
        <v>-20.952549999999999</v>
      </c>
      <c r="M20" s="64">
        <f>NormStandard!O20*L20</f>
        <v>-1.6000877826111037E-2</v>
      </c>
      <c r="O20" s="19" t="s">
        <v>30</v>
      </c>
      <c r="P20" s="204"/>
      <c r="R20" s="19" t="s">
        <v>30</v>
      </c>
      <c r="S20" s="202">
        <f>Conc1!S20</f>
        <v>4.7908999999999997</v>
      </c>
    </row>
    <row r="21" spans="2:19">
      <c r="B21" s="1"/>
      <c r="C21" s="5">
        <v>7</v>
      </c>
      <c r="D21" s="1">
        <v>57</v>
      </c>
      <c r="E21" s="1"/>
      <c r="F21" s="2" t="s">
        <v>2</v>
      </c>
      <c r="G21" s="2"/>
      <c r="H21" s="4"/>
      <c r="I21" s="35"/>
      <c r="J21" s="201">
        <f>Conc1!J21</f>
        <v>4.48E-2</v>
      </c>
      <c r="K21" s="4"/>
      <c r="L21" s="2">
        <f t="shared" si="0"/>
        <v>-4.48E-2</v>
      </c>
      <c r="M21" s="25">
        <f>NormStandard!O21*L21</f>
        <v>-2.8079242019140454E-2</v>
      </c>
      <c r="O21" s="19" t="s">
        <v>31</v>
      </c>
      <c r="P21" s="204"/>
      <c r="R21" s="19" t="s">
        <v>31</v>
      </c>
      <c r="S21" s="202">
        <f>Conc1!S21</f>
        <v>7.7860899999999997</v>
      </c>
    </row>
    <row r="22" spans="2:19">
      <c r="B22" s="1"/>
      <c r="C22" s="5">
        <v>8</v>
      </c>
      <c r="D22" s="1">
        <v>64</v>
      </c>
      <c r="E22" s="1"/>
      <c r="F22" s="3" t="s">
        <v>1</v>
      </c>
      <c r="G22" s="4"/>
      <c r="H22" s="3">
        <f>P18</f>
        <v>0</v>
      </c>
      <c r="I22" s="35"/>
      <c r="J22" s="4"/>
      <c r="K22" s="3">
        <f>S18</f>
        <v>16.207039999999999</v>
      </c>
      <c r="L22" s="3">
        <f t="shared" si="0"/>
        <v>-16.207039999999999</v>
      </c>
      <c r="M22" s="64">
        <f>NormStandard!O22*L22</f>
        <v>-2.0466544209998459E-2</v>
      </c>
      <c r="O22" s="19" t="s">
        <v>32</v>
      </c>
      <c r="P22" s="204"/>
      <c r="R22" s="19" t="s">
        <v>32</v>
      </c>
      <c r="S22" s="202">
        <f>Conc1!S22</f>
        <v>11.23428</v>
      </c>
    </row>
    <row r="23" spans="2:19" ht="14.65" thickBot="1">
      <c r="B23" s="1"/>
      <c r="C23" s="5">
        <v>9</v>
      </c>
      <c r="D23" s="1">
        <v>72</v>
      </c>
      <c r="E23" s="1"/>
      <c r="F23" s="2" t="s">
        <v>2</v>
      </c>
      <c r="G23" s="2"/>
      <c r="H23" s="4"/>
      <c r="I23" s="35"/>
      <c r="J23" s="201">
        <f>Conc1!J23</f>
        <v>3.4799999999999998E-2</v>
      </c>
      <c r="K23" s="4"/>
      <c r="L23" s="2">
        <f t="shared" si="0"/>
        <v>-3.4799999999999998E-2</v>
      </c>
      <c r="M23" s="25">
        <f>NormStandard!O23*L23</f>
        <v>-2.5382272481006753E-2</v>
      </c>
      <c r="O23" s="21" t="s">
        <v>33</v>
      </c>
      <c r="P23" s="205"/>
      <c r="R23" s="21" t="s">
        <v>33</v>
      </c>
      <c r="S23" s="203">
        <f>Conc1!S23</f>
        <v>12.053459999999999</v>
      </c>
    </row>
    <row r="24" spans="2:19">
      <c r="B24" s="1"/>
      <c r="C24" s="5">
        <v>10</v>
      </c>
      <c r="D24" s="1">
        <v>81</v>
      </c>
      <c r="E24" s="1"/>
      <c r="F24" s="3" t="s">
        <v>1</v>
      </c>
      <c r="G24" s="4"/>
      <c r="H24" s="3">
        <f>P19</f>
        <v>0</v>
      </c>
      <c r="I24" s="35"/>
      <c r="J24" s="4"/>
      <c r="K24" s="3">
        <f>S19</f>
        <v>31.105070000000001</v>
      </c>
      <c r="L24" s="3">
        <f t="shared" si="0"/>
        <v>-31.105070000000001</v>
      </c>
      <c r="M24" s="64">
        <f>NormStandard!O24*L24</f>
        <v>-3.7253990630228481E-2</v>
      </c>
    </row>
    <row r="25" spans="2:19">
      <c r="B25" s="1"/>
      <c r="C25" s="5">
        <v>11</v>
      </c>
      <c r="D25" s="1">
        <v>90</v>
      </c>
      <c r="E25" s="1"/>
      <c r="F25" s="2" t="s">
        <v>2</v>
      </c>
      <c r="G25" s="2"/>
      <c r="H25" s="4"/>
      <c r="I25" s="35"/>
      <c r="J25" s="201">
        <f>Conc1!J25</f>
        <v>2.98E-2</v>
      </c>
      <c r="K25" s="4"/>
      <c r="L25" s="2">
        <f t="shared" si="0"/>
        <v>-2.98E-2</v>
      </c>
      <c r="M25" s="25">
        <f>NormStandard!O25*L25</f>
        <v>-2.4755093069014671E-2</v>
      </c>
    </row>
    <row r="26" spans="2:19">
      <c r="B26" s="1"/>
      <c r="C26" s="5">
        <v>12</v>
      </c>
      <c r="D26" s="1">
        <v>99</v>
      </c>
      <c r="E26" s="1"/>
      <c r="F26" s="3" t="s">
        <v>1</v>
      </c>
      <c r="G26" s="4"/>
      <c r="H26" s="3">
        <f>P20</f>
        <v>0</v>
      </c>
      <c r="I26" s="35"/>
      <c r="J26" s="4"/>
      <c r="K26" s="3">
        <f>S20</f>
        <v>4.7908999999999997</v>
      </c>
      <c r="L26" s="3">
        <f t="shared" si="0"/>
        <v>-4.7908999999999997</v>
      </c>
      <c r="M26" s="64">
        <f>NormStandard!O26*L26</f>
        <v>-2.7187138738160973E-2</v>
      </c>
    </row>
    <row r="27" spans="2:19">
      <c r="B27" s="1"/>
      <c r="C27" s="5">
        <v>13</v>
      </c>
      <c r="D27" s="1">
        <v>108</v>
      </c>
      <c r="E27" s="1"/>
      <c r="F27" s="31" t="s">
        <v>52</v>
      </c>
      <c r="G27" s="32" t="s">
        <v>53</v>
      </c>
      <c r="H27" s="4"/>
      <c r="I27" s="35"/>
      <c r="J27" s="32" t="s">
        <v>53</v>
      </c>
      <c r="K27" s="32" t="s">
        <v>53</v>
      </c>
      <c r="L27" s="32" t="s">
        <v>53</v>
      </c>
      <c r="M27" s="32" t="str">
        <f>NormStandard!O27</f>
        <v>---</v>
      </c>
    </row>
    <row r="28" spans="2:19">
      <c r="B28" s="1"/>
      <c r="C28" s="5">
        <v>14</v>
      </c>
      <c r="D28" s="1">
        <v>117</v>
      </c>
      <c r="E28" s="1"/>
      <c r="F28" s="3" t="s">
        <v>1</v>
      </c>
      <c r="G28" s="4"/>
      <c r="H28" s="3">
        <f>P21</f>
        <v>0</v>
      </c>
      <c r="I28" s="35"/>
      <c r="J28" s="4"/>
      <c r="K28" s="3">
        <f>S21</f>
        <v>7.7860899999999997</v>
      </c>
      <c r="L28" s="3">
        <f>G28+H28-J28-K28</f>
        <v>-7.7860899999999997</v>
      </c>
      <c r="M28" s="64">
        <f>NormStandard!O28*L28</f>
        <v>-2.1811207562331042E-2</v>
      </c>
    </row>
    <row r="29" spans="2:19">
      <c r="B29" s="1"/>
      <c r="C29" s="5">
        <v>15</v>
      </c>
      <c r="D29" s="1">
        <v>126</v>
      </c>
      <c r="E29" s="1"/>
      <c r="F29" s="2" t="s">
        <v>2</v>
      </c>
      <c r="G29" s="2"/>
      <c r="H29" s="4"/>
      <c r="I29" s="35"/>
      <c r="J29" s="201">
        <f>Conc1!J29</f>
        <v>4.1000000000000002E-2</v>
      </c>
      <c r="K29" s="4"/>
      <c r="L29" s="2">
        <f>G29+H29-J29-K29</f>
        <v>-4.1000000000000002E-2</v>
      </c>
      <c r="M29" s="25">
        <f>NormStandard!O29*L29</f>
        <v>-2.676299827147845E-2</v>
      </c>
    </row>
    <row r="30" spans="2:19">
      <c r="B30" s="1"/>
      <c r="C30" s="5">
        <v>16</v>
      </c>
      <c r="D30" s="1">
        <v>134</v>
      </c>
      <c r="E30" s="1"/>
      <c r="F30" s="3" t="s">
        <v>1</v>
      </c>
      <c r="G30" s="4"/>
      <c r="H30" s="3">
        <f>P22</f>
        <v>0</v>
      </c>
      <c r="I30" s="35"/>
      <c r="J30" s="4"/>
      <c r="K30" s="3">
        <f>S22</f>
        <v>11.23428</v>
      </c>
      <c r="L30" s="3">
        <f>G30+H30-J30-K30</f>
        <v>-11.23428</v>
      </c>
      <c r="M30" s="64">
        <f>NormStandard!O30*L30</f>
        <v>-2.1646022709733509E-2</v>
      </c>
    </row>
    <row r="31" spans="2:19">
      <c r="B31" s="1"/>
      <c r="C31" s="5">
        <v>17</v>
      </c>
      <c r="D31" s="1">
        <v>141</v>
      </c>
      <c r="E31" s="1"/>
      <c r="F31" s="2" t="s">
        <v>2</v>
      </c>
      <c r="G31" s="2"/>
      <c r="H31" s="4"/>
      <c r="I31" s="35"/>
      <c r="J31" s="201">
        <f>Conc1!J31</f>
        <v>2.0199999999999999E-2</v>
      </c>
      <c r="K31" s="4"/>
      <c r="L31" s="2">
        <f>G31+H31-J31-K31</f>
        <v>-2.0199999999999999E-2</v>
      </c>
      <c r="M31" s="25">
        <f>NormStandard!O31*L31</f>
        <v>-2.3568387241547997E-2</v>
      </c>
    </row>
    <row r="32" spans="2:19">
      <c r="B32" s="1"/>
      <c r="C32" s="5">
        <v>18</v>
      </c>
      <c r="D32" s="1">
        <v>147</v>
      </c>
      <c r="E32" s="1"/>
      <c r="F32" s="3" t="s">
        <v>1</v>
      </c>
      <c r="G32" s="4"/>
      <c r="H32" s="3">
        <f>P23</f>
        <v>0</v>
      </c>
      <c r="I32" s="35"/>
      <c r="J32" s="4"/>
      <c r="K32" s="3">
        <f>S23</f>
        <v>12.053459999999999</v>
      </c>
      <c r="L32" s="3">
        <f>G32+H32-J32-K32</f>
        <v>-12.053459999999999</v>
      </c>
      <c r="M32" s="64">
        <f>NormStandard!O32*L32</f>
        <v>-2.0038758173320216E-2</v>
      </c>
    </row>
  </sheetData>
  <mergeCells count="1">
    <mergeCell ref="M12:M13"/>
  </mergeCells>
  <pageMargins left="0.7" right="0.7" top="0.75" bottom="0.75" header="0.3" footer="0.3"/>
  <pageSetup orientation="portrait" horizontalDpi="4294967293" verticalDpi="4294967293"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BA6BDD-5410-4DC1-9A42-F4BB367820FE}">
  <dimension ref="B1:S32"/>
  <sheetViews>
    <sheetView zoomScale="70" zoomScaleNormal="70" workbookViewId="0">
      <selection activeCell="R26" sqref="R26"/>
    </sheetView>
  </sheetViews>
  <sheetFormatPr defaultRowHeight="14.25"/>
  <cols>
    <col min="2" max="2" width="11" customWidth="1"/>
    <col min="4" max="4" width="13.59765625" customWidth="1"/>
    <col min="5" max="5" width="2" customWidth="1"/>
    <col min="6" max="6" width="11.86328125" customWidth="1"/>
    <col min="7" max="7" width="12.59765625" customWidth="1"/>
    <col min="8" max="8" width="14.86328125" customWidth="1"/>
    <col min="9" max="9" width="4" customWidth="1"/>
    <col min="10" max="10" width="12.3984375" customWidth="1"/>
    <col min="11" max="11" width="11" customWidth="1"/>
    <col min="13" max="13" width="10.3984375" customWidth="1"/>
    <col min="14" max="14" width="2.73046875" customWidth="1"/>
    <col min="16" max="16" width="12.59765625" customWidth="1"/>
    <col min="17" max="17" width="2.3984375" customWidth="1"/>
    <col min="19" max="19" width="12.265625" customWidth="1"/>
  </cols>
  <sheetData>
    <row r="1" spans="2:19" ht="14.65" thickBot="1"/>
    <row r="2" spans="2:19" ht="14.65" thickBot="1">
      <c r="B2" s="6" t="s">
        <v>66</v>
      </c>
      <c r="C2" s="6"/>
      <c r="D2" s="193">
        <f>Conc1!D2</f>
        <v>45456</v>
      </c>
      <c r="G2" s="179" t="s">
        <v>275</v>
      </c>
      <c r="H2" s="179"/>
      <c r="I2" s="179"/>
      <c r="J2" s="179"/>
      <c r="K2" s="179"/>
      <c r="L2" s="179"/>
    </row>
    <row r="3" spans="2:19" ht="14.65" thickBot="1">
      <c r="B3" s="6" t="s">
        <v>67</v>
      </c>
      <c r="C3" s="6"/>
      <c r="D3" s="40" t="s">
        <v>82</v>
      </c>
      <c r="G3" s="11"/>
      <c r="H3" s="11"/>
    </row>
    <row r="4" spans="2:19" ht="14.65" thickBot="1">
      <c r="B4" s="6" t="s">
        <v>54</v>
      </c>
      <c r="C4" s="1"/>
      <c r="D4" s="192" t="str">
        <f>Conc1!D4</f>
        <v>Russo</v>
      </c>
      <c r="E4" s="12"/>
      <c r="H4" s="11"/>
      <c r="I4" s="11"/>
    </row>
    <row r="5" spans="2:19" ht="15" thickBot="1">
      <c r="B5" s="6" t="s">
        <v>16</v>
      </c>
      <c r="C5" s="7" t="s">
        <v>15</v>
      </c>
      <c r="D5" s="1"/>
    </row>
    <row r="6" spans="2:19" ht="14.65" thickBot="1">
      <c r="B6" s="1"/>
      <c r="C6" s="5" t="s">
        <v>5</v>
      </c>
      <c r="D6" s="17" t="s">
        <v>6</v>
      </c>
      <c r="E6" s="194" t="str">
        <f>Conc1!E6</f>
        <v>Y</v>
      </c>
      <c r="F6" s="195">
        <f>Conc1!F6</f>
        <v>1.4999999999999999E-2</v>
      </c>
      <c r="G6" s="14"/>
      <c r="H6" s="65" t="s">
        <v>55</v>
      </c>
      <c r="I6" s="1"/>
    </row>
    <row r="7" spans="2:19" ht="16.149999999999999" thickBot="1">
      <c r="B7" s="1"/>
      <c r="C7" s="5" t="s">
        <v>9</v>
      </c>
      <c r="D7" s="1"/>
      <c r="E7" s="18"/>
      <c r="F7" s="195">
        <f>Conc1!F7</f>
        <v>4.99</v>
      </c>
      <c r="G7" s="14"/>
      <c r="H7" s="1" t="s">
        <v>20</v>
      </c>
      <c r="I7" s="13"/>
      <c r="J7" s="196">
        <f>Conc1!J7</f>
        <v>6</v>
      </c>
      <c r="K7" s="14" t="s">
        <v>18</v>
      </c>
    </row>
    <row r="8" spans="2:19" ht="16.149999999999999" thickBot="1">
      <c r="B8" s="1"/>
      <c r="C8" s="5" t="s">
        <v>10</v>
      </c>
      <c r="D8" s="1"/>
      <c r="E8" s="13"/>
      <c r="F8" s="195">
        <f>Conc1!F8</f>
        <v>15.1</v>
      </c>
      <c r="G8" s="14"/>
      <c r="H8" s="1" t="s">
        <v>21</v>
      </c>
      <c r="I8" s="1"/>
      <c r="J8" s="197">
        <f>J7*SQRT(3/5)</f>
        <v>4.6475800154489004</v>
      </c>
      <c r="K8" s="1" t="s">
        <v>18</v>
      </c>
    </row>
    <row r="9" spans="2:19" ht="16.149999999999999" thickBot="1">
      <c r="B9" s="1"/>
      <c r="C9" s="5" t="s">
        <v>11</v>
      </c>
      <c r="D9" s="1"/>
      <c r="E9" s="13"/>
      <c r="F9" s="195">
        <f>Conc1!F9</f>
        <v>-14.87</v>
      </c>
      <c r="G9" s="14"/>
      <c r="H9" s="1" t="s">
        <v>19</v>
      </c>
      <c r="I9" s="1"/>
      <c r="J9" s="198">
        <f>Lamnm/(Refin*J7)</f>
        <v>76.365663322185057</v>
      </c>
      <c r="K9" s="1"/>
    </row>
    <row r="10" spans="2:19" ht="16.149999999999999" thickBot="1">
      <c r="B10" s="1"/>
      <c r="C10" s="5" t="s">
        <v>12</v>
      </c>
      <c r="D10" s="1"/>
      <c r="E10" s="13"/>
      <c r="F10" s="195">
        <f>Conc1!F10</f>
        <v>78.599999999999994</v>
      </c>
      <c r="G10" s="14"/>
      <c r="H10" s="1" t="s">
        <v>44</v>
      </c>
      <c r="I10" s="1"/>
      <c r="J10" s="199">
        <f>J8*(4*PI()*Refin/Lamnm)*SIN(RADIANS(D32/2))</f>
        <v>0.12221494736579167</v>
      </c>
      <c r="K10" s="1"/>
    </row>
    <row r="11" spans="2:19" ht="16.5">
      <c r="B11" s="1"/>
      <c r="C11" s="5" t="s">
        <v>13</v>
      </c>
      <c r="D11" s="33"/>
      <c r="E11" s="13"/>
      <c r="F11" s="195">
        <f>Conc1!F11</f>
        <v>4.93</v>
      </c>
      <c r="G11" s="14"/>
      <c r="H11" s="1" t="s">
        <v>45</v>
      </c>
      <c r="I11" s="1"/>
      <c r="J11" s="200">
        <f>1-J10^2/3</f>
        <v>0.99502116888012559</v>
      </c>
      <c r="K11" s="1"/>
      <c r="M11" s="39"/>
      <c r="O11" s="39"/>
    </row>
    <row r="12" spans="2:19" ht="14.25" customHeight="1">
      <c r="M12" s="295" t="s">
        <v>308</v>
      </c>
    </row>
    <row r="13" spans="2:19" ht="15" thickBot="1">
      <c r="B13" s="6" t="s">
        <v>16</v>
      </c>
      <c r="C13" s="7" t="s">
        <v>14</v>
      </c>
      <c r="D13" s="7" t="s">
        <v>35</v>
      </c>
      <c r="E13" s="13"/>
      <c r="F13" s="24" t="s">
        <v>37</v>
      </c>
      <c r="G13" s="15" t="s">
        <v>101</v>
      </c>
      <c r="H13" s="6"/>
      <c r="I13" s="34"/>
      <c r="J13" s="6" t="s">
        <v>102</v>
      </c>
      <c r="K13" s="1"/>
      <c r="L13" s="7" t="s">
        <v>22</v>
      </c>
      <c r="M13" s="296"/>
    </row>
    <row r="14" spans="2:19">
      <c r="B14" s="1"/>
      <c r="C14" s="23" t="s">
        <v>36</v>
      </c>
      <c r="D14">
        <v>0</v>
      </c>
      <c r="E14" s="1"/>
      <c r="F14" s="16" t="s">
        <v>0</v>
      </c>
      <c r="G14" s="6" t="s">
        <v>103</v>
      </c>
      <c r="H14" s="6" t="s">
        <v>104</v>
      </c>
      <c r="I14" s="34"/>
      <c r="J14" s="6" t="s">
        <v>103</v>
      </c>
      <c r="K14" s="6" t="s">
        <v>105</v>
      </c>
      <c r="L14" s="1"/>
      <c r="M14" s="16"/>
      <c r="O14" s="27" t="s">
        <v>117</v>
      </c>
      <c r="P14" s="129"/>
      <c r="Q14" s="130"/>
      <c r="R14" s="191" t="s">
        <v>272</v>
      </c>
      <c r="S14" s="188"/>
    </row>
    <row r="15" spans="2:19">
      <c r="B15" s="1"/>
      <c r="C15" s="5">
        <v>1</v>
      </c>
      <c r="D15" s="1">
        <v>22.5</v>
      </c>
      <c r="E15" s="1"/>
      <c r="F15" s="2" t="s">
        <v>2</v>
      </c>
      <c r="G15" s="2"/>
      <c r="H15" s="4"/>
      <c r="I15" s="35"/>
      <c r="J15" s="201">
        <f>Conc1!J15</f>
        <v>5.2400000000000002E-2</v>
      </c>
      <c r="K15" s="4"/>
      <c r="L15" s="2">
        <f>G15+H15-J15-K15</f>
        <v>-5.2400000000000002E-2</v>
      </c>
      <c r="M15" s="25">
        <f>NormStandard!O15*L15</f>
        <v>-3.4310676032709111E-2</v>
      </c>
      <c r="O15" s="29" t="s">
        <v>34</v>
      </c>
      <c r="P15" s="30"/>
      <c r="Q15" s="11"/>
      <c r="R15" s="189"/>
      <c r="S15" s="190"/>
    </row>
    <row r="16" spans="2:19">
      <c r="B16" s="1"/>
      <c r="C16" s="5">
        <v>2</v>
      </c>
      <c r="D16" s="1">
        <v>28</v>
      </c>
      <c r="E16" s="1"/>
      <c r="F16" s="2" t="s">
        <v>2</v>
      </c>
      <c r="G16" s="2"/>
      <c r="H16" s="4"/>
      <c r="I16" s="35"/>
      <c r="J16" s="201">
        <f>Conc1!J16</f>
        <v>2.4400000000000002E-2</v>
      </c>
      <c r="K16" s="4"/>
      <c r="L16" s="2">
        <f>G16+H16-J16-K16</f>
        <v>-2.4400000000000002E-2</v>
      </c>
      <c r="M16" s="25">
        <f>NormStandard!O16*L16</f>
        <v>-2.595161821544105E-2</v>
      </c>
      <c r="O16" s="19" t="s">
        <v>26</v>
      </c>
      <c r="P16" s="204"/>
      <c r="R16" s="19" t="s">
        <v>26</v>
      </c>
      <c r="S16" s="202">
        <f>Conc1!S16</f>
        <v>13.064679999999999</v>
      </c>
    </row>
    <row r="17" spans="2:19">
      <c r="B17" s="1"/>
      <c r="C17" s="5">
        <v>3</v>
      </c>
      <c r="D17" s="1">
        <v>32</v>
      </c>
      <c r="E17" s="1"/>
      <c r="F17" s="2" t="s">
        <v>2</v>
      </c>
      <c r="G17" s="2"/>
      <c r="H17" s="4"/>
      <c r="I17" s="35"/>
      <c r="J17" s="201">
        <f>Conc1!J17</f>
        <v>2.8500000000000001E-2</v>
      </c>
      <c r="K17" s="4"/>
      <c r="L17" s="2">
        <f>G17+H17-J17-K17</f>
        <v>-2.8500000000000001E-2</v>
      </c>
      <c r="M17" s="25">
        <f>NormStandard!O17*L17</f>
        <v>-2.4217289807347407E-2</v>
      </c>
      <c r="O17" s="19" t="s">
        <v>27</v>
      </c>
      <c r="P17" s="204"/>
      <c r="R17" s="19" t="s">
        <v>27</v>
      </c>
      <c r="S17" s="202">
        <f>Conc1!S17</f>
        <v>20.952549999999999</v>
      </c>
    </row>
    <row r="18" spans="2:19">
      <c r="B18" s="1"/>
      <c r="C18" s="5">
        <v>4</v>
      </c>
      <c r="D18" s="1">
        <v>38</v>
      </c>
      <c r="E18" s="1"/>
      <c r="F18" s="31" t="s">
        <v>52</v>
      </c>
      <c r="G18" s="32" t="s">
        <v>53</v>
      </c>
      <c r="H18" s="4"/>
      <c r="I18" s="35"/>
      <c r="J18" s="32" t="s">
        <v>53</v>
      </c>
      <c r="K18" s="4"/>
      <c r="L18" s="32" t="s">
        <v>53</v>
      </c>
      <c r="M18" s="32" t="str">
        <f>NormStandard!O18</f>
        <v>---</v>
      </c>
      <c r="O18" s="19" t="s">
        <v>28</v>
      </c>
      <c r="P18" s="204"/>
      <c r="R18" s="19" t="s">
        <v>28</v>
      </c>
      <c r="S18" s="202">
        <f>Conc1!S18</f>
        <v>16.207039999999999</v>
      </c>
    </row>
    <row r="19" spans="2:19">
      <c r="B19" s="1"/>
      <c r="C19" s="5">
        <v>5</v>
      </c>
      <c r="D19" s="1">
        <v>44</v>
      </c>
      <c r="E19" s="1"/>
      <c r="F19" s="3" t="s">
        <v>1</v>
      </c>
      <c r="G19" s="4"/>
      <c r="H19" s="3">
        <f>P16</f>
        <v>0</v>
      </c>
      <c r="I19" s="35"/>
      <c r="J19" s="4"/>
      <c r="K19" s="3">
        <f>S16</f>
        <v>13.064679999999999</v>
      </c>
      <c r="L19" s="3">
        <f t="shared" ref="L19:L26" si="0">G19+H19-J19-K19</f>
        <v>-13.064679999999999</v>
      </c>
      <c r="M19" s="64">
        <f>NormStandard!O19*L19</f>
        <v>-1.9565122773967943E-2</v>
      </c>
      <c r="O19" s="19" t="s">
        <v>29</v>
      </c>
      <c r="P19" s="204"/>
      <c r="R19" s="19" t="s">
        <v>29</v>
      </c>
      <c r="S19" s="202">
        <f>Conc1!S19</f>
        <v>31.105070000000001</v>
      </c>
    </row>
    <row r="20" spans="2:19">
      <c r="B20" s="1"/>
      <c r="C20" s="5">
        <v>6</v>
      </c>
      <c r="D20" s="1">
        <v>50</v>
      </c>
      <c r="E20" s="1"/>
      <c r="F20" s="3" t="s">
        <v>1</v>
      </c>
      <c r="G20" s="4"/>
      <c r="H20" s="3">
        <f>P17</f>
        <v>0</v>
      </c>
      <c r="I20" s="35"/>
      <c r="J20" s="4"/>
      <c r="K20" s="3">
        <f>S17</f>
        <v>20.952549999999999</v>
      </c>
      <c r="L20" s="3">
        <f t="shared" si="0"/>
        <v>-20.952549999999999</v>
      </c>
      <c r="M20" s="64">
        <f>NormStandard!O20*L20</f>
        <v>-1.6000877826111037E-2</v>
      </c>
      <c r="O20" s="19" t="s">
        <v>30</v>
      </c>
      <c r="P20" s="204"/>
      <c r="R20" s="19" t="s">
        <v>30</v>
      </c>
      <c r="S20" s="202">
        <f>Conc1!S20</f>
        <v>4.7908999999999997</v>
      </c>
    </row>
    <row r="21" spans="2:19">
      <c r="B21" s="1"/>
      <c r="C21" s="5">
        <v>7</v>
      </c>
      <c r="D21" s="1">
        <v>57</v>
      </c>
      <c r="E21" s="1"/>
      <c r="F21" s="2" t="s">
        <v>2</v>
      </c>
      <c r="G21" s="2"/>
      <c r="H21" s="4"/>
      <c r="I21" s="35"/>
      <c r="J21" s="201">
        <f>Conc1!J21</f>
        <v>4.48E-2</v>
      </c>
      <c r="K21" s="4"/>
      <c r="L21" s="2">
        <f t="shared" si="0"/>
        <v>-4.48E-2</v>
      </c>
      <c r="M21" s="25">
        <f>NormStandard!O21*L21</f>
        <v>-2.8079242019140454E-2</v>
      </c>
      <c r="O21" s="19" t="s">
        <v>31</v>
      </c>
      <c r="P21" s="204"/>
      <c r="R21" s="19" t="s">
        <v>31</v>
      </c>
      <c r="S21" s="202">
        <f>Conc1!S21</f>
        <v>7.7860899999999997</v>
      </c>
    </row>
    <row r="22" spans="2:19">
      <c r="B22" s="1"/>
      <c r="C22" s="5">
        <v>8</v>
      </c>
      <c r="D22" s="1">
        <v>64</v>
      </c>
      <c r="E22" s="1"/>
      <c r="F22" s="3" t="s">
        <v>1</v>
      </c>
      <c r="G22" s="4"/>
      <c r="H22" s="3">
        <f>P18</f>
        <v>0</v>
      </c>
      <c r="I22" s="35"/>
      <c r="J22" s="4"/>
      <c r="K22" s="3">
        <f>S18</f>
        <v>16.207039999999999</v>
      </c>
      <c r="L22" s="3">
        <f t="shared" si="0"/>
        <v>-16.207039999999999</v>
      </c>
      <c r="M22" s="64">
        <f>NormStandard!O22*L22</f>
        <v>-2.0466544209998459E-2</v>
      </c>
      <c r="O22" s="19" t="s">
        <v>32</v>
      </c>
      <c r="P22" s="204"/>
      <c r="R22" s="19" t="s">
        <v>32</v>
      </c>
      <c r="S22" s="202">
        <f>Conc1!S22</f>
        <v>11.23428</v>
      </c>
    </row>
    <row r="23" spans="2:19" ht="14.65" thickBot="1">
      <c r="B23" s="1"/>
      <c r="C23" s="5">
        <v>9</v>
      </c>
      <c r="D23" s="1">
        <v>72</v>
      </c>
      <c r="E23" s="1"/>
      <c r="F23" s="2" t="s">
        <v>2</v>
      </c>
      <c r="G23" s="2"/>
      <c r="H23" s="4"/>
      <c r="I23" s="35"/>
      <c r="J23" s="201">
        <f>Conc1!J23</f>
        <v>3.4799999999999998E-2</v>
      </c>
      <c r="K23" s="4"/>
      <c r="L23" s="2">
        <f t="shared" si="0"/>
        <v>-3.4799999999999998E-2</v>
      </c>
      <c r="M23" s="25">
        <f>NormStandard!O23*L23</f>
        <v>-2.5382272481006753E-2</v>
      </c>
      <c r="O23" s="21" t="s">
        <v>33</v>
      </c>
      <c r="P23" s="205"/>
      <c r="R23" s="21" t="s">
        <v>33</v>
      </c>
      <c r="S23" s="203">
        <f>Conc1!S23</f>
        <v>12.053459999999999</v>
      </c>
    </row>
    <row r="24" spans="2:19">
      <c r="B24" s="1"/>
      <c r="C24" s="5">
        <v>10</v>
      </c>
      <c r="D24" s="1">
        <v>81</v>
      </c>
      <c r="E24" s="1"/>
      <c r="F24" s="3" t="s">
        <v>1</v>
      </c>
      <c r="G24" s="4"/>
      <c r="H24" s="3">
        <f>P19</f>
        <v>0</v>
      </c>
      <c r="I24" s="35"/>
      <c r="J24" s="4"/>
      <c r="K24" s="3">
        <f>S19</f>
        <v>31.105070000000001</v>
      </c>
      <c r="L24" s="3">
        <f t="shared" si="0"/>
        <v>-31.105070000000001</v>
      </c>
      <c r="M24" s="64">
        <f>NormStandard!O24*L24</f>
        <v>-3.7253990630228481E-2</v>
      </c>
    </row>
    <row r="25" spans="2:19">
      <c r="B25" s="1"/>
      <c r="C25" s="5">
        <v>11</v>
      </c>
      <c r="D25" s="1">
        <v>90</v>
      </c>
      <c r="E25" s="1"/>
      <c r="F25" s="2" t="s">
        <v>2</v>
      </c>
      <c r="G25" s="2"/>
      <c r="H25" s="4"/>
      <c r="I25" s="35"/>
      <c r="J25" s="201">
        <f>Conc1!J25</f>
        <v>2.98E-2</v>
      </c>
      <c r="K25" s="4"/>
      <c r="L25" s="2">
        <f t="shared" si="0"/>
        <v>-2.98E-2</v>
      </c>
      <c r="M25" s="25">
        <f>NormStandard!O25*L25</f>
        <v>-2.4755093069014671E-2</v>
      </c>
    </row>
    <row r="26" spans="2:19">
      <c r="B26" s="1"/>
      <c r="C26" s="5">
        <v>12</v>
      </c>
      <c r="D26" s="1">
        <v>99</v>
      </c>
      <c r="E26" s="1"/>
      <c r="F26" s="3" t="s">
        <v>1</v>
      </c>
      <c r="G26" s="4"/>
      <c r="H26" s="3">
        <f>P20</f>
        <v>0</v>
      </c>
      <c r="I26" s="35"/>
      <c r="J26" s="4"/>
      <c r="K26" s="3">
        <f>S20</f>
        <v>4.7908999999999997</v>
      </c>
      <c r="L26" s="3">
        <f t="shared" si="0"/>
        <v>-4.7908999999999997</v>
      </c>
      <c r="M26" s="64">
        <f>NormStandard!O26*L26</f>
        <v>-2.7187138738160973E-2</v>
      </c>
    </row>
    <row r="27" spans="2:19">
      <c r="B27" s="1"/>
      <c r="C27" s="5">
        <v>13</v>
      </c>
      <c r="D27" s="1">
        <v>108</v>
      </c>
      <c r="E27" s="1"/>
      <c r="F27" s="31" t="s">
        <v>52</v>
      </c>
      <c r="G27" s="32" t="s">
        <v>53</v>
      </c>
      <c r="H27" s="4"/>
      <c r="I27" s="35"/>
      <c r="J27" s="32" t="s">
        <v>53</v>
      </c>
      <c r="K27" s="32" t="s">
        <v>53</v>
      </c>
      <c r="L27" s="32" t="s">
        <v>53</v>
      </c>
      <c r="M27" s="32" t="str">
        <f>NormStandard!O27</f>
        <v>---</v>
      </c>
    </row>
    <row r="28" spans="2:19">
      <c r="B28" s="1"/>
      <c r="C28" s="5">
        <v>14</v>
      </c>
      <c r="D28" s="1">
        <v>117</v>
      </c>
      <c r="E28" s="1"/>
      <c r="F28" s="3" t="s">
        <v>1</v>
      </c>
      <c r="G28" s="4"/>
      <c r="H28" s="3">
        <f>P21</f>
        <v>0</v>
      </c>
      <c r="I28" s="35"/>
      <c r="J28" s="4"/>
      <c r="K28" s="3">
        <f>S21</f>
        <v>7.7860899999999997</v>
      </c>
      <c r="L28" s="3">
        <f>G28+H28-J28-K28</f>
        <v>-7.7860899999999997</v>
      </c>
      <c r="M28" s="64">
        <f>NormStandard!O28*L28</f>
        <v>-2.1811207562331042E-2</v>
      </c>
    </row>
    <row r="29" spans="2:19">
      <c r="B29" s="1"/>
      <c r="C29" s="5">
        <v>15</v>
      </c>
      <c r="D29" s="1">
        <v>126</v>
      </c>
      <c r="E29" s="1"/>
      <c r="F29" s="2" t="s">
        <v>2</v>
      </c>
      <c r="G29" s="2"/>
      <c r="H29" s="4"/>
      <c r="I29" s="35"/>
      <c r="J29" s="201">
        <f>Conc1!J29</f>
        <v>4.1000000000000002E-2</v>
      </c>
      <c r="K29" s="4"/>
      <c r="L29" s="2">
        <f>G29+H29-J29-K29</f>
        <v>-4.1000000000000002E-2</v>
      </c>
      <c r="M29" s="25">
        <f>NormStandard!O29*L29</f>
        <v>-2.676299827147845E-2</v>
      </c>
    </row>
    <row r="30" spans="2:19">
      <c r="B30" s="1"/>
      <c r="C30" s="5">
        <v>16</v>
      </c>
      <c r="D30" s="1">
        <v>134</v>
      </c>
      <c r="E30" s="1"/>
      <c r="F30" s="3" t="s">
        <v>1</v>
      </c>
      <c r="G30" s="4"/>
      <c r="H30" s="3">
        <f>P22</f>
        <v>0</v>
      </c>
      <c r="I30" s="35"/>
      <c r="J30" s="4"/>
      <c r="K30" s="3">
        <f>S22</f>
        <v>11.23428</v>
      </c>
      <c r="L30" s="3">
        <f>G30+H30-J30-K30</f>
        <v>-11.23428</v>
      </c>
      <c r="M30" s="64">
        <f>NormStandard!O30*L30</f>
        <v>-2.1646022709733509E-2</v>
      </c>
    </row>
    <row r="31" spans="2:19">
      <c r="B31" s="1"/>
      <c r="C31" s="5">
        <v>17</v>
      </c>
      <c r="D31" s="1">
        <v>141</v>
      </c>
      <c r="E31" s="1"/>
      <c r="F31" s="2" t="s">
        <v>2</v>
      </c>
      <c r="G31" s="2"/>
      <c r="H31" s="4"/>
      <c r="I31" s="35"/>
      <c r="J31" s="201">
        <f>Conc1!J31</f>
        <v>2.0199999999999999E-2</v>
      </c>
      <c r="K31" s="4"/>
      <c r="L31" s="2">
        <f>G31+H31-J31-K31</f>
        <v>-2.0199999999999999E-2</v>
      </c>
      <c r="M31" s="25">
        <f>NormStandard!O31*L31</f>
        <v>-2.3568387241547997E-2</v>
      </c>
    </row>
    <row r="32" spans="2:19">
      <c r="B32" s="1"/>
      <c r="C32" s="5">
        <v>18</v>
      </c>
      <c r="D32" s="1">
        <v>147</v>
      </c>
      <c r="E32" s="1"/>
      <c r="F32" s="3" t="s">
        <v>1</v>
      </c>
      <c r="G32" s="4"/>
      <c r="H32" s="3">
        <f>P23</f>
        <v>0</v>
      </c>
      <c r="I32" s="35"/>
      <c r="J32" s="4"/>
      <c r="K32" s="3">
        <f>S23</f>
        <v>12.053459999999999</v>
      </c>
      <c r="L32" s="3">
        <f>G32+H32-J32-K32</f>
        <v>-12.053459999999999</v>
      </c>
      <c r="M32" s="64">
        <f>NormStandard!O32*L32</f>
        <v>-2.0038758173320216E-2</v>
      </c>
    </row>
  </sheetData>
  <mergeCells count="1">
    <mergeCell ref="M12:M13"/>
  </mergeCells>
  <pageMargins left="0.7" right="0.7" top="0.75" bottom="0.75" header="0.3" footer="0.3"/>
  <pageSetup orientation="portrait" horizontalDpi="4294967293" verticalDpi="4294967293" r:id="rId1"/>
  <legacy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88B8F-7995-4491-A86F-195A6B626DF7}">
  <dimension ref="A1:BA79"/>
  <sheetViews>
    <sheetView zoomScale="55" zoomScaleNormal="55" workbookViewId="0">
      <selection activeCell="Y29" sqref="Y29"/>
    </sheetView>
  </sheetViews>
  <sheetFormatPr defaultRowHeight="14.25"/>
  <cols>
    <col min="2" max="2" width="11.73046875" customWidth="1"/>
    <col min="3" max="3" width="12.265625" customWidth="1"/>
    <col min="4" max="4" width="8.86328125" customWidth="1"/>
    <col min="5" max="5" width="12.265625" customWidth="1"/>
    <col min="6" max="6" width="12.86328125" customWidth="1"/>
    <col min="7" max="7" width="18.73046875" customWidth="1"/>
    <col min="8" max="8" width="12.265625" bestFit="1" customWidth="1"/>
    <col min="9" max="9" width="12.265625" customWidth="1"/>
    <col min="10" max="10" width="18.796875" customWidth="1"/>
    <col min="11" max="11" width="9" customWidth="1"/>
    <col min="12" max="12" width="3.1328125" customWidth="1"/>
    <col min="13" max="13" width="12.86328125" customWidth="1"/>
    <col min="27" max="27" width="6.19921875" customWidth="1"/>
    <col min="32" max="32" width="8.9296875" customWidth="1"/>
    <col min="33" max="33" width="10.19921875" customWidth="1"/>
    <col min="35" max="35" width="4.46484375" customWidth="1"/>
    <col min="36" max="36" width="1.9296875" customWidth="1"/>
    <col min="46" max="46" width="6.19921875" customWidth="1"/>
    <col min="47" max="47" width="10.53125" customWidth="1"/>
    <col min="52" max="52" width="9.9296875" customWidth="1"/>
  </cols>
  <sheetData>
    <row r="1" spans="1:53" ht="14.65" thickBot="1"/>
    <row r="2" spans="1:53">
      <c r="A2" s="207" t="s">
        <v>85</v>
      </c>
      <c r="B2" s="87" t="s">
        <v>83</v>
      </c>
    </row>
    <row r="3" spans="1:53" ht="14.65" thickBot="1">
      <c r="A3" s="208"/>
      <c r="B3" s="209" t="s">
        <v>84</v>
      </c>
    </row>
    <row r="5" spans="1:53" ht="14.65" thickBot="1">
      <c r="G5" s="124"/>
    </row>
    <row r="6" spans="1:53" ht="16.5">
      <c r="B6" s="128" t="s">
        <v>58</v>
      </c>
      <c r="C6" s="114" t="s">
        <v>35</v>
      </c>
      <c r="D6" s="114" t="s">
        <v>89</v>
      </c>
      <c r="E6" s="114" t="s">
        <v>90</v>
      </c>
      <c r="F6" s="114" t="s">
        <v>91</v>
      </c>
      <c r="G6" s="114" t="s">
        <v>99</v>
      </c>
      <c r="H6" s="115" t="s">
        <v>92</v>
      </c>
      <c r="I6" s="50"/>
      <c r="J6" s="50"/>
      <c r="AC6" s="70"/>
    </row>
    <row r="7" spans="1:53">
      <c r="B7" s="116">
        <f>Conc1!C15</f>
        <v>1</v>
      </c>
      <c r="C7" s="60">
        <f>Conc1!D15</f>
        <v>22.5</v>
      </c>
      <c r="D7" s="61">
        <f t="shared" ref="D7:D22" si="0">4*PI()*Refin*SIN(RADIANS(C7/2))/Lamcm</f>
        <v>53505.226980224332</v>
      </c>
      <c r="E7" s="61">
        <f t="shared" ref="E7:E22" si="1">D7*D7/10000000000</f>
        <v>0.28628093142053257</v>
      </c>
      <c r="F7" s="61">
        <f t="shared" ref="F7:F22" si="2">(D7/10000000)^2/0.0001</f>
        <v>0.28628093142053257</v>
      </c>
      <c r="G7" s="61">
        <f>Conc1!M15</f>
        <v>0.13606409312207923</v>
      </c>
      <c r="H7" s="117">
        <f t="shared" ref="H7:H22" si="3">LN(G7)</f>
        <v>-1.9946292313038425</v>
      </c>
      <c r="I7" s="50"/>
      <c r="J7" s="50"/>
    </row>
    <row r="8" spans="1:53">
      <c r="B8" s="116">
        <f>Conc1!C16</f>
        <v>2</v>
      </c>
      <c r="C8" s="60">
        <f>Conc1!D16</f>
        <v>28</v>
      </c>
      <c r="D8" s="61">
        <f t="shared" si="0"/>
        <v>66349.195602210661</v>
      </c>
      <c r="E8" s="61">
        <f t="shared" si="1"/>
        <v>0.44022157570604104</v>
      </c>
      <c r="F8" s="61">
        <f t="shared" si="2"/>
        <v>0.44022157570604104</v>
      </c>
      <c r="G8" s="61">
        <f>Conc1!M16</f>
        <v>6.4453609174415061E-2</v>
      </c>
      <c r="H8" s="117">
        <f t="shared" si="3"/>
        <v>-2.7418095515618335</v>
      </c>
      <c r="I8" s="50"/>
      <c r="J8" s="50"/>
    </row>
    <row r="9" spans="1:53">
      <c r="B9" s="116">
        <f>Conc1!C17</f>
        <v>3</v>
      </c>
      <c r="C9" s="60">
        <f>Conc1!D17</f>
        <v>32</v>
      </c>
      <c r="D9" s="61">
        <f t="shared" si="0"/>
        <v>75595.955426216213</v>
      </c>
      <c r="E9" s="61">
        <f t="shared" si="1"/>
        <v>0.57147484768024681</v>
      </c>
      <c r="F9" s="61">
        <f t="shared" si="2"/>
        <v>0.57147484768024681</v>
      </c>
      <c r="G9" s="61">
        <f>Conc1!M17</f>
        <v>5.8775787227165623E-2</v>
      </c>
      <c r="H9" s="117">
        <f t="shared" si="3"/>
        <v>-2.8340252907339085</v>
      </c>
      <c r="I9" s="50"/>
      <c r="J9" s="50"/>
    </row>
    <row r="10" spans="1:53">
      <c r="B10" s="118">
        <f>Conc1!C19</f>
        <v>5</v>
      </c>
      <c r="C10" s="62">
        <f>Conc1!D19</f>
        <v>44</v>
      </c>
      <c r="D10" s="63">
        <f t="shared" si="0"/>
        <v>102739.13437566617</v>
      </c>
      <c r="E10" s="63">
        <f t="shared" si="1"/>
        <v>1.0555329732261189</v>
      </c>
      <c r="F10" s="63">
        <f t="shared" si="2"/>
        <v>1.0555329732261189</v>
      </c>
      <c r="G10" s="62">
        <f>Conc1!M19</f>
        <v>5.794360892318115E-2</v>
      </c>
      <c r="H10" s="119">
        <f t="shared" si="3"/>
        <v>-2.8482850013321501</v>
      </c>
      <c r="I10" s="50"/>
      <c r="J10" s="50"/>
      <c r="AB10" s="66" t="s">
        <v>84</v>
      </c>
      <c r="AC10" s="67"/>
      <c r="AD10" s="67"/>
      <c r="AE10" s="67"/>
      <c r="AF10" s="71"/>
      <c r="AG10" s="66" t="s">
        <v>59</v>
      </c>
      <c r="AH10" s="67"/>
      <c r="AU10" s="72" t="s">
        <v>2</v>
      </c>
      <c r="AV10" s="67"/>
      <c r="AW10" s="67"/>
      <c r="AX10" s="67"/>
      <c r="AY10" s="67"/>
      <c r="AZ10" s="72" t="s">
        <v>59</v>
      </c>
      <c r="BA10" s="67"/>
    </row>
    <row r="11" spans="1:53" ht="16.5">
      <c r="B11" s="118">
        <f>Conc1!C20</f>
        <v>6</v>
      </c>
      <c r="C11" s="62">
        <f>Conc1!D20</f>
        <v>50</v>
      </c>
      <c r="D11" s="63">
        <f t="shared" si="0"/>
        <v>115906.75430098787</v>
      </c>
      <c r="E11" s="63">
        <f t="shared" si="1"/>
        <v>1.3434375692589571</v>
      </c>
      <c r="F11" s="63">
        <f t="shared" si="2"/>
        <v>1.3434375692589569</v>
      </c>
      <c r="G11" s="62">
        <f>Conc1!M20</f>
        <v>4.4209107602788129E-2</v>
      </c>
      <c r="H11" s="119">
        <f t="shared" si="3"/>
        <v>-3.1188244567630465</v>
      </c>
      <c r="I11" s="50"/>
      <c r="J11" s="50"/>
      <c r="AA11" s="68" t="s">
        <v>86</v>
      </c>
      <c r="AB11" s="66" t="s">
        <v>58</v>
      </c>
      <c r="AC11" s="69" t="s">
        <v>95</v>
      </c>
      <c r="AD11" s="66" t="s">
        <v>89</v>
      </c>
      <c r="AE11" s="66" t="s">
        <v>90</v>
      </c>
      <c r="AF11" s="66" t="s">
        <v>91</v>
      </c>
      <c r="AG11" s="66" t="s">
        <v>60</v>
      </c>
      <c r="AH11" s="66" t="s">
        <v>92</v>
      </c>
      <c r="AI11" s="50"/>
      <c r="AJ11" s="50"/>
      <c r="AT11" s="67" t="s">
        <v>86</v>
      </c>
      <c r="AU11" s="73" t="s">
        <v>58</v>
      </c>
      <c r="AV11" s="73" t="s">
        <v>35</v>
      </c>
      <c r="AW11" s="73" t="s">
        <v>89</v>
      </c>
      <c r="AX11" s="73" t="s">
        <v>90</v>
      </c>
      <c r="AY11" s="73" t="s">
        <v>91</v>
      </c>
      <c r="AZ11" s="72" t="s">
        <v>60</v>
      </c>
      <c r="BA11" s="72" t="s">
        <v>92</v>
      </c>
    </row>
    <row r="12" spans="1:53">
      <c r="B12" s="116">
        <f>Conc1!C21</f>
        <v>7</v>
      </c>
      <c r="C12" s="60">
        <f>Conc1!D21</f>
        <v>57</v>
      </c>
      <c r="D12" s="61">
        <f t="shared" si="0"/>
        <v>130864.96300509552</v>
      </c>
      <c r="E12" s="61">
        <f t="shared" si="1"/>
        <v>1.7125638542325019</v>
      </c>
      <c r="F12" s="61">
        <f t="shared" si="2"/>
        <v>1.7125638542325015</v>
      </c>
      <c r="G12" s="60">
        <f>Conc1!M21</f>
        <v>5.4654238930112668E-2</v>
      </c>
      <c r="H12" s="117">
        <f t="shared" si="3"/>
        <v>-2.9067285023152207</v>
      </c>
      <c r="I12" s="50"/>
      <c r="J12" s="50"/>
      <c r="AA12">
        <v>10</v>
      </c>
      <c r="AB12" s="59">
        <f t="shared" ref="AB12:AH12" si="4">B10</f>
        <v>5</v>
      </c>
      <c r="AC12" s="59">
        <f t="shared" si="4"/>
        <v>44</v>
      </c>
      <c r="AD12" s="59">
        <f t="shared" si="4"/>
        <v>102739.13437566617</v>
      </c>
      <c r="AE12" s="59">
        <f t="shared" si="4"/>
        <v>1.0555329732261189</v>
      </c>
      <c r="AF12" s="59">
        <f t="shared" si="4"/>
        <v>1.0555329732261189</v>
      </c>
      <c r="AG12" s="59">
        <f t="shared" si="4"/>
        <v>5.794360892318115E-2</v>
      </c>
      <c r="AH12" s="59">
        <f t="shared" si="4"/>
        <v>-2.8482850013321501</v>
      </c>
      <c r="AT12">
        <v>7</v>
      </c>
      <c r="AU12" s="60">
        <f>B7</f>
        <v>1</v>
      </c>
      <c r="AV12" s="60">
        <f t="shared" ref="AV12:BA12" si="5">C7</f>
        <v>22.5</v>
      </c>
      <c r="AW12" s="60">
        <f t="shared" si="5"/>
        <v>53505.226980224332</v>
      </c>
      <c r="AX12" s="60">
        <f t="shared" si="5"/>
        <v>0.28628093142053257</v>
      </c>
      <c r="AY12" s="60">
        <f t="shared" si="5"/>
        <v>0.28628093142053257</v>
      </c>
      <c r="AZ12" s="60">
        <f t="shared" si="5"/>
        <v>0.13606409312207923</v>
      </c>
      <c r="BA12" s="60">
        <f t="shared" si="5"/>
        <v>-1.9946292313038425</v>
      </c>
    </row>
    <row r="13" spans="1:53">
      <c r="B13" s="118">
        <f>Conc1!C22</f>
        <v>8</v>
      </c>
      <c r="C13" s="62">
        <f>Conc1!D22</f>
        <v>64</v>
      </c>
      <c r="D13" s="63">
        <f t="shared" si="0"/>
        <v>145334.99263816432</v>
      </c>
      <c r="E13" s="63">
        <f t="shared" si="1"/>
        <v>2.1122260085135278</v>
      </c>
      <c r="F13" s="63">
        <f t="shared" si="2"/>
        <v>2.1122260085135278</v>
      </c>
      <c r="G13" s="62">
        <f>Conc1!M22</f>
        <v>6.7373861113836697E-2</v>
      </c>
      <c r="H13" s="119">
        <f t="shared" si="3"/>
        <v>-2.6974981535865803</v>
      </c>
      <c r="I13" s="50"/>
      <c r="J13" s="50"/>
      <c r="AA13">
        <v>11</v>
      </c>
      <c r="AB13" s="59">
        <f>B11</f>
        <v>6</v>
      </c>
      <c r="AC13" s="59">
        <f t="shared" ref="AC13:AH13" si="6">C11</f>
        <v>50</v>
      </c>
      <c r="AD13" s="59">
        <f t="shared" si="6"/>
        <v>115906.75430098787</v>
      </c>
      <c r="AE13" s="59">
        <f t="shared" si="6"/>
        <v>1.3434375692589571</v>
      </c>
      <c r="AF13" s="59">
        <f t="shared" si="6"/>
        <v>1.3434375692589569</v>
      </c>
      <c r="AG13" s="59">
        <f t="shared" si="6"/>
        <v>4.4209107602788129E-2</v>
      </c>
      <c r="AH13" s="59">
        <f t="shared" si="6"/>
        <v>-3.1188244567630465</v>
      </c>
      <c r="AT13">
        <v>8</v>
      </c>
      <c r="AU13" s="60">
        <f>B8</f>
        <v>2</v>
      </c>
      <c r="AV13" s="60">
        <f t="shared" ref="AV13:BA13" si="7">C8</f>
        <v>28</v>
      </c>
      <c r="AW13" s="60">
        <f t="shared" si="7"/>
        <v>66349.195602210661</v>
      </c>
      <c r="AX13" s="60">
        <f t="shared" si="7"/>
        <v>0.44022157570604104</v>
      </c>
      <c r="AY13" s="60">
        <f t="shared" si="7"/>
        <v>0.44022157570604104</v>
      </c>
      <c r="AZ13" s="60">
        <f t="shared" si="7"/>
        <v>6.4453609174415061E-2</v>
      </c>
      <c r="BA13" s="60">
        <f t="shared" si="7"/>
        <v>-2.7418095515618335</v>
      </c>
    </row>
    <row r="14" spans="1:53">
      <c r="B14" s="116">
        <f>Conc1!C23</f>
        <v>9</v>
      </c>
      <c r="C14" s="60">
        <f>Conc1!D23</f>
        <v>72</v>
      </c>
      <c r="D14" s="61">
        <f t="shared" si="0"/>
        <v>161205.2459318676</v>
      </c>
      <c r="E14" s="61">
        <f t="shared" si="1"/>
        <v>2.5987131315953915</v>
      </c>
      <c r="F14" s="61">
        <f t="shared" si="2"/>
        <v>2.5987131315953915</v>
      </c>
      <c r="G14" s="60">
        <f>Conc1!M23</f>
        <v>5.995467810168837E-2</v>
      </c>
      <c r="H14" s="117">
        <f t="shared" si="3"/>
        <v>-2.8141663671637631</v>
      </c>
      <c r="I14" s="50"/>
      <c r="J14" s="50"/>
      <c r="AA14">
        <v>13</v>
      </c>
      <c r="AB14" s="59">
        <f>B13</f>
        <v>8</v>
      </c>
      <c r="AC14" s="59">
        <f t="shared" ref="AC14:AH14" si="8">C13</f>
        <v>64</v>
      </c>
      <c r="AD14" s="59">
        <f t="shared" si="8"/>
        <v>145334.99263816432</v>
      </c>
      <c r="AE14" s="59">
        <f t="shared" si="8"/>
        <v>2.1122260085135278</v>
      </c>
      <c r="AF14" s="59">
        <f t="shared" si="8"/>
        <v>2.1122260085135278</v>
      </c>
      <c r="AG14" s="59">
        <f t="shared" si="8"/>
        <v>6.7373861113836697E-2</v>
      </c>
      <c r="AH14" s="59">
        <f t="shared" si="8"/>
        <v>-2.6974981535865803</v>
      </c>
      <c r="AT14">
        <v>9</v>
      </c>
      <c r="AU14" s="60">
        <f>B9</f>
        <v>3</v>
      </c>
      <c r="AV14" s="60">
        <f t="shared" ref="AV14:BA14" si="9">C9</f>
        <v>32</v>
      </c>
      <c r="AW14" s="60">
        <f t="shared" si="9"/>
        <v>75595.955426216213</v>
      </c>
      <c r="AX14" s="60">
        <f t="shared" si="9"/>
        <v>0.57147484768024681</v>
      </c>
      <c r="AY14" s="60">
        <f t="shared" si="9"/>
        <v>0.57147484768024681</v>
      </c>
      <c r="AZ14" s="60">
        <f t="shared" si="9"/>
        <v>5.8775787227165623E-2</v>
      </c>
      <c r="BA14" s="60">
        <f t="shared" si="9"/>
        <v>-2.8340252907339085</v>
      </c>
    </row>
    <row r="15" spans="1:53">
      <c r="B15" s="118">
        <f>Conc1!C24</f>
        <v>10</v>
      </c>
      <c r="C15" s="62">
        <f>Conc1!D24</f>
        <v>81</v>
      </c>
      <c r="D15" s="63">
        <f t="shared" si="0"/>
        <v>178116.80701873807</v>
      </c>
      <c r="E15" s="63">
        <f t="shared" si="1"/>
        <v>3.1725596942550376</v>
      </c>
      <c r="F15" s="63">
        <f t="shared" si="2"/>
        <v>3.1725596942550371</v>
      </c>
      <c r="G15" s="62">
        <f>Conc1!M24</f>
        <v>7.38232782874884E-2</v>
      </c>
      <c r="H15" s="119">
        <f t="shared" si="3"/>
        <v>-2.6060811731616789</v>
      </c>
      <c r="I15" s="50"/>
      <c r="J15" s="50"/>
      <c r="AA15">
        <v>15</v>
      </c>
      <c r="AB15" s="59">
        <f>B15</f>
        <v>10</v>
      </c>
      <c r="AC15" s="59">
        <f t="shared" ref="AC15:AH15" si="10">C15</f>
        <v>81</v>
      </c>
      <c r="AD15" s="59">
        <f t="shared" si="10"/>
        <v>178116.80701873807</v>
      </c>
      <c r="AE15" s="59">
        <f t="shared" si="10"/>
        <v>3.1725596942550376</v>
      </c>
      <c r="AF15" s="59">
        <f t="shared" si="10"/>
        <v>3.1725596942550371</v>
      </c>
      <c r="AG15" s="59">
        <f t="shared" si="10"/>
        <v>7.38232782874884E-2</v>
      </c>
      <c r="AH15" s="59">
        <f t="shared" si="10"/>
        <v>-2.6060811731616789</v>
      </c>
      <c r="AT15">
        <v>12</v>
      </c>
      <c r="AU15" s="60">
        <f>B12</f>
        <v>7</v>
      </c>
      <c r="AV15" s="60">
        <f t="shared" ref="AV15:BA15" si="11">C12</f>
        <v>57</v>
      </c>
      <c r="AW15" s="60">
        <f t="shared" si="11"/>
        <v>130864.96300509552</v>
      </c>
      <c r="AX15" s="60">
        <f t="shared" si="11"/>
        <v>1.7125638542325019</v>
      </c>
      <c r="AY15" s="60">
        <f t="shared" si="11"/>
        <v>1.7125638542325015</v>
      </c>
      <c r="AZ15" s="60">
        <f t="shared" si="11"/>
        <v>5.4654238930112668E-2</v>
      </c>
      <c r="BA15" s="60">
        <f t="shared" si="11"/>
        <v>-2.9067285023152207</v>
      </c>
    </row>
    <row r="16" spans="1:53">
      <c r="B16" s="116">
        <f>Conc1!C25</f>
        <v>11</v>
      </c>
      <c r="C16" s="60">
        <f>Conc1!D25</f>
        <v>90</v>
      </c>
      <c r="D16" s="61">
        <f t="shared" si="0"/>
        <v>193930.21876048925</v>
      </c>
      <c r="E16" s="61">
        <f t="shared" si="1"/>
        <v>3.760892974849122</v>
      </c>
      <c r="F16" s="61">
        <f t="shared" si="2"/>
        <v>3.7608929748491216</v>
      </c>
      <c r="G16" s="60">
        <f>Conc1!M25</f>
        <v>6.1638520326204309E-2</v>
      </c>
      <c r="H16" s="117">
        <f t="shared" si="3"/>
        <v>-2.7864682739091289</v>
      </c>
      <c r="I16" s="50"/>
      <c r="J16" s="50"/>
      <c r="AA16">
        <v>17</v>
      </c>
      <c r="AB16" s="59">
        <f>B17</f>
        <v>12</v>
      </c>
      <c r="AC16" s="59">
        <f t="shared" ref="AC16:AH17" si="12">C17</f>
        <v>99</v>
      </c>
      <c r="AD16" s="59">
        <f t="shared" si="12"/>
        <v>208547.98621524032</v>
      </c>
      <c r="AE16" s="59">
        <f t="shared" si="12"/>
        <v>4.3492262554432068</v>
      </c>
      <c r="AF16" s="59">
        <f t="shared" si="12"/>
        <v>4.349226255443206</v>
      </c>
      <c r="AG16" s="59">
        <f t="shared" si="12"/>
        <v>6.7926307707544542E-2</v>
      </c>
      <c r="AH16" s="59">
        <f t="shared" si="12"/>
        <v>-2.6893318716276711</v>
      </c>
      <c r="AT16">
        <v>14</v>
      </c>
      <c r="AU16" s="60">
        <f>B14</f>
        <v>9</v>
      </c>
      <c r="AV16" s="60">
        <f t="shared" ref="AV16:BA16" si="13">C14</f>
        <v>72</v>
      </c>
      <c r="AW16" s="60">
        <f t="shared" si="13"/>
        <v>161205.2459318676</v>
      </c>
      <c r="AX16" s="60">
        <f t="shared" si="13"/>
        <v>2.5987131315953915</v>
      </c>
      <c r="AY16" s="60">
        <f t="shared" si="13"/>
        <v>2.5987131315953915</v>
      </c>
      <c r="AZ16" s="60">
        <f t="shared" si="13"/>
        <v>5.995467810168837E-2</v>
      </c>
      <c r="BA16" s="60">
        <f t="shared" si="13"/>
        <v>-2.8141663671637631</v>
      </c>
    </row>
    <row r="17" spans="2:53">
      <c r="B17" s="118">
        <f>Conc1!C26</f>
        <v>12</v>
      </c>
      <c r="C17" s="62">
        <f>Conc1!D26</f>
        <v>99</v>
      </c>
      <c r="D17" s="63">
        <f t="shared" si="0"/>
        <v>208547.98621524032</v>
      </c>
      <c r="E17" s="63">
        <f t="shared" si="1"/>
        <v>4.3492262554432068</v>
      </c>
      <c r="F17" s="63">
        <f t="shared" si="2"/>
        <v>4.349226255443206</v>
      </c>
      <c r="G17" s="62">
        <f>Conc1!M26</f>
        <v>6.7926307707544542E-2</v>
      </c>
      <c r="H17" s="119">
        <f t="shared" si="3"/>
        <v>-2.6893318716276711</v>
      </c>
      <c r="I17" s="50"/>
      <c r="J17" s="50"/>
      <c r="AA17">
        <v>18</v>
      </c>
      <c r="AB17" s="59">
        <f>B18</f>
        <v>14</v>
      </c>
      <c r="AC17" s="59">
        <f t="shared" si="12"/>
        <v>117</v>
      </c>
      <c r="AD17" s="59">
        <f t="shared" si="12"/>
        <v>233844.02186003872</v>
      </c>
      <c r="AE17" s="59">
        <f t="shared" si="12"/>
        <v>5.4683026559678272</v>
      </c>
      <c r="AF17" s="59">
        <f t="shared" si="12"/>
        <v>5.4683026559678263</v>
      </c>
      <c r="AG17" s="59">
        <f t="shared" si="12"/>
        <v>6.6169721423477518E-2</v>
      </c>
      <c r="AH17" s="59">
        <f t="shared" si="12"/>
        <v>-2.715532300979461</v>
      </c>
      <c r="AT17">
        <v>16</v>
      </c>
      <c r="AU17" s="60">
        <f>B16</f>
        <v>11</v>
      </c>
      <c r="AV17" s="60">
        <f t="shared" ref="AV17:BA17" si="14">C16</f>
        <v>90</v>
      </c>
      <c r="AW17" s="60">
        <f t="shared" si="14"/>
        <v>193930.21876048925</v>
      </c>
      <c r="AX17" s="60">
        <f t="shared" si="14"/>
        <v>3.760892974849122</v>
      </c>
      <c r="AY17" s="60">
        <f t="shared" si="14"/>
        <v>3.7608929748491216</v>
      </c>
      <c r="AZ17" s="60">
        <f t="shared" si="14"/>
        <v>6.1638520326204309E-2</v>
      </c>
      <c r="BA17" s="60">
        <f t="shared" si="14"/>
        <v>-2.7864682739091289</v>
      </c>
    </row>
    <row r="18" spans="2:53">
      <c r="B18" s="118">
        <f>Conc1!C28</f>
        <v>14</v>
      </c>
      <c r="C18" s="62">
        <f>Conc1!D28</f>
        <v>117</v>
      </c>
      <c r="D18" s="63">
        <f t="shared" si="0"/>
        <v>233844.02186003872</v>
      </c>
      <c r="E18" s="63">
        <f t="shared" si="1"/>
        <v>5.4683026559678272</v>
      </c>
      <c r="F18" s="63">
        <f t="shared" si="2"/>
        <v>5.4683026559678263</v>
      </c>
      <c r="G18" s="62">
        <f>Conc1!M28</f>
        <v>6.6169721423477518E-2</v>
      </c>
      <c r="H18" s="119">
        <f t="shared" si="3"/>
        <v>-2.715532300979461</v>
      </c>
      <c r="I18" s="50"/>
      <c r="J18" s="50"/>
      <c r="AA18">
        <v>20</v>
      </c>
      <c r="AB18" s="59">
        <f>B20</f>
        <v>16</v>
      </c>
      <c r="AC18" s="59">
        <f t="shared" ref="AC18:AH18" si="15">C20</f>
        <v>134</v>
      </c>
      <c r="AD18" s="59">
        <f t="shared" si="15"/>
        <v>252456.50635760027</v>
      </c>
      <c r="AE18" s="59">
        <f t="shared" si="15"/>
        <v>6.3734287602285065</v>
      </c>
      <c r="AF18" s="59">
        <f t="shared" si="15"/>
        <v>6.3734287602285056</v>
      </c>
      <c r="AG18" s="59">
        <f t="shared" si="15"/>
        <v>6.431650711541656E-2</v>
      </c>
      <c r="AH18" s="59">
        <f t="shared" si="15"/>
        <v>-2.7439389603836131</v>
      </c>
      <c r="AT18">
        <v>19</v>
      </c>
      <c r="AU18" s="60">
        <f>B19</f>
        <v>15</v>
      </c>
      <c r="AV18" s="60">
        <f t="shared" ref="AV18:BA18" si="16">C19</f>
        <v>126</v>
      </c>
      <c r="AW18" s="60">
        <f t="shared" si="16"/>
        <v>244366.33157855037</v>
      </c>
      <c r="AX18" s="60">
        <f t="shared" si="16"/>
        <v>5.9714904009158021</v>
      </c>
      <c r="AY18" s="60">
        <f t="shared" si="16"/>
        <v>5.971490400915803</v>
      </c>
      <c r="AZ18" s="60">
        <f t="shared" si="16"/>
        <v>6.0053557096976032E-2</v>
      </c>
      <c r="BA18" s="60">
        <f t="shared" si="16"/>
        <v>-2.8125184966238908</v>
      </c>
    </row>
    <row r="19" spans="2:53">
      <c r="B19" s="116">
        <f>Conc1!C29</f>
        <v>15</v>
      </c>
      <c r="C19" s="60">
        <f>Conc1!D29</f>
        <v>126</v>
      </c>
      <c r="D19" s="61">
        <f t="shared" si="0"/>
        <v>244366.33157855037</v>
      </c>
      <c r="E19" s="61">
        <f t="shared" si="1"/>
        <v>5.9714904009158021</v>
      </c>
      <c r="F19" s="61">
        <f t="shared" si="2"/>
        <v>5.971490400915803</v>
      </c>
      <c r="G19" s="60">
        <f>Conc1!M29</f>
        <v>6.0053557096976032E-2</v>
      </c>
      <c r="H19" s="117">
        <f t="shared" si="3"/>
        <v>-2.8125184966238908</v>
      </c>
      <c r="I19" s="50"/>
      <c r="J19" s="50"/>
      <c r="N19" s="39"/>
      <c r="AA19">
        <v>22</v>
      </c>
      <c r="AB19" s="59">
        <f>B22</f>
        <v>18</v>
      </c>
      <c r="AC19" s="59">
        <f t="shared" ref="AC19:AH19" si="17">C22</f>
        <v>147</v>
      </c>
      <c r="AD19" s="59">
        <f t="shared" si="17"/>
        <v>262964.69766962621</v>
      </c>
      <c r="AE19" s="59">
        <f t="shared" si="17"/>
        <v>6.9150432220477924</v>
      </c>
      <c r="AF19" s="59">
        <f t="shared" si="17"/>
        <v>6.9150432220477915</v>
      </c>
      <c r="AG19" s="59">
        <f t="shared" si="17"/>
        <v>5.9895096834268864E-2</v>
      </c>
      <c r="AH19" s="59">
        <f t="shared" si="17"/>
        <v>-2.8151606330663843</v>
      </c>
      <c r="AT19">
        <v>21</v>
      </c>
      <c r="AU19" s="60">
        <f>B21</f>
        <v>17</v>
      </c>
      <c r="AV19" s="60">
        <f t="shared" ref="AV19:BA19" si="18">C21</f>
        <v>141</v>
      </c>
      <c r="AW19" s="60">
        <f t="shared" si="18"/>
        <v>258527.67282681772</v>
      </c>
      <c r="AX19" s="60">
        <f t="shared" si="18"/>
        <v>6.683655761725011</v>
      </c>
      <c r="AY19" s="60">
        <f t="shared" si="18"/>
        <v>6.6836557617250101</v>
      </c>
      <c r="AZ19" s="60">
        <f t="shared" si="18"/>
        <v>6.5104752875167246E-2</v>
      </c>
      <c r="BA19" s="60">
        <f t="shared" si="18"/>
        <v>-2.7317577235974944</v>
      </c>
    </row>
    <row r="20" spans="2:53">
      <c r="B20" s="118">
        <f>Conc1!C30</f>
        <v>16</v>
      </c>
      <c r="C20" s="62">
        <f>Conc1!D30</f>
        <v>134</v>
      </c>
      <c r="D20" s="63">
        <f t="shared" si="0"/>
        <v>252456.50635760027</v>
      </c>
      <c r="E20" s="63">
        <f t="shared" si="1"/>
        <v>6.3734287602285065</v>
      </c>
      <c r="F20" s="63">
        <f t="shared" si="2"/>
        <v>6.3734287602285056</v>
      </c>
      <c r="G20" s="62">
        <f>Conc1!M30</f>
        <v>6.431650711541656E-2</v>
      </c>
      <c r="H20" s="119">
        <f t="shared" si="3"/>
        <v>-2.7439389603836131</v>
      </c>
      <c r="I20" s="50"/>
      <c r="J20" s="50"/>
    </row>
    <row r="21" spans="2:53" ht="14.65" thickBot="1">
      <c r="B21" s="116">
        <f>Conc1!C31</f>
        <v>17</v>
      </c>
      <c r="C21" s="60">
        <f>Conc1!D31</f>
        <v>141</v>
      </c>
      <c r="D21" s="61">
        <f t="shared" si="0"/>
        <v>258527.67282681772</v>
      </c>
      <c r="E21" s="61">
        <f t="shared" si="1"/>
        <v>6.683655761725011</v>
      </c>
      <c r="F21" s="61">
        <f t="shared" si="2"/>
        <v>6.6836557617250101</v>
      </c>
      <c r="G21" s="60">
        <f>Conc1!M31</f>
        <v>6.5104752875167246E-2</v>
      </c>
      <c r="H21" s="117">
        <f t="shared" si="3"/>
        <v>-2.7317577235974944</v>
      </c>
      <c r="I21" s="50"/>
      <c r="J21" s="50"/>
    </row>
    <row r="22" spans="2:53" ht="14.65" thickBot="1">
      <c r="B22" s="120">
        <f>Conc1!C32</f>
        <v>18</v>
      </c>
      <c r="C22" s="121">
        <f>Conc1!D32</f>
        <v>147</v>
      </c>
      <c r="D22" s="122">
        <f t="shared" si="0"/>
        <v>262964.69766962621</v>
      </c>
      <c r="E22" s="122">
        <f t="shared" si="1"/>
        <v>6.9150432220477924</v>
      </c>
      <c r="F22" s="122">
        <f t="shared" si="2"/>
        <v>6.9150432220477915</v>
      </c>
      <c r="G22" s="121">
        <f>Conc1!M32</f>
        <v>5.9895096834268864E-2</v>
      </c>
      <c r="H22" s="123">
        <f t="shared" si="3"/>
        <v>-2.8151606330663843</v>
      </c>
      <c r="I22" s="50"/>
      <c r="J22" s="50"/>
      <c r="K22" s="39"/>
      <c r="L22" s="39"/>
      <c r="M22" s="112" t="s">
        <v>98</v>
      </c>
      <c r="N22" s="100"/>
      <c r="O22" s="101"/>
    </row>
    <row r="23" spans="2:53" ht="14.65" thickBot="1">
      <c r="M23" s="110" t="s">
        <v>61</v>
      </c>
      <c r="N23" s="111">
        <f>INTERCEPT(H7:H22,F7:F22)</f>
        <v>-2.6977683798826275</v>
      </c>
      <c r="O23" s="113" t="s">
        <v>93</v>
      </c>
      <c r="AG23" s="98" t="s">
        <v>96</v>
      </c>
      <c r="AH23" s="97"/>
      <c r="AI23" s="96"/>
      <c r="AX23" s="99" t="s">
        <v>97</v>
      </c>
      <c r="AY23" s="95"/>
      <c r="AZ23" s="87"/>
    </row>
    <row r="24" spans="2:53" ht="15.75">
      <c r="M24" s="103" t="s">
        <v>344</v>
      </c>
      <c r="N24" s="104">
        <f>SLOPE(H7:H22,F7:F22)</f>
        <v>-1.3111071596017477E-2</v>
      </c>
      <c r="O24" s="106" t="s">
        <v>94</v>
      </c>
      <c r="AG24" s="75" t="s">
        <v>61</v>
      </c>
      <c r="AH24" s="76">
        <f>INTERCEPT(AH12:AH19,AF12:AF19)</f>
        <v>-2.8762638543665231</v>
      </c>
      <c r="AI24" s="77" t="s">
        <v>93</v>
      </c>
      <c r="AX24" s="85" t="s">
        <v>61</v>
      </c>
      <c r="AY24" s="86">
        <f>INTERCEPT(BA12:BA19,AY12:AY19)</f>
        <v>-2.597169862082414</v>
      </c>
      <c r="AZ24" s="87" t="s">
        <v>93</v>
      </c>
    </row>
    <row r="25" spans="2:53" ht="16.5">
      <c r="M25" s="102" t="s">
        <v>62</v>
      </c>
      <c r="N25" s="105">
        <f>SQRT(-30000*Guinslope)</f>
        <v>19.832603154415317</v>
      </c>
      <c r="O25" s="106" t="s">
        <v>18</v>
      </c>
      <c r="AG25" s="78" t="s">
        <v>344</v>
      </c>
      <c r="AH25" s="74">
        <f>SLOPE(AH12:AH19,AF12:AF19)</f>
        <v>2.5185592745415011E-2</v>
      </c>
      <c r="AI25" s="79" t="s">
        <v>94</v>
      </c>
      <c r="AX25" s="88" t="s">
        <v>344</v>
      </c>
      <c r="AY25" s="83">
        <f>SLOPE(BA12:BA19,AY12:AY19)</f>
        <v>-3.8353384094008298E-2</v>
      </c>
      <c r="AZ25" s="89" t="s">
        <v>94</v>
      </c>
    </row>
    <row r="26" spans="2:53" ht="15.75">
      <c r="M26" s="102" t="s">
        <v>63</v>
      </c>
      <c r="N26" s="105">
        <f>N25*SQRT(5/3)</f>
        <v>25.603780576330401</v>
      </c>
      <c r="O26" s="106" t="s">
        <v>18</v>
      </c>
      <c r="AG26" s="78" t="s">
        <v>62</v>
      </c>
      <c r="AH26" s="74" t="e">
        <f>SQRT(-30000*AH25)</f>
        <v>#NUM!</v>
      </c>
      <c r="AI26" s="79" t="s">
        <v>18</v>
      </c>
      <c r="AX26" s="90" t="s">
        <v>62</v>
      </c>
      <c r="AY26" s="84">
        <f>SQRT(-30000*AY25)</f>
        <v>33.92051772630024</v>
      </c>
      <c r="AZ26" s="91" t="s">
        <v>18</v>
      </c>
    </row>
    <row r="27" spans="2:53" ht="16.149999999999999" thickBot="1">
      <c r="M27" s="107" t="s">
        <v>64</v>
      </c>
      <c r="N27" s="108">
        <v>8.98</v>
      </c>
      <c r="O27" s="109" t="s">
        <v>18</v>
      </c>
      <c r="AG27" s="78" t="s">
        <v>63</v>
      </c>
      <c r="AH27" s="74" t="e">
        <f>AH26*SQRT(5/3)</f>
        <v>#NUM!</v>
      </c>
      <c r="AI27" s="79" t="s">
        <v>18</v>
      </c>
      <c r="AX27" s="90" t="s">
        <v>63</v>
      </c>
      <c r="AY27" s="84">
        <f>AY26*SQRT(5/3)</f>
        <v>43.791200082898101</v>
      </c>
      <c r="AZ27" s="91" t="s">
        <v>18</v>
      </c>
    </row>
    <row r="28" spans="2:53" ht="16.149999999999999" thickBot="1">
      <c r="G28" s="5" t="s">
        <v>79</v>
      </c>
      <c r="H28" s="5" t="s">
        <v>59</v>
      </c>
      <c r="I28" s="5"/>
      <c r="J28" s="5" t="s">
        <v>78</v>
      </c>
      <c r="K28" s="1"/>
      <c r="AG28" s="80" t="s">
        <v>64</v>
      </c>
      <c r="AH28" s="81">
        <f>Conc1!J7</f>
        <v>6</v>
      </c>
      <c r="AI28" s="82" t="s">
        <v>18</v>
      </c>
      <c r="AX28" s="92" t="s">
        <v>64</v>
      </c>
      <c r="AY28" s="93">
        <f>Conc1!J7</f>
        <v>6</v>
      </c>
      <c r="AZ28" s="94" t="s">
        <v>18</v>
      </c>
    </row>
    <row r="29" spans="2:53" ht="15.75">
      <c r="B29" t="s">
        <v>77</v>
      </c>
      <c r="C29" t="s">
        <v>74</v>
      </c>
      <c r="D29" t="s">
        <v>73</v>
      </c>
      <c r="E29" t="s">
        <v>76</v>
      </c>
      <c r="F29" t="s">
        <v>75</v>
      </c>
      <c r="G29" s="1" t="s">
        <v>74</v>
      </c>
      <c r="H29" s="5" t="s">
        <v>60</v>
      </c>
      <c r="I29" s="5" t="s">
        <v>73</v>
      </c>
      <c r="J29" s="5" t="s">
        <v>72</v>
      </c>
      <c r="K29" s="49" t="s">
        <v>71</v>
      </c>
      <c r="L29" s="48"/>
    </row>
    <row r="30" spans="2:53" ht="15.75">
      <c r="B30">
        <f t="shared" ref="B30:B61" si="19">10000000*C30</f>
        <v>1</v>
      </c>
      <c r="C30">
        <v>9.9999999999999995E-8</v>
      </c>
      <c r="D30">
        <f t="shared" ref="D30:D61" si="20">C30*Rsphere</f>
        <v>1.1269034418874374E-5</v>
      </c>
      <c r="E30">
        <f t="shared" ref="E30:E61" si="21">((3/D30^3)*(SIN(D30)-D30*COS(D30)))^2</f>
        <v>0.99999729121698844</v>
      </c>
      <c r="F30">
        <f t="shared" ref="F30:F61" si="22">E30*Izero</f>
        <v>1.4456708102296651</v>
      </c>
      <c r="G30" s="252">
        <f>D7/10000000</f>
        <v>5.3505226980224332E-3</v>
      </c>
      <c r="H30" s="253">
        <f>Conc1!M15</f>
        <v>0.13606409312207923</v>
      </c>
      <c r="I30" s="253">
        <f t="shared" ref="I30:I45" si="23">G30*Rsphere</f>
        <v>0.60295224442983375</v>
      </c>
      <c r="J30" s="253">
        <f>Izero*(3/I30^3*(SIN(I30)-I30*COS(I30)))^2</f>
        <v>1.3437767504580342</v>
      </c>
      <c r="K30" s="252">
        <f t="shared" ref="K30:K45" si="24">(H30-J30)^2</f>
        <v>1.4585698626894736</v>
      </c>
      <c r="M30" s="47" t="s">
        <v>70</v>
      </c>
      <c r="N30" s="51">
        <v>1.4456747262488039</v>
      </c>
    </row>
    <row r="31" spans="2:53" ht="15.75">
      <c r="B31">
        <f t="shared" si="19"/>
        <v>10000</v>
      </c>
      <c r="C31" s="45">
        <v>1E-3</v>
      </c>
      <c r="D31">
        <f t="shared" si="20"/>
        <v>0.11269034418874374</v>
      </c>
      <c r="E31">
        <f t="shared" si="21"/>
        <v>0.99746294011781955</v>
      </c>
      <c r="F31">
        <f t="shared" si="22"/>
        <v>1.4420069628981558</v>
      </c>
      <c r="G31" s="252">
        <f>D8/10000000</f>
        <v>6.6349195602210661E-3</v>
      </c>
      <c r="H31" s="253">
        <f>Conc1!M16</f>
        <v>6.4453609174415061E-2</v>
      </c>
      <c r="I31" s="253">
        <f t="shared" si="23"/>
        <v>0.74769136890594012</v>
      </c>
      <c r="J31" s="253">
        <f t="shared" ref="J31:J45" si="25">Izero*(3/I31^3*(SIN(I31)-I31*COS(I31)))^2</f>
        <v>1.2915714312538566</v>
      </c>
      <c r="K31" s="252">
        <f t="shared" si="24"/>
        <v>1.5058181492649922</v>
      </c>
      <c r="M31" s="47" t="s">
        <v>69</v>
      </c>
      <c r="N31" s="52">
        <v>112.69034418874374</v>
      </c>
    </row>
    <row r="32" spans="2:53">
      <c r="B32">
        <f t="shared" si="19"/>
        <v>15000</v>
      </c>
      <c r="C32" s="45">
        <v>1.5E-3</v>
      </c>
      <c r="D32">
        <f t="shared" si="20"/>
        <v>0.16903551628311561</v>
      </c>
      <c r="E32">
        <f t="shared" si="21"/>
        <v>0.99429937483128761</v>
      </c>
      <c r="F32">
        <f t="shared" si="22"/>
        <v>1.4374334765185786</v>
      </c>
      <c r="G32" s="252">
        <f>D9/10000000</f>
        <v>7.5595955426216209E-3</v>
      </c>
      <c r="H32" s="253">
        <f>Conc1!M17</f>
        <v>5.8775787227165623E-2</v>
      </c>
      <c r="I32" s="253">
        <f t="shared" si="23"/>
        <v>0.8518934236257234</v>
      </c>
      <c r="J32" s="253">
        <f t="shared" si="25"/>
        <v>1.2484386141560717</v>
      </c>
      <c r="K32" s="252">
        <f t="shared" si="24"/>
        <v>1.4152976417764762</v>
      </c>
    </row>
    <row r="33" spans="2:11">
      <c r="B33">
        <f t="shared" si="19"/>
        <v>20000</v>
      </c>
      <c r="C33" s="45">
        <v>2E-3</v>
      </c>
      <c r="D33">
        <f t="shared" si="20"/>
        <v>0.22538068837748748</v>
      </c>
      <c r="E33">
        <f t="shared" si="21"/>
        <v>0.98988483165429186</v>
      </c>
      <c r="F33">
        <f t="shared" si="22"/>
        <v>1.4310514830196617</v>
      </c>
      <c r="G33" s="118">
        <f>D10/10000000</f>
        <v>1.0273913437566617E-2</v>
      </c>
      <c r="H33" s="118">
        <f>Conc1!M19</f>
        <v>5.794360892318115E-2</v>
      </c>
      <c r="I33" s="118">
        <f t="shared" si="23"/>
        <v>1.1577708414447414</v>
      </c>
      <c r="J33" s="118">
        <f t="shared" si="25"/>
        <v>1.0998145730876969</v>
      </c>
      <c r="K33" s="118">
        <f t="shared" si="24"/>
        <v>1.0854951059690978</v>
      </c>
    </row>
    <row r="34" spans="2:11">
      <c r="B34">
        <f t="shared" si="19"/>
        <v>25000</v>
      </c>
      <c r="C34" s="45">
        <v>2.5000000000000001E-3</v>
      </c>
      <c r="D34">
        <f t="shared" si="20"/>
        <v>0.28172586047185932</v>
      </c>
      <c r="E34">
        <f t="shared" si="21"/>
        <v>0.98423367734756462</v>
      </c>
      <c r="F34">
        <f t="shared" si="22"/>
        <v>1.422881752064294</v>
      </c>
      <c r="G34" s="118">
        <f>D11/10000000</f>
        <v>1.1590675430098786E-2</v>
      </c>
      <c r="H34" s="118">
        <f>Conc1!M20</f>
        <v>4.4209107602788129E-2</v>
      </c>
      <c r="I34" s="118">
        <f t="shared" si="23"/>
        <v>1.3061572035978475</v>
      </c>
      <c r="J34" s="118">
        <f t="shared" si="25"/>
        <v>1.0187768692440813</v>
      </c>
      <c r="K34" s="118">
        <f t="shared" si="24"/>
        <v>0.94978232203052027</v>
      </c>
    </row>
    <row r="35" spans="2:11">
      <c r="B35">
        <f t="shared" si="19"/>
        <v>30000</v>
      </c>
      <c r="C35" s="45">
        <v>3.0000000000000001E-3</v>
      </c>
      <c r="D35">
        <f t="shared" si="20"/>
        <v>0.33807103256623122</v>
      </c>
      <c r="E35">
        <f t="shared" si="21"/>
        <v>0.97736426761158823</v>
      </c>
      <c r="F35">
        <f t="shared" si="22"/>
        <v>1.4129508200247456</v>
      </c>
      <c r="G35" s="117">
        <f>D12/10000000</f>
        <v>1.3086496300509551E-2</v>
      </c>
      <c r="H35" s="117">
        <f>Conc1!M21</f>
        <v>5.4654238930112668E-2</v>
      </c>
      <c r="I35" s="117">
        <f t="shared" si="23"/>
        <v>1.4747217723291428</v>
      </c>
      <c r="J35" s="117">
        <f t="shared" si="25"/>
        <v>0.92233774750037412</v>
      </c>
      <c r="K35" s="117">
        <f t="shared" si="24"/>
        <v>0.75287467104479899</v>
      </c>
    </row>
    <row r="36" spans="2:11">
      <c r="B36">
        <f t="shared" si="19"/>
        <v>35000</v>
      </c>
      <c r="C36" s="45">
        <v>3.5000000000000001E-3</v>
      </c>
      <c r="D36">
        <f t="shared" si="20"/>
        <v>0.39441620466060306</v>
      </c>
      <c r="E36">
        <f t="shared" si="21"/>
        <v>0.96929886111886665</v>
      </c>
      <c r="F36">
        <f t="shared" si="22"/>
        <v>1.401290865701295</v>
      </c>
      <c r="G36" s="251">
        <f>D13/10000000</f>
        <v>1.4533499263816432E-2</v>
      </c>
      <c r="H36" s="251">
        <f>Conc1!M22</f>
        <v>6.7373861113836697E-2</v>
      </c>
      <c r="I36" s="251">
        <f t="shared" si="23"/>
        <v>1.6377850343063274</v>
      </c>
      <c r="J36" s="251">
        <f t="shared" si="25"/>
        <v>0.82674477743470576</v>
      </c>
      <c r="K36" s="251">
        <f t="shared" si="24"/>
        <v>0.57664418855399635</v>
      </c>
    </row>
    <row r="37" spans="2:11">
      <c r="B37">
        <f t="shared" si="19"/>
        <v>40000</v>
      </c>
      <c r="C37" s="45">
        <v>4.0000000000000001E-3</v>
      </c>
      <c r="D37">
        <f t="shared" si="20"/>
        <v>0.45076137675497496</v>
      </c>
      <c r="E37">
        <f t="shared" si="21"/>
        <v>0.96006351545565616</v>
      </c>
      <c r="F37">
        <f t="shared" si="22"/>
        <v>1.3879395598878199</v>
      </c>
      <c r="G37" s="252">
        <f>D14/10000000</f>
        <v>1.6120524593186761E-2</v>
      </c>
      <c r="H37" s="253">
        <f>Conc1!M23</f>
        <v>5.995467810168837E-2</v>
      </c>
      <c r="I37" s="253">
        <f t="shared" si="23"/>
        <v>1.8166274649093241</v>
      </c>
      <c r="J37" s="253">
        <f t="shared" si="25"/>
        <v>0.72178600862293218</v>
      </c>
      <c r="K37" s="252">
        <f t="shared" si="24"/>
        <v>0.43802071005951981</v>
      </c>
    </row>
    <row r="38" spans="2:11">
      <c r="B38">
        <f t="shared" si="19"/>
        <v>45000</v>
      </c>
      <c r="C38" s="45">
        <v>4.4999999999999997E-3</v>
      </c>
      <c r="D38">
        <f t="shared" si="20"/>
        <v>0.50710654884934681</v>
      </c>
      <c r="E38">
        <f t="shared" si="21"/>
        <v>0.94968796557115454</v>
      </c>
      <c r="F38">
        <f t="shared" si="22"/>
        <v>1.3729398896488623</v>
      </c>
      <c r="G38" s="251">
        <f>D15/10000000</f>
        <v>1.7811680701873805E-2</v>
      </c>
      <c r="H38" s="62">
        <f>Conc1!M24</f>
        <v>7.38232782874884E-2</v>
      </c>
      <c r="I38" s="63">
        <f t="shared" si="23"/>
        <v>2.0072044288741639</v>
      </c>
      <c r="J38" s="63">
        <f t="shared" si="25"/>
        <v>0.61258544174007779</v>
      </c>
      <c r="K38" s="251">
        <f t="shared" si="24"/>
        <v>0.29026466876811469</v>
      </c>
    </row>
    <row r="39" spans="2:11">
      <c r="B39">
        <f t="shared" si="19"/>
        <v>50000</v>
      </c>
      <c r="C39" s="45">
        <v>5.0000000000000001E-3</v>
      </c>
      <c r="D39">
        <f t="shared" si="20"/>
        <v>0.56345172094371865</v>
      </c>
      <c r="E39">
        <f t="shared" si="21"/>
        <v>0.93820548543097093</v>
      </c>
      <c r="F39">
        <f t="shared" si="22"/>
        <v>1.3563399583155451</v>
      </c>
      <c r="G39" s="252">
        <f>D16/10000000</f>
        <v>1.9393021876048924E-2</v>
      </c>
      <c r="H39" s="253">
        <f>Conc1!M25</f>
        <v>6.1638520326204309E-2</v>
      </c>
      <c r="I39" s="253">
        <f t="shared" si="23"/>
        <v>2.18540631007179</v>
      </c>
      <c r="J39" s="253">
        <f t="shared" si="25"/>
        <v>0.51531499374922141</v>
      </c>
      <c r="K39" s="252">
        <f t="shared" si="24"/>
        <v>0.20582234253754553</v>
      </c>
    </row>
    <row r="40" spans="2:11">
      <c r="B40">
        <f t="shared" si="19"/>
        <v>55000</v>
      </c>
      <c r="C40" s="45">
        <v>5.4999999999999997E-3</v>
      </c>
      <c r="D40">
        <f t="shared" si="20"/>
        <v>0.61979689303809049</v>
      </c>
      <c r="E40">
        <f t="shared" si="21"/>
        <v>0.92565273366667489</v>
      </c>
      <c r="F40">
        <f t="shared" si="22"/>
        <v>1.3381927623450272</v>
      </c>
      <c r="G40" s="251">
        <f>D17/10000000</f>
        <v>2.0854798621524031E-2</v>
      </c>
      <c r="H40" s="62">
        <f>Conc1!M26</f>
        <v>6.7926307707544542E-2</v>
      </c>
      <c r="I40" s="63">
        <f t="shared" si="23"/>
        <v>2.3501344346464816</v>
      </c>
      <c r="J40" s="63">
        <f t="shared" si="25"/>
        <v>0.43123246512441477</v>
      </c>
      <c r="K40" s="251">
        <f t="shared" si="24"/>
        <v>0.1319913640170117</v>
      </c>
    </row>
    <row r="41" spans="2:11">
      <c r="B41">
        <f t="shared" si="19"/>
        <v>60000</v>
      </c>
      <c r="C41" s="45">
        <v>6.0000000000000001E-3</v>
      </c>
      <c r="D41">
        <f t="shared" si="20"/>
        <v>0.67614206513246244</v>
      </c>
      <c r="E41">
        <f t="shared" si="21"/>
        <v>0.91206958410266603</v>
      </c>
      <c r="F41">
        <f t="shared" si="22"/>
        <v>1.3185559463174821</v>
      </c>
      <c r="G41" s="251">
        <f>D18/10000000</f>
        <v>2.3384402186003871E-2</v>
      </c>
      <c r="H41" s="62">
        <f>Conc1!M28</f>
        <v>6.6169721423477518E-2</v>
      </c>
      <c r="I41" s="63">
        <f t="shared" si="23"/>
        <v>2.6351963309887876</v>
      </c>
      <c r="J41" s="63">
        <f t="shared" si="25"/>
        <v>0.30233535191551547</v>
      </c>
      <c r="K41" s="251">
        <f t="shared" si="24"/>
        <v>5.5774205025701809E-2</v>
      </c>
    </row>
    <row r="42" spans="2:11">
      <c r="B42">
        <f t="shared" si="19"/>
        <v>65000</v>
      </c>
      <c r="C42" s="45">
        <v>6.4999999999999997E-3</v>
      </c>
      <c r="D42">
        <f t="shared" si="20"/>
        <v>0.73248723722683429</v>
      </c>
      <c r="E42">
        <f t="shared" si="21"/>
        <v>0.89749894212544279</v>
      </c>
      <c r="F42">
        <f t="shared" si="22"/>
        <v>1.2974915374657905</v>
      </c>
      <c r="G42" s="252">
        <f>D19/10000000</f>
        <v>2.4436633157855037E-2</v>
      </c>
      <c r="H42" s="254">
        <f>Conc1!M29</f>
        <v>6.0053557096976032E-2</v>
      </c>
      <c r="I42" s="253">
        <f t="shared" si="23"/>
        <v>2.7537726013727517</v>
      </c>
      <c r="J42" s="253">
        <f t="shared" si="25"/>
        <v>0.25569349953578013</v>
      </c>
      <c r="K42" s="252">
        <f t="shared" si="24"/>
        <v>3.8274987077458585E-2</v>
      </c>
    </row>
    <row r="43" spans="2:11">
      <c r="B43">
        <f t="shared" si="19"/>
        <v>70000</v>
      </c>
      <c r="C43" s="45">
        <v>7.0000000000000001E-3</v>
      </c>
      <c r="D43">
        <f t="shared" si="20"/>
        <v>0.78883240932120613</v>
      </c>
      <c r="E43">
        <f t="shared" si="21"/>
        <v>0.88198654793779652</v>
      </c>
      <c r="F43">
        <f t="shared" si="22"/>
        <v>1.2750656612451015</v>
      </c>
      <c r="G43" s="251">
        <f>D20/10000000</f>
        <v>2.5245650635760026E-2</v>
      </c>
      <c r="H43" s="62">
        <f>Conc1!M30</f>
        <v>6.431650711541656E-2</v>
      </c>
      <c r="I43" s="63">
        <f t="shared" si="23"/>
        <v>2.8449410594125744</v>
      </c>
      <c r="J43" s="63">
        <f t="shared" si="25"/>
        <v>0.22277705158596953</v>
      </c>
      <c r="K43" s="251">
        <f t="shared" si="24"/>
        <v>2.5109744153904094E-2</v>
      </c>
    </row>
    <row r="44" spans="2:11">
      <c r="B44">
        <f t="shared" si="19"/>
        <v>75000</v>
      </c>
      <c r="C44" s="45">
        <v>7.4999999999999997E-3</v>
      </c>
      <c r="D44">
        <f t="shared" si="20"/>
        <v>0.84517758141557797</v>
      </c>
      <c r="E44">
        <f t="shared" si="21"/>
        <v>0.86558076781115212</v>
      </c>
      <c r="F44">
        <f t="shared" si="22"/>
        <v>1.2513482395516169</v>
      </c>
      <c r="G44" s="252">
        <f>D21/10000000</f>
        <v>2.5852767282681773E-2</v>
      </c>
      <c r="H44" s="254">
        <f>Conc1!M31</f>
        <v>6.5104752875167246E-2</v>
      </c>
      <c r="I44" s="253">
        <f t="shared" si="23"/>
        <v>2.9133572433169022</v>
      </c>
      <c r="J44" s="253">
        <f t="shared" si="25"/>
        <v>0.1997774670016651</v>
      </c>
      <c r="K44" s="252">
        <f t="shared" si="24"/>
        <v>1.8136739930197411E-2</v>
      </c>
    </row>
    <row r="45" spans="2:11" ht="14.65" thickBot="1">
      <c r="B45">
        <f t="shared" si="19"/>
        <v>80000</v>
      </c>
      <c r="C45" s="45">
        <v>8.0000000000000002E-3</v>
      </c>
      <c r="D45">
        <f t="shared" si="20"/>
        <v>0.90152275350994993</v>
      </c>
      <c r="E45">
        <f t="shared" si="21"/>
        <v>0.84833237451282872</v>
      </c>
      <c r="F45">
        <f t="shared" si="22"/>
        <v>1.2264126732918315</v>
      </c>
      <c r="G45" s="251">
        <f>D22/10000000</f>
        <v>2.6296469766962621E-2</v>
      </c>
      <c r="H45" s="62">
        <f>Conc1!M32</f>
        <v>5.9895096834268864E-2</v>
      </c>
      <c r="I45" s="63">
        <f t="shared" si="23"/>
        <v>2.9633582289879117</v>
      </c>
      <c r="J45" s="255">
        <f t="shared" si="25"/>
        <v>0.1838934081230115</v>
      </c>
      <c r="K45" s="256">
        <f t="shared" si="24"/>
        <v>1.5375581202459921E-2</v>
      </c>
    </row>
    <row r="46" spans="2:11">
      <c r="B46">
        <f t="shared" si="19"/>
        <v>85000</v>
      </c>
      <c r="C46" s="45">
        <v>8.5000000000000006E-3</v>
      </c>
      <c r="D46">
        <f t="shared" si="20"/>
        <v>0.95786792560432188</v>
      </c>
      <c r="E46">
        <f t="shared" si="21"/>
        <v>0.83029431814076393</v>
      </c>
      <c r="F46">
        <f t="shared" si="22"/>
        <v>1.2003355110840861</v>
      </c>
      <c r="I46" s="46"/>
      <c r="J46" s="260" t="s">
        <v>345</v>
      </c>
      <c r="K46" s="257">
        <f>SUM(K30:K45)</f>
        <v>8.9632522841012694</v>
      </c>
    </row>
    <row r="47" spans="2:11">
      <c r="B47">
        <f t="shared" si="19"/>
        <v>90000</v>
      </c>
      <c r="C47" s="45">
        <v>8.9999999999999993E-3</v>
      </c>
      <c r="D47">
        <f t="shared" si="20"/>
        <v>1.0142130976986936</v>
      </c>
      <c r="E47">
        <f t="shared" si="21"/>
        <v>0.81152148864625318</v>
      </c>
      <c r="F47">
        <f t="shared" si="22"/>
        <v>1.1731961059436939</v>
      </c>
      <c r="J47" s="259" t="s">
        <v>346</v>
      </c>
      <c r="K47" s="261">
        <f>SUM(K33,K34,K36,K38,K40,K41,K43,K45)</f>
        <v>3.1304371797208068</v>
      </c>
    </row>
    <row r="48" spans="2:11" ht="14.65" thickBot="1">
      <c r="B48">
        <f t="shared" si="19"/>
        <v>95000</v>
      </c>
      <c r="C48" s="45">
        <v>9.4999999999999998E-3</v>
      </c>
      <c r="D48">
        <f t="shared" si="20"/>
        <v>1.0705582697930656</v>
      </c>
      <c r="E48">
        <f t="shared" si="21"/>
        <v>0.79207047136490327</v>
      </c>
      <c r="F48">
        <f t="shared" si="22"/>
        <v>1.1450762618602175</v>
      </c>
      <c r="J48" s="258" t="s">
        <v>347</v>
      </c>
      <c r="K48" s="225">
        <f>SUM(K30:K32,K35,K37,K39,K42,K44)</f>
        <v>5.8328151043804608</v>
      </c>
    </row>
    <row r="49" spans="2:6">
      <c r="B49">
        <f t="shared" si="19"/>
        <v>100000</v>
      </c>
      <c r="C49" s="45">
        <v>0.01</v>
      </c>
      <c r="D49">
        <f t="shared" si="20"/>
        <v>1.1269034418874373</v>
      </c>
      <c r="E49">
        <f t="shared" si="21"/>
        <v>0.77199929690727498</v>
      </c>
      <c r="F49">
        <f t="shared" si="22"/>
        <v>1.1160598722206938</v>
      </c>
    </row>
    <row r="50" spans="2:6">
      <c r="B50">
        <f t="shared" si="19"/>
        <v>105000</v>
      </c>
      <c r="C50" s="45">
        <v>1.0500000000000001E-2</v>
      </c>
      <c r="D50">
        <f t="shared" si="20"/>
        <v>1.1832486139818092</v>
      </c>
      <c r="E50">
        <f t="shared" si="21"/>
        <v>0.7513671867833458</v>
      </c>
      <c r="F50">
        <f t="shared" si="22"/>
        <v>1.0862325520653473</v>
      </c>
    </row>
    <row r="51" spans="2:6">
      <c r="B51">
        <f t="shared" si="19"/>
        <v>110000</v>
      </c>
      <c r="C51" s="45">
        <v>1.0999999999999999E-2</v>
      </c>
      <c r="D51">
        <f t="shared" si="20"/>
        <v>1.239593786076181</v>
      </c>
      <c r="E51">
        <f t="shared" si="21"/>
        <v>0.73023429614884827</v>
      </c>
      <c r="F51">
        <f t="shared" si="22"/>
        <v>1.0556812661824742</v>
      </c>
    </row>
    <row r="52" spans="2:6">
      <c r="B52">
        <f t="shared" si="19"/>
        <v>115000</v>
      </c>
      <c r="C52" s="45">
        <v>1.15E-2</v>
      </c>
      <c r="D52">
        <f t="shared" si="20"/>
        <v>1.2959389581705529</v>
      </c>
      <c r="E52">
        <f t="shared" si="21"/>
        <v>0.70866145506676259</v>
      </c>
      <c r="F52">
        <f t="shared" si="22"/>
        <v>1.0244939550567211</v>
      </c>
    </row>
    <row r="53" spans="2:6">
      <c r="B53">
        <f t="shared" si="19"/>
        <v>120000</v>
      </c>
      <c r="C53" s="45">
        <v>1.2E-2</v>
      </c>
      <c r="D53">
        <f t="shared" si="20"/>
        <v>1.3522841302649249</v>
      </c>
      <c r="E53">
        <f t="shared" si="21"/>
        <v>0.68670990967372092</v>
      </c>
      <c r="F53">
        <f t="shared" si="22"/>
        <v>0.99275916067989733</v>
      </c>
    </row>
    <row r="54" spans="2:6">
      <c r="B54">
        <f t="shared" si="19"/>
        <v>125000</v>
      </c>
      <c r="C54" s="45">
        <v>1.2500000000000001E-2</v>
      </c>
      <c r="D54">
        <f t="shared" si="20"/>
        <v>1.4086293023592968</v>
      </c>
      <c r="E54">
        <f t="shared" si="21"/>
        <v>0.66444106462892705</v>
      </c>
      <c r="F54">
        <f t="shared" si="22"/>
        <v>0.96056565421588791</v>
      </c>
    </row>
    <row r="55" spans="2:6">
      <c r="B55">
        <f t="shared" si="19"/>
        <v>130000</v>
      </c>
      <c r="C55" s="45">
        <v>1.2999999999999999E-2</v>
      </c>
      <c r="D55">
        <f t="shared" si="20"/>
        <v>1.4649744744536686</v>
      </c>
      <c r="E55">
        <f t="shared" si="21"/>
        <v>0.64191622820254113</v>
      </c>
      <c r="F55">
        <f t="shared" si="22"/>
        <v>0.92800206748137337</v>
      </c>
    </row>
    <row r="56" spans="2:6">
      <c r="B56">
        <f t="shared" si="19"/>
        <v>135000</v>
      </c>
      <c r="C56" s="45">
        <v>1.35E-2</v>
      </c>
      <c r="D56">
        <f t="shared" si="20"/>
        <v>1.5213196465480405</v>
      </c>
      <c r="E56">
        <f t="shared" si="21"/>
        <v>0.61919636133155143</v>
      </c>
      <c r="F56">
        <f t="shared" si="22"/>
        <v>0.89515653016224606</v>
      </c>
    </row>
    <row r="57" spans="2:6">
      <c r="B57">
        <f t="shared" si="19"/>
        <v>140000</v>
      </c>
      <c r="C57" s="45">
        <v>1.4E-2</v>
      </c>
      <c r="D57">
        <f t="shared" si="20"/>
        <v>1.5776648186424123</v>
      </c>
      <c r="E57">
        <f t="shared" si="21"/>
        <v>0.59634183193415946</v>
      </c>
      <c r="F57">
        <f t="shared" si="22"/>
        <v>0.86211631463212623</v>
      </c>
    </row>
    <row r="58" spans="2:6">
      <c r="B58">
        <f t="shared" si="19"/>
        <v>145000</v>
      </c>
      <c r="C58" s="45">
        <v>1.4500000000000001E-2</v>
      </c>
      <c r="D58">
        <f t="shared" si="20"/>
        <v>1.6340099907367842</v>
      </c>
      <c r="E58">
        <f t="shared" si="21"/>
        <v>0.57341217572900915</v>
      </c>
      <c r="F58">
        <f t="shared" si="22"/>
        <v>0.82896749017476634</v>
      </c>
    </row>
    <row r="59" spans="2:6">
      <c r="B59">
        <f t="shared" si="19"/>
        <v>150000</v>
      </c>
      <c r="C59" s="45">
        <v>1.4999999999999999E-2</v>
      </c>
      <c r="D59">
        <f t="shared" si="20"/>
        <v>1.6903551628311559</v>
      </c>
      <c r="E59">
        <f t="shared" si="21"/>
        <v>0.550465864753517</v>
      </c>
      <c r="F59">
        <f t="shared" si="22"/>
        <v>0.79579458833685179</v>
      </c>
    </row>
    <row r="60" spans="2:6">
      <c r="B60">
        <f t="shared" si="19"/>
        <v>155000</v>
      </c>
      <c r="C60" s="45">
        <v>1.55E-2</v>
      </c>
      <c r="D60">
        <f t="shared" si="20"/>
        <v>1.7467003349255279</v>
      </c>
      <c r="E60">
        <f t="shared" si="21"/>
        <v>0.52756008471653271</v>
      </c>
      <c r="F60">
        <f t="shared" si="22"/>
        <v>0.76268028105236918</v>
      </c>
    </row>
    <row r="61" spans="2:6">
      <c r="B61">
        <f t="shared" si="19"/>
        <v>160000</v>
      </c>
      <c r="C61" s="45">
        <v>1.6E-2</v>
      </c>
      <c r="D61">
        <f t="shared" si="20"/>
        <v>1.8030455070198999</v>
      </c>
      <c r="E61">
        <f t="shared" si="21"/>
        <v>0.50475052225505557</v>
      </c>
      <c r="F61">
        <f t="shared" si="22"/>
        <v>0.7297050730850182</v>
      </c>
    </row>
    <row r="62" spans="2:6">
      <c r="B62">
        <f t="shared" ref="B62:B79" si="26">10000000*C62</f>
        <v>165000</v>
      </c>
      <c r="C62" s="45">
        <v>1.6500000000000001E-2</v>
      </c>
      <c r="D62">
        <f t="shared" ref="D62:D79" si="27">C62*Rsphere</f>
        <v>1.8593906791142718</v>
      </c>
      <c r="E62">
        <f t="shared" ref="E62:E79" si="28">((3/D62^3)*(SIN(D62)-D62*COS(D62)))^2</f>
        <v>0.48209116309318945</v>
      </c>
      <c r="F62">
        <f t="shared" ref="F62:F79" si="29">E62*Izero</f>
        <v>0.69694701023171413</v>
      </c>
    </row>
    <row r="63" spans="2:6">
      <c r="B63">
        <f t="shared" si="26"/>
        <v>170000</v>
      </c>
      <c r="C63" s="45">
        <v>1.7000000000000001E-2</v>
      </c>
      <c r="D63">
        <f t="shared" si="27"/>
        <v>1.9157358512086438</v>
      </c>
      <c r="E63">
        <f t="shared" si="28"/>
        <v>0.45963410202456567</v>
      </c>
      <c r="F63">
        <f t="shared" si="29"/>
        <v>0.66448140461897875</v>
      </c>
    </row>
    <row r="64" spans="2:6">
      <c r="B64">
        <f t="shared" si="26"/>
        <v>175000.00000000003</v>
      </c>
      <c r="C64" s="45">
        <v>1.7500000000000002E-2</v>
      </c>
      <c r="D64">
        <f t="shared" si="27"/>
        <v>1.9720810233030155</v>
      </c>
      <c r="E64">
        <f t="shared" si="28"/>
        <v>0.43742936555756284</v>
      </c>
      <c r="F64">
        <f t="shared" si="29"/>
        <v>0.63238057830561767</v>
      </c>
    </row>
    <row r="65" spans="2:6">
      <c r="B65">
        <f t="shared" si="26"/>
        <v>180000</v>
      </c>
      <c r="C65" s="45">
        <v>1.7999999999999999E-2</v>
      </c>
      <c r="D65">
        <f t="shared" si="27"/>
        <v>2.0284261953973872</v>
      </c>
      <c r="E65">
        <f t="shared" si="28"/>
        <v>0.41552474797649835</v>
      </c>
      <c r="F65">
        <f t="shared" si="29"/>
        <v>0.60071362628052749</v>
      </c>
    </row>
    <row r="66" spans="2:6">
      <c r="B66">
        <f t="shared" si="26"/>
        <v>185000</v>
      </c>
      <c r="C66" s="45">
        <v>1.8499999999999999E-2</v>
      </c>
      <c r="D66">
        <f t="shared" si="27"/>
        <v>2.0847713674917592</v>
      </c>
      <c r="E66">
        <f t="shared" si="28"/>
        <v>0.39396566148210405</v>
      </c>
      <c r="F66">
        <f t="shared" si="29"/>
        <v>0.56954619981456966</v>
      </c>
    </row>
    <row r="67" spans="2:6">
      <c r="B67">
        <f t="shared" si="26"/>
        <v>190000</v>
      </c>
      <c r="C67" s="45">
        <v>1.9E-2</v>
      </c>
      <c r="D67">
        <f t="shared" si="27"/>
        <v>2.1411165395861311</v>
      </c>
      <c r="E67">
        <f t="shared" si="28"/>
        <v>0.37279500098173085</v>
      </c>
      <c r="F67">
        <f t="shared" si="29"/>
        <v>0.53894031099118633</v>
      </c>
    </row>
    <row r="68" spans="2:6">
      <c r="B68">
        <f t="shared" si="26"/>
        <v>195000</v>
      </c>
      <c r="C68" s="45">
        <v>1.95E-2</v>
      </c>
      <c r="D68">
        <f t="shared" si="27"/>
        <v>2.1974617116805031</v>
      </c>
      <c r="E68">
        <f t="shared" si="28"/>
        <v>0.35205302400446176</v>
      </c>
      <c r="F68">
        <f t="shared" si="29"/>
        <v>0.5089541591027138</v>
      </c>
    </row>
    <row r="69" spans="2:6">
      <c r="B69">
        <f t="shared" si="26"/>
        <v>200000</v>
      </c>
      <c r="C69" s="45">
        <v>0.02</v>
      </c>
      <c r="D69">
        <f t="shared" si="27"/>
        <v>2.2538068837748746</v>
      </c>
      <c r="E69">
        <f t="shared" si="28"/>
        <v>0.331777246119347</v>
      </c>
      <c r="F69">
        <f t="shared" si="29"/>
        <v>0.47964197945916903</v>
      </c>
    </row>
    <row r="70" spans="2:6">
      <c r="B70">
        <f t="shared" si="26"/>
        <v>205000</v>
      </c>
      <c r="C70" s="45">
        <v>2.0500000000000001E-2</v>
      </c>
      <c r="D70">
        <f t="shared" si="27"/>
        <v>2.3101520558692465</v>
      </c>
      <c r="E70">
        <f t="shared" si="28"/>
        <v>0.31200235213697081</v>
      </c>
      <c r="F70">
        <f t="shared" si="29"/>
        <v>0.45105391501459818</v>
      </c>
    </row>
    <row r="71" spans="2:6">
      <c r="B71">
        <f t="shared" si="26"/>
        <v>210000</v>
      </c>
      <c r="C71" s="45">
        <v>2.1000000000000001E-2</v>
      </c>
      <c r="D71">
        <f t="shared" si="27"/>
        <v>2.3664972279636185</v>
      </c>
      <c r="E71">
        <f t="shared" si="28"/>
        <v>0.29276012327618051</v>
      </c>
      <c r="F71">
        <f t="shared" si="29"/>
        <v>0.42323591107385833</v>
      </c>
    </row>
    <row r="72" spans="2:6">
      <c r="B72">
        <f t="shared" si="26"/>
        <v>214999.99999999997</v>
      </c>
      <c r="C72" s="45">
        <v>2.1499999999999998E-2</v>
      </c>
      <c r="D72">
        <f t="shared" si="27"/>
        <v>2.42284240005799</v>
      </c>
      <c r="E72">
        <f t="shared" si="28"/>
        <v>0.27407938037973484</v>
      </c>
      <c r="F72">
        <f t="shared" si="29"/>
        <v>0.39622963320091498</v>
      </c>
    </row>
    <row r="73" spans="2:6">
      <c r="B73">
        <f t="shared" si="26"/>
        <v>220000</v>
      </c>
      <c r="C73" s="45">
        <v>2.1999999999999999E-2</v>
      </c>
      <c r="D73">
        <f t="shared" si="27"/>
        <v>2.479187572152362</v>
      </c>
      <c r="E73">
        <f t="shared" si="28"/>
        <v>0.25598594316549622</v>
      </c>
      <c r="F73">
        <f t="shared" si="29"/>
        <v>0.37007240830932064</v>
      </c>
    </row>
    <row r="74" spans="2:6">
      <c r="B74">
        <f t="shared" si="26"/>
        <v>225000</v>
      </c>
      <c r="C74" s="45">
        <v>2.2499999999999999E-2</v>
      </c>
      <c r="D74">
        <f t="shared" si="27"/>
        <v>2.5355327442467339</v>
      </c>
      <c r="E74">
        <f t="shared" si="28"/>
        <v>0.23850260540427523</v>
      </c>
      <c r="F74">
        <f t="shared" si="29"/>
        <v>0.34479718877745208</v>
      </c>
    </row>
    <row r="75" spans="2:6">
      <c r="B75">
        <f t="shared" si="26"/>
        <v>230000</v>
      </c>
      <c r="C75" s="45">
        <v>2.3E-2</v>
      </c>
      <c r="D75">
        <f t="shared" si="27"/>
        <v>2.5918779163411059</v>
      </c>
      <c r="E75">
        <f t="shared" si="28"/>
        <v>0.22164912582210441</v>
      </c>
      <c r="F75">
        <f t="shared" si="29"/>
        <v>0.3204325392961575</v>
      </c>
    </row>
    <row r="76" spans="2:6">
      <c r="B76">
        <f t="shared" si="26"/>
        <v>235000</v>
      </c>
      <c r="C76" s="45">
        <v>2.35E-2</v>
      </c>
      <c r="D76">
        <f t="shared" si="27"/>
        <v>2.6482230884354778</v>
      </c>
      <c r="E76">
        <f t="shared" si="28"/>
        <v>0.20544223443423842</v>
      </c>
      <c r="F76">
        <f t="shared" si="29"/>
        <v>0.29700264602566023</v>
      </c>
    </row>
    <row r="77" spans="2:6">
      <c r="B77">
        <f t="shared" si="26"/>
        <v>240000</v>
      </c>
      <c r="C77" s="45">
        <v>2.4E-2</v>
      </c>
      <c r="D77">
        <f t="shared" si="27"/>
        <v>2.7045682605298498</v>
      </c>
      <c r="E77">
        <f t="shared" si="28"/>
        <v>0.18989565393105479</v>
      </c>
      <c r="F77">
        <f t="shared" si="29"/>
        <v>0.27452734751261521</v>
      </c>
    </row>
    <row r="78" spans="2:6">
      <c r="B78">
        <f t="shared" si="26"/>
        <v>245000</v>
      </c>
      <c r="C78" s="45">
        <v>2.4500000000000001E-2</v>
      </c>
      <c r="D78">
        <f t="shared" si="27"/>
        <v>2.7609134326242217</v>
      </c>
      <c r="E78">
        <f t="shared" si="28"/>
        <v>0.17502013565284807</v>
      </c>
      <c r="F78">
        <f t="shared" si="29"/>
        <v>0.25302218669795967</v>
      </c>
    </row>
    <row r="79" spans="2:6">
      <c r="B79">
        <f t="shared" si="26"/>
        <v>250000</v>
      </c>
      <c r="C79" s="45">
        <v>2.5000000000000001E-2</v>
      </c>
      <c r="D79">
        <f t="shared" si="27"/>
        <v>2.8172586047185937</v>
      </c>
      <c r="E79">
        <f t="shared" si="28"/>
        <v>0.16082350961175779</v>
      </c>
      <c r="F79">
        <f t="shared" si="29"/>
        <v>0.23249848323234981</v>
      </c>
    </row>
  </sheetData>
  <conditionalFormatting sqref="N25:N26">
    <cfRule type="cellIs" dxfId="0" priority="1" operator="lessThan">
      <formula>0</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9AF55C-7597-4266-B06E-4C8A8A62DD78}">
  <dimension ref="A3:W131"/>
  <sheetViews>
    <sheetView zoomScale="33" zoomScaleNormal="33" workbookViewId="0">
      <selection activeCell="AF61" sqref="AF61"/>
    </sheetView>
  </sheetViews>
  <sheetFormatPr defaultRowHeight="14.25"/>
  <cols>
    <col min="1" max="1" width="7.9296875" customWidth="1"/>
    <col min="2" max="2" width="9.33203125" customWidth="1"/>
    <col min="5" max="5" width="10.73046875" bestFit="1" customWidth="1"/>
    <col min="6" max="6" width="10.3984375" customWidth="1"/>
    <col min="7" max="7" width="10.796875" customWidth="1"/>
    <col min="8" max="8" width="11.796875" customWidth="1"/>
    <col min="9" max="9" width="11.33203125" customWidth="1"/>
    <col min="10" max="10" width="10.796875" customWidth="1"/>
    <col min="11" max="11" width="9.9296875" customWidth="1"/>
    <col min="12" max="12" width="10.1328125" customWidth="1"/>
    <col min="13" max="13" width="10.19921875" customWidth="1"/>
    <col min="14" max="14" width="1.9296875" customWidth="1"/>
    <col min="15" max="15" width="7.796875" customWidth="1"/>
    <col min="16" max="16" width="29.6640625" customWidth="1"/>
    <col min="17" max="17" width="12.1328125" bestFit="1" customWidth="1"/>
    <col min="18" max="18" width="9.73046875" customWidth="1"/>
  </cols>
  <sheetData>
    <row r="3" spans="1:23">
      <c r="F3" s="67" t="s">
        <v>189</v>
      </c>
    </row>
    <row r="4" spans="1:23" ht="15.75">
      <c r="F4" s="65" t="s">
        <v>244</v>
      </c>
      <c r="G4" s="65" t="s">
        <v>245</v>
      </c>
      <c r="H4" s="65" t="s">
        <v>246</v>
      </c>
      <c r="I4" s="65" t="s">
        <v>247</v>
      </c>
      <c r="J4" s="65" t="s">
        <v>248</v>
      </c>
      <c r="K4" s="65" t="s">
        <v>249</v>
      </c>
      <c r="L4" s="65" t="s">
        <v>250</v>
      </c>
      <c r="M4" s="65" t="s">
        <v>251</v>
      </c>
    </row>
    <row r="5" spans="1:23" ht="15.75">
      <c r="A5" s="65" t="s">
        <v>129</v>
      </c>
      <c r="B5" s="65" t="s">
        <v>130</v>
      </c>
      <c r="C5" s="65" t="s">
        <v>128</v>
      </c>
      <c r="D5" s="65" t="s">
        <v>242</v>
      </c>
      <c r="E5" s="65" t="s">
        <v>243</v>
      </c>
      <c r="F5" s="177">
        <v>2.601E-3</v>
      </c>
      <c r="G5" s="177">
        <v>4.8279999999999998E-3</v>
      </c>
      <c r="H5" s="177">
        <v>8.1759999999999992E-3</v>
      </c>
      <c r="I5" s="177">
        <v>1.0234999999999999E-2</v>
      </c>
      <c r="J5" s="177">
        <v>1.0000000000000001E-5</v>
      </c>
      <c r="K5" s="177">
        <v>1.0000000000000001E-5</v>
      </c>
      <c r="L5" s="177">
        <v>1.0000000000000001E-5</v>
      </c>
      <c r="M5" s="177">
        <v>1.0000000000000001E-5</v>
      </c>
      <c r="N5" s="134"/>
      <c r="O5" s="206" t="s">
        <v>307</v>
      </c>
      <c r="P5" s="206"/>
      <c r="Q5" s="206"/>
      <c r="R5" s="206"/>
      <c r="S5" s="206"/>
      <c r="T5" s="206"/>
      <c r="U5" s="206"/>
      <c r="V5" s="206"/>
      <c r="W5" s="206"/>
    </row>
    <row r="6" spans="1:23">
      <c r="A6" s="67">
        <v>1</v>
      </c>
      <c r="B6" s="175" t="s">
        <v>131</v>
      </c>
      <c r="C6" s="175">
        <f>NormStandard!E15</f>
        <v>22.5</v>
      </c>
      <c r="D6" s="175">
        <f t="shared" ref="D6:D23" si="0">4*PI()*Refin*SIN(RADIANS(C6/2))/Lamcm</f>
        <v>53505.226980224332</v>
      </c>
      <c r="E6" s="175">
        <f>D6^2</f>
        <v>2862809314.2053256</v>
      </c>
      <c r="F6" s="175">
        <f>Conc1!M15</f>
        <v>0.13606409312207923</v>
      </c>
      <c r="G6" s="175">
        <f>Conc2!M15</f>
        <v>0.1189087551057247</v>
      </c>
      <c r="H6" s="175">
        <f>Conc3!M15</f>
        <v>9.0294698948675298E-2</v>
      </c>
      <c r="I6" s="175">
        <f>Conc4!M15</f>
        <v>8.7871998541785526E-2</v>
      </c>
      <c r="J6" s="175">
        <f>Conc5!M15</f>
        <v>-3.4310676032709111E-2</v>
      </c>
      <c r="K6" s="175">
        <f>Conc6!M15</f>
        <v>-3.4310676032709111E-2</v>
      </c>
      <c r="L6" s="175">
        <f>Conc7!M15</f>
        <v>-3.4310676032709111E-2</v>
      </c>
      <c r="M6" s="175">
        <f>Conc8!M15</f>
        <v>-3.4310676032709111E-2</v>
      </c>
      <c r="O6" s="206" t="s">
        <v>401</v>
      </c>
      <c r="P6" s="206"/>
      <c r="Q6" s="206"/>
      <c r="R6" s="206"/>
      <c r="S6" s="206"/>
      <c r="T6" s="206"/>
      <c r="U6" s="206"/>
      <c r="V6" s="206"/>
      <c r="W6" s="206"/>
    </row>
    <row r="7" spans="1:23">
      <c r="A7" s="67">
        <v>2</v>
      </c>
      <c r="B7" s="175" t="s">
        <v>131</v>
      </c>
      <c r="C7" s="175">
        <f>NormStandard!E16</f>
        <v>28</v>
      </c>
      <c r="D7" s="175">
        <f t="shared" si="0"/>
        <v>66349.195602210661</v>
      </c>
      <c r="E7" s="175">
        <f t="shared" ref="E7:E23" si="1">D7^2</f>
        <v>4402215757.0604105</v>
      </c>
      <c r="F7" s="175">
        <f>Conc1!M16</f>
        <v>6.4453609174415061E-2</v>
      </c>
      <c r="G7" s="175">
        <f>Conc2!M16</f>
        <v>0.10029662285721683</v>
      </c>
      <c r="H7" s="175">
        <f>Conc3!M16</f>
        <v>8.5406350110652299E-2</v>
      </c>
      <c r="I7" s="175">
        <f>Conc4!M16</f>
        <v>8.487455465541785E-2</v>
      </c>
      <c r="J7" s="175">
        <f>Conc5!M16</f>
        <v>-2.595161821544105E-2</v>
      </c>
      <c r="K7" s="175">
        <f>Conc6!M16</f>
        <v>-2.595161821544105E-2</v>
      </c>
      <c r="L7" s="175">
        <f>Conc7!M16</f>
        <v>-2.595161821544105E-2</v>
      </c>
      <c r="M7" s="175">
        <f>Conc8!M16</f>
        <v>-2.595161821544105E-2</v>
      </c>
    </row>
    <row r="8" spans="1:23">
      <c r="A8" s="67">
        <v>3</v>
      </c>
      <c r="B8" s="175" t="s">
        <v>131</v>
      </c>
      <c r="C8" s="175">
        <f>NormStandard!E17</f>
        <v>32</v>
      </c>
      <c r="D8" s="175">
        <f t="shared" si="0"/>
        <v>75595.955426216213</v>
      </c>
      <c r="E8" s="175">
        <f t="shared" si="1"/>
        <v>5714748476.8024683</v>
      </c>
      <c r="F8" s="175">
        <f>Conc1!M17</f>
        <v>5.8775787227165623E-2</v>
      </c>
      <c r="G8" s="175">
        <f>Conc2!M17</f>
        <v>8.4548081958984805E-2</v>
      </c>
      <c r="H8" s="175">
        <f>Conc3!M17</f>
        <v>8.8371864560144925E-2</v>
      </c>
      <c r="I8" s="175">
        <f>Conc4!M17</f>
        <v>8.7097270359758214E-2</v>
      </c>
      <c r="J8" s="175">
        <f>Conc5!M17</f>
        <v>-2.4217289807347407E-2</v>
      </c>
      <c r="K8" s="175">
        <f>Conc6!M17</f>
        <v>-2.4217289807347407E-2</v>
      </c>
      <c r="L8" s="175">
        <f>Conc7!M17</f>
        <v>-2.4217289807347407E-2</v>
      </c>
      <c r="M8" s="175">
        <f>Conc8!M17</f>
        <v>-2.4217289807347407E-2</v>
      </c>
    </row>
    <row r="9" spans="1:23">
      <c r="A9" s="67">
        <v>4</v>
      </c>
      <c r="B9" s="54" t="s">
        <v>132</v>
      </c>
      <c r="C9" s="54">
        <f>NormStandard!E18</f>
        <v>38</v>
      </c>
      <c r="D9" s="54">
        <f t="shared" si="0"/>
        <v>89289.913624330453</v>
      </c>
      <c r="E9" s="54">
        <f t="shared" si="1"/>
        <v>7972688675.0403929</v>
      </c>
      <c r="F9" s="54" t="str">
        <f>Conc1!M18</f>
        <v>---</v>
      </c>
      <c r="G9" s="54" t="str">
        <f>Conc2!M18</f>
        <v>---</v>
      </c>
      <c r="H9" s="54" t="str">
        <f>Conc3!M18</f>
        <v>---</v>
      </c>
      <c r="I9" s="54" t="str">
        <f>Conc4!M18</f>
        <v>---</v>
      </c>
      <c r="J9" s="54" t="str">
        <f>Conc5!M18</f>
        <v>---</v>
      </c>
      <c r="K9" s="54" t="str">
        <f>Conc6!M18</f>
        <v>---</v>
      </c>
      <c r="L9" s="54" t="str">
        <f>Conc7!M18</f>
        <v>---</v>
      </c>
      <c r="M9" s="54" t="str">
        <f>Conc8!M18</f>
        <v>---</v>
      </c>
    </row>
    <row r="10" spans="1:23">
      <c r="A10" s="67">
        <v>5</v>
      </c>
      <c r="B10" s="176" t="s">
        <v>1</v>
      </c>
      <c r="C10" s="176">
        <f>NormStandard!E19</f>
        <v>44</v>
      </c>
      <c r="D10" s="176">
        <f t="shared" si="0"/>
        <v>102739.13437566617</v>
      </c>
      <c r="E10" s="176">
        <f t="shared" si="1"/>
        <v>10555329732.261189</v>
      </c>
      <c r="F10" s="176">
        <f>Conc1!M19</f>
        <v>5.794360892318115E-2</v>
      </c>
      <c r="G10" s="176">
        <f>Conc2!M19</f>
        <v>7.6094332606905055E-2</v>
      </c>
      <c r="H10" s="176">
        <f>Conc3!M19</f>
        <v>8.2356433437867471E-2</v>
      </c>
      <c r="I10" s="176">
        <f>Conc4!M19</f>
        <v>8.3139207273426635E-2</v>
      </c>
      <c r="J10" s="176">
        <f>Conc5!M19</f>
        <v>-1.9565122773967943E-2</v>
      </c>
      <c r="K10" s="176">
        <f>Conc6!M19</f>
        <v>-1.9565122773967943E-2</v>
      </c>
      <c r="L10" s="176">
        <f>Conc7!M19</f>
        <v>-1.9565122773967943E-2</v>
      </c>
      <c r="M10" s="176">
        <f>Conc8!M19</f>
        <v>-1.9565122773967943E-2</v>
      </c>
    </row>
    <row r="11" spans="1:23">
      <c r="A11" s="67">
        <v>6</v>
      </c>
      <c r="B11" s="176" t="s">
        <v>1</v>
      </c>
      <c r="C11" s="176">
        <f>NormStandard!E20</f>
        <v>50</v>
      </c>
      <c r="D11" s="176">
        <f t="shared" si="0"/>
        <v>115906.75430098787</v>
      </c>
      <c r="E11" s="176">
        <f t="shared" si="1"/>
        <v>13434375692.589571</v>
      </c>
      <c r="F11" s="176">
        <f>Conc1!M20</f>
        <v>4.4209107602788129E-2</v>
      </c>
      <c r="G11" s="176">
        <f>Conc2!M20</f>
        <v>5.7617387385193626E-2</v>
      </c>
      <c r="H11" s="176">
        <f>Conc3!M20</f>
        <v>6.1083191016415246E-2</v>
      </c>
      <c r="I11" s="176">
        <f>Conc4!M20</f>
        <v>6.2517810147097466E-2</v>
      </c>
      <c r="J11" s="176">
        <f>Conc5!M20</f>
        <v>-1.6000877826111037E-2</v>
      </c>
      <c r="K11" s="176">
        <f>Conc6!M20</f>
        <v>-1.6000877826111037E-2</v>
      </c>
      <c r="L11" s="176">
        <f>Conc7!M20</f>
        <v>-1.6000877826111037E-2</v>
      </c>
      <c r="M11" s="176">
        <f>Conc8!M20</f>
        <v>-1.6000877826111037E-2</v>
      </c>
    </row>
    <row r="12" spans="1:23">
      <c r="A12" s="67">
        <v>7</v>
      </c>
      <c r="B12" s="175" t="s">
        <v>131</v>
      </c>
      <c r="C12" s="175">
        <f>NormStandard!E21</f>
        <v>57</v>
      </c>
      <c r="D12" s="175">
        <f t="shared" si="0"/>
        <v>130864.96300509552</v>
      </c>
      <c r="E12" s="175">
        <f t="shared" si="1"/>
        <v>17125638542.325018</v>
      </c>
      <c r="F12" s="175">
        <f>Conc1!M21</f>
        <v>5.4654238930112668E-2</v>
      </c>
      <c r="G12" s="175">
        <f>Conc2!M21</f>
        <v>7.7844684347706347E-2</v>
      </c>
      <c r="H12" s="175">
        <f>Conc3!M21</f>
        <v>8.4112372298407331E-2</v>
      </c>
      <c r="I12" s="175">
        <f>Conc4!M21</f>
        <v>8.2984188467281159E-2</v>
      </c>
      <c r="J12" s="175">
        <f>Conc5!M21</f>
        <v>-2.8079242019140454E-2</v>
      </c>
      <c r="K12" s="175">
        <f>Conc6!M21</f>
        <v>-2.8079242019140454E-2</v>
      </c>
      <c r="L12" s="175">
        <f>Conc7!M21</f>
        <v>-2.8079242019140454E-2</v>
      </c>
      <c r="M12" s="175">
        <f>Conc8!M21</f>
        <v>-2.8079242019140454E-2</v>
      </c>
    </row>
    <row r="13" spans="1:23">
      <c r="A13" s="67">
        <v>8</v>
      </c>
      <c r="B13" s="176" t="s">
        <v>1</v>
      </c>
      <c r="C13" s="176">
        <f>NormStandard!E22</f>
        <v>64</v>
      </c>
      <c r="D13" s="176">
        <f t="shared" si="0"/>
        <v>145334.99263816432</v>
      </c>
      <c r="E13" s="176">
        <f t="shared" si="1"/>
        <v>21122260085.135277</v>
      </c>
      <c r="F13" s="176">
        <f>Conc1!M22</f>
        <v>6.7373861113836697E-2</v>
      </c>
      <c r="G13" s="176">
        <f>Conc2!M22</f>
        <v>9.4423867794183047E-2</v>
      </c>
      <c r="H13" s="176">
        <f>Conc3!M22</f>
        <v>9.8523114407106691E-2</v>
      </c>
      <c r="I13" s="176">
        <f>Conc4!M22</f>
        <v>9.8489258252604059E-2</v>
      </c>
      <c r="J13" s="176">
        <f>Conc5!M22</f>
        <v>-2.0466544209998459E-2</v>
      </c>
      <c r="K13" s="176">
        <f>Conc6!M22</f>
        <v>-2.0466544209998459E-2</v>
      </c>
      <c r="L13" s="176">
        <f>Conc7!M22</f>
        <v>-2.0466544209998459E-2</v>
      </c>
      <c r="M13" s="176">
        <f>Conc8!M22</f>
        <v>-2.0466544209998459E-2</v>
      </c>
    </row>
    <row r="14" spans="1:23">
      <c r="A14" s="67">
        <v>9</v>
      </c>
      <c r="B14" s="175" t="s">
        <v>131</v>
      </c>
      <c r="C14" s="175">
        <f>NormStandard!E23</f>
        <v>72</v>
      </c>
      <c r="D14" s="175">
        <f t="shared" si="0"/>
        <v>161205.2459318676</v>
      </c>
      <c r="E14" s="175">
        <f t="shared" si="1"/>
        <v>25987131315.953915</v>
      </c>
      <c r="F14" s="175">
        <f>Conc1!M23</f>
        <v>5.995467810168837E-2</v>
      </c>
      <c r="G14" s="175">
        <f>Conc2!M23</f>
        <v>8.4024074419884423E-2</v>
      </c>
      <c r="H14" s="175">
        <f>Conc3!M23</f>
        <v>9.6423460401985434E-2</v>
      </c>
      <c r="I14" s="175">
        <f>Conc4!M23</f>
        <v>8.8619140989721845E-2</v>
      </c>
      <c r="J14" s="175">
        <f>Conc5!M23</f>
        <v>-2.5382272481006753E-2</v>
      </c>
      <c r="K14" s="175">
        <f>Conc6!M23</f>
        <v>-2.5382272481006753E-2</v>
      </c>
      <c r="L14" s="175">
        <f>Conc7!M23</f>
        <v>-2.5382272481006753E-2</v>
      </c>
      <c r="M14" s="175">
        <f>Conc8!M23</f>
        <v>-2.5382272481006753E-2</v>
      </c>
    </row>
    <row r="15" spans="1:23">
      <c r="A15" s="67">
        <v>10</v>
      </c>
      <c r="B15" s="176" t="s">
        <v>1</v>
      </c>
      <c r="C15" s="176">
        <f>NormStandard!E24</f>
        <v>81</v>
      </c>
      <c r="D15" s="176">
        <f t="shared" si="0"/>
        <v>178116.80701873807</v>
      </c>
      <c r="E15" s="176">
        <f t="shared" si="1"/>
        <v>31725596942.550377</v>
      </c>
      <c r="F15" s="176">
        <f>Conc1!M24</f>
        <v>7.38232782874884E-2</v>
      </c>
      <c r="G15" s="176">
        <f>Conc2!M24</f>
        <v>9.1478707762397332E-2</v>
      </c>
      <c r="H15" s="176">
        <f>Conc3!M24</f>
        <v>9.7748011498850915E-2</v>
      </c>
      <c r="I15" s="176">
        <f>Conc4!M24</f>
        <v>0.10285737194035385</v>
      </c>
      <c r="J15" s="176">
        <f>Conc5!M24</f>
        <v>-3.7253990630228481E-2</v>
      </c>
      <c r="K15" s="176">
        <f>Conc6!M24</f>
        <v>-3.7253990630228481E-2</v>
      </c>
      <c r="L15" s="176">
        <f>Conc7!M24</f>
        <v>-3.7253990630228481E-2</v>
      </c>
      <c r="M15" s="176">
        <f>Conc8!M24</f>
        <v>-3.7253990630228481E-2</v>
      </c>
    </row>
    <row r="16" spans="1:23">
      <c r="A16" s="67">
        <v>11</v>
      </c>
      <c r="B16" s="175" t="s">
        <v>131</v>
      </c>
      <c r="C16" s="175">
        <f>NormStandard!E25</f>
        <v>90</v>
      </c>
      <c r="D16" s="175">
        <f t="shared" si="0"/>
        <v>193930.21876048925</v>
      </c>
      <c r="E16" s="175">
        <f t="shared" si="1"/>
        <v>37608929748.491219</v>
      </c>
      <c r="F16" s="175">
        <f>Conc1!M25</f>
        <v>6.1638520326204309E-2</v>
      </c>
      <c r="G16" s="175">
        <f>Conc2!M25</f>
        <v>8.6559754959440571E-2</v>
      </c>
      <c r="H16" s="175">
        <f>Conc3!M25</f>
        <v>9.2374709707195676E-2</v>
      </c>
      <c r="I16" s="175">
        <f>Conc4!M25</f>
        <v>9.2125497360863326E-2</v>
      </c>
      <c r="J16" s="175">
        <f>Conc5!M25</f>
        <v>-2.4755093069014671E-2</v>
      </c>
      <c r="K16" s="175">
        <f>Conc6!M25</f>
        <v>-2.4755093069014671E-2</v>
      </c>
      <c r="L16" s="175">
        <f>Conc7!M25</f>
        <v>-2.4755093069014671E-2</v>
      </c>
      <c r="M16" s="175">
        <f>Conc8!M25</f>
        <v>-2.4755093069014671E-2</v>
      </c>
    </row>
    <row r="17" spans="1:13">
      <c r="A17" s="67">
        <v>12</v>
      </c>
      <c r="B17" s="176" t="s">
        <v>1</v>
      </c>
      <c r="C17" s="176">
        <f>NormStandard!E26</f>
        <v>99</v>
      </c>
      <c r="D17" s="176">
        <f t="shared" si="0"/>
        <v>208547.98621524032</v>
      </c>
      <c r="E17" s="176">
        <f t="shared" si="1"/>
        <v>43492262554.432068</v>
      </c>
      <c r="F17" s="176">
        <f>Conc1!M26</f>
        <v>6.7926307707544542E-2</v>
      </c>
      <c r="G17" s="176">
        <f>Conc2!M26</f>
        <v>8.5493390699503347E-2</v>
      </c>
      <c r="H17" s="176">
        <f>Conc3!M26</f>
        <v>9.3843495125867288E-2</v>
      </c>
      <c r="I17" s="176">
        <f>Conc4!M26</f>
        <v>9.8951163406160461E-2</v>
      </c>
      <c r="J17" s="176">
        <f>Conc5!M26</f>
        <v>-2.7187138738160973E-2</v>
      </c>
      <c r="K17" s="176">
        <f>Conc6!M26</f>
        <v>-2.7187138738160973E-2</v>
      </c>
      <c r="L17" s="176">
        <f>Conc7!M26</f>
        <v>-2.7187138738160973E-2</v>
      </c>
      <c r="M17" s="176">
        <f>Conc8!M26</f>
        <v>-2.7187138738160973E-2</v>
      </c>
    </row>
    <row r="18" spans="1:13">
      <c r="A18" s="67">
        <v>13</v>
      </c>
      <c r="B18" s="54" t="s">
        <v>132</v>
      </c>
      <c r="C18" s="54">
        <f>NormStandard!E27</f>
        <v>108</v>
      </c>
      <c r="D18" s="54">
        <f t="shared" si="0"/>
        <v>221879.98598573179</v>
      </c>
      <c r="E18" s="54">
        <f t="shared" si="1"/>
        <v>49230728181.028534</v>
      </c>
      <c r="F18" s="54" t="str">
        <f>Conc1!M27</f>
        <v>---</v>
      </c>
      <c r="G18" s="54" t="str">
        <f>Conc2!M27</f>
        <v>---</v>
      </c>
      <c r="H18" s="54" t="str">
        <f>Conc3!M27</f>
        <v>---</v>
      </c>
      <c r="I18" s="54" t="str">
        <f>Conc4!M27</f>
        <v>---</v>
      </c>
      <c r="J18" s="54" t="str">
        <f>Conc5!M27</f>
        <v>---</v>
      </c>
      <c r="K18" s="54" t="str">
        <f>Conc6!M27</f>
        <v>---</v>
      </c>
      <c r="L18" s="54" t="str">
        <f>Conc7!M27</f>
        <v>---</v>
      </c>
      <c r="M18" s="54" t="str">
        <f>Conc8!M27</f>
        <v>---</v>
      </c>
    </row>
    <row r="19" spans="1:13">
      <c r="A19" s="67">
        <v>14</v>
      </c>
      <c r="B19" s="176" t="s">
        <v>1</v>
      </c>
      <c r="C19" s="176">
        <f>NormStandard!E28</f>
        <v>117</v>
      </c>
      <c r="D19" s="176">
        <f t="shared" si="0"/>
        <v>233844.02186003872</v>
      </c>
      <c r="E19" s="176">
        <f t="shared" si="1"/>
        <v>54683026559.678268</v>
      </c>
      <c r="F19" s="176">
        <f>Conc1!M28</f>
        <v>6.6169721423477518E-2</v>
      </c>
      <c r="G19" s="176">
        <f>Conc2!M28</f>
        <v>8.9670451648016819E-2</v>
      </c>
      <c r="H19" s="176">
        <f>Conc3!M28</f>
        <v>9.6259903776713007E-2</v>
      </c>
      <c r="I19" s="176">
        <f>Conc4!M28</f>
        <v>9.6975693056868609E-2</v>
      </c>
      <c r="J19" s="176">
        <f>Conc5!M28</f>
        <v>-2.1811207562331042E-2</v>
      </c>
      <c r="K19" s="176">
        <f>Conc6!M28</f>
        <v>-2.1811207562331042E-2</v>
      </c>
      <c r="L19" s="176">
        <f>Conc7!M28</f>
        <v>-2.1811207562331042E-2</v>
      </c>
      <c r="M19" s="176">
        <f>Conc8!M28</f>
        <v>-2.1811207562331042E-2</v>
      </c>
    </row>
    <row r="20" spans="1:13">
      <c r="A20" s="67">
        <v>15</v>
      </c>
      <c r="B20" s="175" t="s">
        <v>131</v>
      </c>
      <c r="C20" s="175">
        <f>NormStandard!E29</f>
        <v>126</v>
      </c>
      <c r="D20" s="175">
        <f t="shared" si="0"/>
        <v>244366.33157855037</v>
      </c>
      <c r="E20" s="175">
        <f t="shared" si="1"/>
        <v>59714904009.15802</v>
      </c>
      <c r="F20" s="175">
        <f>Conc1!M29</f>
        <v>6.0053557096976032E-2</v>
      </c>
      <c r="G20" s="175">
        <f>Conc2!M29</f>
        <v>8.6816555368454465E-2</v>
      </c>
      <c r="H20" s="175">
        <f>Conc3!M29</f>
        <v>9.3344115922473603E-2</v>
      </c>
      <c r="I20" s="175">
        <f>Conc4!M29</f>
        <v>9.138584775626786E-2</v>
      </c>
      <c r="J20" s="175">
        <f>Conc5!M29</f>
        <v>-2.676299827147845E-2</v>
      </c>
      <c r="K20" s="175">
        <f>Conc6!M29</f>
        <v>-2.676299827147845E-2</v>
      </c>
      <c r="L20" s="175">
        <f>Conc7!M29</f>
        <v>-2.676299827147845E-2</v>
      </c>
      <c r="M20" s="175">
        <f>Conc8!M29</f>
        <v>-2.676299827147845E-2</v>
      </c>
    </row>
    <row r="21" spans="1:13">
      <c r="A21" s="67">
        <v>16</v>
      </c>
      <c r="B21" s="176" t="s">
        <v>1</v>
      </c>
      <c r="C21" s="176">
        <f>NormStandard!E30</f>
        <v>134</v>
      </c>
      <c r="D21" s="176">
        <f t="shared" si="0"/>
        <v>252456.50635760027</v>
      </c>
      <c r="E21" s="176">
        <f t="shared" si="1"/>
        <v>63734287602.285065</v>
      </c>
      <c r="F21" s="176">
        <f>Conc1!M30</f>
        <v>6.431650711541656E-2</v>
      </c>
      <c r="G21" s="176">
        <f>Conc2!M30</f>
        <v>8.6543570586849736E-2</v>
      </c>
      <c r="H21" s="176">
        <f>Conc3!M30</f>
        <v>9.3093072996857221E-2</v>
      </c>
      <c r="I21" s="176">
        <f>Conc4!M30</f>
        <v>9.6742785859343941E-2</v>
      </c>
      <c r="J21" s="176">
        <f>Conc5!M30</f>
        <v>-2.1646022709733509E-2</v>
      </c>
      <c r="K21" s="176">
        <f>Conc6!M30</f>
        <v>-2.1646022709733509E-2</v>
      </c>
      <c r="L21" s="176">
        <f>Conc7!M30</f>
        <v>-2.1646022709733509E-2</v>
      </c>
      <c r="M21" s="176">
        <f>Conc8!M30</f>
        <v>-2.1646022709733509E-2</v>
      </c>
    </row>
    <row r="22" spans="1:13">
      <c r="A22" s="67">
        <v>17</v>
      </c>
      <c r="B22" s="175" t="s">
        <v>131</v>
      </c>
      <c r="C22" s="175">
        <f>NormStandard!E31</f>
        <v>141</v>
      </c>
      <c r="D22" s="175">
        <f t="shared" si="0"/>
        <v>258527.67282681772</v>
      </c>
      <c r="E22" s="175">
        <f t="shared" si="1"/>
        <v>66836557617.250107</v>
      </c>
      <c r="F22" s="175">
        <f>Conc1!M31</f>
        <v>6.5104752875167246E-2</v>
      </c>
      <c r="G22" s="175">
        <f>Conc2!M31</f>
        <v>8.7273037904346068E-2</v>
      </c>
      <c r="H22" s="175">
        <f>Conc3!M31</f>
        <v>9.4273548966192014E-2</v>
      </c>
      <c r="I22" s="175">
        <f>Conc4!M31</f>
        <v>9.2721769014149483E-2</v>
      </c>
      <c r="J22" s="175">
        <f>Conc5!M31</f>
        <v>-2.3568387241547997E-2</v>
      </c>
      <c r="K22" s="175">
        <f>Conc6!M31</f>
        <v>-2.3568387241547997E-2</v>
      </c>
      <c r="L22" s="175">
        <f>Conc7!M31</f>
        <v>-2.3568387241547997E-2</v>
      </c>
      <c r="M22" s="175">
        <f>Conc8!M31</f>
        <v>-2.3568387241547997E-2</v>
      </c>
    </row>
    <row r="23" spans="1:13">
      <c r="A23" s="67">
        <v>18</v>
      </c>
      <c r="B23" s="176" t="s">
        <v>1</v>
      </c>
      <c r="C23" s="176">
        <f>NormStandard!E32</f>
        <v>147</v>
      </c>
      <c r="D23" s="176">
        <f t="shared" si="0"/>
        <v>262964.69766962621</v>
      </c>
      <c r="E23" s="176">
        <f t="shared" si="1"/>
        <v>69150432220.477921</v>
      </c>
      <c r="F23" s="176">
        <f>Conc1!M32</f>
        <v>5.9895096834268864E-2</v>
      </c>
      <c r="G23" s="176">
        <f>Conc2!M32</f>
        <v>8.4838450237922983E-2</v>
      </c>
      <c r="H23" s="176">
        <f>Conc3!M32</f>
        <v>8.867474594143275E-2</v>
      </c>
      <c r="I23" s="176">
        <f>Conc4!M32</f>
        <v>9.137414777572779E-2</v>
      </c>
      <c r="J23" s="176">
        <f>Conc5!M32</f>
        <v>-2.0038758173320216E-2</v>
      </c>
      <c r="K23" s="176">
        <f>Conc6!M32</f>
        <v>-2.0038758173320216E-2</v>
      </c>
      <c r="L23" s="176">
        <f>Conc7!M32</f>
        <v>-2.0038758173320216E-2</v>
      </c>
      <c r="M23" s="176">
        <f>Conc8!M32</f>
        <v>-2.0038758173320216E-2</v>
      </c>
    </row>
    <row r="24" spans="1:13">
      <c r="A24" s="67"/>
      <c r="B24" s="12"/>
    </row>
    <row r="25" spans="1:13" ht="15.75">
      <c r="F25" s="67" t="s">
        <v>253</v>
      </c>
    </row>
    <row r="26" spans="1:13" ht="15.75">
      <c r="F26" s="65" t="s">
        <v>244</v>
      </c>
      <c r="G26" s="65" t="s">
        <v>245</v>
      </c>
      <c r="H26" s="65" t="s">
        <v>246</v>
      </c>
      <c r="I26" s="65" t="s">
        <v>247</v>
      </c>
      <c r="J26" s="65" t="s">
        <v>248</v>
      </c>
      <c r="K26" s="65" t="s">
        <v>249</v>
      </c>
      <c r="L26" s="65" t="s">
        <v>250</v>
      </c>
      <c r="M26" s="65" t="s">
        <v>251</v>
      </c>
    </row>
    <row r="27" spans="1:13" ht="15.75">
      <c r="A27" s="65" t="s">
        <v>129</v>
      </c>
      <c r="B27" s="174" t="s">
        <v>130</v>
      </c>
      <c r="C27" s="65" t="s">
        <v>128</v>
      </c>
      <c r="D27" s="65" t="s">
        <v>242</v>
      </c>
      <c r="E27" s="65" t="s">
        <v>243</v>
      </c>
      <c r="F27" s="182">
        <f>F5</f>
        <v>2.601E-3</v>
      </c>
      <c r="G27" s="182">
        <f t="shared" ref="G27:M27" si="2">G5</f>
        <v>4.8279999999999998E-3</v>
      </c>
      <c r="H27" s="182">
        <f t="shared" si="2"/>
        <v>8.1759999999999992E-3</v>
      </c>
      <c r="I27" s="182">
        <f t="shared" si="2"/>
        <v>1.0234999999999999E-2</v>
      </c>
      <c r="J27" s="182">
        <f t="shared" si="2"/>
        <v>1.0000000000000001E-5</v>
      </c>
      <c r="K27" s="182">
        <f t="shared" si="2"/>
        <v>1.0000000000000001E-5</v>
      </c>
      <c r="L27" s="182">
        <f t="shared" si="2"/>
        <v>1.0000000000000001E-5</v>
      </c>
      <c r="M27" s="182">
        <f t="shared" si="2"/>
        <v>1.0000000000000001E-5</v>
      </c>
    </row>
    <row r="28" spans="1:13">
      <c r="A28">
        <f t="shared" ref="A28:E37" si="3">A6</f>
        <v>1</v>
      </c>
      <c r="B28" s="175" t="str">
        <f t="shared" si="3"/>
        <v>Wyatt</v>
      </c>
      <c r="C28" s="175">
        <f t="shared" si="3"/>
        <v>22.5</v>
      </c>
      <c r="D28" s="175">
        <f t="shared" si="3"/>
        <v>53505.226980224332</v>
      </c>
      <c r="E28" s="175">
        <f t="shared" si="3"/>
        <v>2862809314.2053256</v>
      </c>
      <c r="F28" s="175">
        <f t="shared" ref="F28:M37" si="4">RayFactorStd*(F6/I90Std)*(Refin/RefinRayleigh)^VolExponent</f>
        <v>4.5468969091512779E-5</v>
      </c>
      <c r="G28" s="175">
        <f t="shared" si="4"/>
        <v>3.9736115433198855E-5</v>
      </c>
      <c r="H28" s="175">
        <f t="shared" si="4"/>
        <v>3.0174065629064547E-5</v>
      </c>
      <c r="I28" s="175">
        <f t="shared" si="4"/>
        <v>2.9364464158233952E-5</v>
      </c>
      <c r="J28" s="175">
        <f t="shared" si="4"/>
        <v>-1.1465707316627865E-5</v>
      </c>
      <c r="K28" s="175">
        <f t="shared" si="4"/>
        <v>-1.1465707316627865E-5</v>
      </c>
      <c r="L28" s="175">
        <f t="shared" si="4"/>
        <v>-1.1465707316627865E-5</v>
      </c>
      <c r="M28" s="175">
        <f t="shared" si="4"/>
        <v>-1.1465707316627865E-5</v>
      </c>
    </row>
    <row r="29" spans="1:13">
      <c r="A29">
        <f t="shared" si="3"/>
        <v>2</v>
      </c>
      <c r="B29" s="175" t="str">
        <f t="shared" si="3"/>
        <v>Wyatt</v>
      </c>
      <c r="C29" s="175">
        <f t="shared" si="3"/>
        <v>28</v>
      </c>
      <c r="D29" s="175">
        <f t="shared" si="3"/>
        <v>66349.195602210661</v>
      </c>
      <c r="E29" s="175">
        <f t="shared" si="3"/>
        <v>4402215757.0604105</v>
      </c>
      <c r="F29" s="175">
        <f t="shared" si="4"/>
        <v>2.1538666786677504E-5</v>
      </c>
      <c r="G29" s="175">
        <f t="shared" si="4"/>
        <v>3.3516440230753932E-5</v>
      </c>
      <c r="H29" s="175">
        <f t="shared" si="4"/>
        <v>2.8540510610069368E-5</v>
      </c>
      <c r="I29" s="175">
        <f t="shared" si="4"/>
        <v>2.8362798837902061E-5</v>
      </c>
      <c r="J29" s="175">
        <f t="shared" si="4"/>
        <v>-8.6723344817645404E-6</v>
      </c>
      <c r="K29" s="175">
        <f t="shared" si="4"/>
        <v>-8.6723344817645404E-6</v>
      </c>
      <c r="L29" s="175">
        <f t="shared" si="4"/>
        <v>-8.6723344817645404E-6</v>
      </c>
      <c r="M29" s="175">
        <f t="shared" si="4"/>
        <v>-8.6723344817645404E-6</v>
      </c>
    </row>
    <row r="30" spans="1:13">
      <c r="A30">
        <f t="shared" si="3"/>
        <v>3</v>
      </c>
      <c r="B30" s="175" t="str">
        <f t="shared" si="3"/>
        <v>Wyatt</v>
      </c>
      <c r="C30" s="175">
        <f t="shared" si="3"/>
        <v>32</v>
      </c>
      <c r="D30" s="175">
        <f t="shared" si="3"/>
        <v>75595.955426216213</v>
      </c>
      <c r="E30" s="175">
        <f t="shared" si="3"/>
        <v>5714748476.8024683</v>
      </c>
      <c r="F30" s="175">
        <f t="shared" si="4"/>
        <v>1.9641291037478433E-5</v>
      </c>
      <c r="G30" s="175">
        <f t="shared" si="4"/>
        <v>2.8253700422569088E-5</v>
      </c>
      <c r="H30" s="175">
        <f t="shared" si="4"/>
        <v>2.9531505969318444E-5</v>
      </c>
      <c r="I30" s="175">
        <f t="shared" si="4"/>
        <v>2.9105570787068658E-5</v>
      </c>
      <c r="J30" s="175">
        <f t="shared" si="4"/>
        <v>-8.0927684627459192E-6</v>
      </c>
      <c r="K30" s="175">
        <f t="shared" si="4"/>
        <v>-8.0927684627459192E-6</v>
      </c>
      <c r="L30" s="175">
        <f t="shared" si="4"/>
        <v>-8.0927684627459192E-6</v>
      </c>
      <c r="M30" s="175">
        <f t="shared" si="4"/>
        <v>-8.0927684627459192E-6</v>
      </c>
    </row>
    <row r="31" spans="1:13">
      <c r="A31">
        <f t="shared" si="3"/>
        <v>4</v>
      </c>
      <c r="B31" s="54" t="str">
        <f t="shared" si="3"/>
        <v>Blank</v>
      </c>
      <c r="C31" s="54">
        <f t="shared" si="3"/>
        <v>38</v>
      </c>
      <c r="D31" s="54">
        <f t="shared" si="3"/>
        <v>89289.913624330453</v>
      </c>
      <c r="E31" s="54">
        <f t="shared" si="3"/>
        <v>7972688675.0403929</v>
      </c>
      <c r="F31" s="54"/>
      <c r="G31" s="54"/>
      <c r="H31" s="54"/>
      <c r="I31" s="54"/>
      <c r="J31" s="54"/>
      <c r="K31" s="54"/>
      <c r="L31" s="54"/>
      <c r="M31" s="54"/>
    </row>
    <row r="32" spans="1:13">
      <c r="A32">
        <f t="shared" si="3"/>
        <v>5</v>
      </c>
      <c r="B32" s="176" t="str">
        <f t="shared" si="3"/>
        <v>Fiber/APD</v>
      </c>
      <c r="C32" s="176">
        <f t="shared" si="3"/>
        <v>44</v>
      </c>
      <c r="D32" s="176">
        <f t="shared" si="3"/>
        <v>102739.13437566617</v>
      </c>
      <c r="E32" s="176">
        <f t="shared" si="3"/>
        <v>10555329732.261189</v>
      </c>
      <c r="F32" s="176">
        <f t="shared" si="4"/>
        <v>1.9363199377039049E-5</v>
      </c>
      <c r="G32" s="176">
        <f t="shared" si="4"/>
        <v>2.5428684217505825E-5</v>
      </c>
      <c r="H32" s="176">
        <f t="shared" si="4"/>
        <v>2.7521310292450523E-5</v>
      </c>
      <c r="I32" s="176">
        <f t="shared" si="4"/>
        <v>2.7782892305147661E-5</v>
      </c>
      <c r="J32" s="176">
        <f t="shared" si="4"/>
        <v>-6.5381390657050879E-6</v>
      </c>
      <c r="K32" s="176">
        <f t="shared" si="4"/>
        <v>-6.5381390657050879E-6</v>
      </c>
      <c r="L32" s="176">
        <f t="shared" si="4"/>
        <v>-6.5381390657050879E-6</v>
      </c>
      <c r="M32" s="176">
        <f t="shared" si="4"/>
        <v>-6.5381390657050879E-6</v>
      </c>
    </row>
    <row r="33" spans="1:17">
      <c r="A33">
        <f t="shared" si="3"/>
        <v>6</v>
      </c>
      <c r="B33" s="176" t="str">
        <f t="shared" si="3"/>
        <v>Fiber/APD</v>
      </c>
      <c r="C33" s="176">
        <f t="shared" si="3"/>
        <v>50</v>
      </c>
      <c r="D33" s="176">
        <f t="shared" si="3"/>
        <v>115906.75430098787</v>
      </c>
      <c r="E33" s="176">
        <f t="shared" si="3"/>
        <v>13434375692.589571</v>
      </c>
      <c r="F33" s="176">
        <f t="shared" si="4"/>
        <v>1.4773497555677669E-5</v>
      </c>
      <c r="G33" s="176">
        <f t="shared" si="4"/>
        <v>1.9254184892119565E-5</v>
      </c>
      <c r="H33" s="176">
        <f t="shared" si="4"/>
        <v>2.0412363472297064E-5</v>
      </c>
      <c r="I33" s="176">
        <f t="shared" si="4"/>
        <v>2.0891774692511913E-5</v>
      </c>
      <c r="J33" s="176">
        <f t="shared" si="4"/>
        <v>-5.3470640388552003E-6</v>
      </c>
      <c r="K33" s="176">
        <f t="shared" si="4"/>
        <v>-5.3470640388552003E-6</v>
      </c>
      <c r="L33" s="176">
        <f t="shared" si="4"/>
        <v>-5.3470640388552003E-6</v>
      </c>
      <c r="M33" s="176">
        <f t="shared" si="4"/>
        <v>-5.3470640388552003E-6</v>
      </c>
    </row>
    <row r="34" spans="1:17">
      <c r="A34">
        <f t="shared" si="3"/>
        <v>7</v>
      </c>
      <c r="B34" s="175" t="str">
        <f t="shared" si="3"/>
        <v>Wyatt</v>
      </c>
      <c r="C34" s="175">
        <f t="shared" si="3"/>
        <v>57</v>
      </c>
      <c r="D34" s="175">
        <f t="shared" si="3"/>
        <v>130864.96300509552</v>
      </c>
      <c r="E34" s="175">
        <f t="shared" si="3"/>
        <v>17125638542.325018</v>
      </c>
      <c r="F34" s="175">
        <f t="shared" si="4"/>
        <v>1.8263980184719233E-5</v>
      </c>
      <c r="G34" s="175">
        <f t="shared" si="4"/>
        <v>2.6013604804382208E-5</v>
      </c>
      <c r="H34" s="175">
        <f t="shared" si="4"/>
        <v>2.8108097944831661E-5</v>
      </c>
      <c r="I34" s="175">
        <f t="shared" si="4"/>
        <v>2.773108917955076E-5</v>
      </c>
      <c r="J34" s="175">
        <f t="shared" si="4"/>
        <v>-9.3833292692135503E-6</v>
      </c>
      <c r="K34" s="175">
        <f t="shared" si="4"/>
        <v>-9.3833292692135503E-6</v>
      </c>
      <c r="L34" s="175">
        <f t="shared" si="4"/>
        <v>-9.3833292692135503E-6</v>
      </c>
      <c r="M34" s="175">
        <f t="shared" si="4"/>
        <v>-9.3833292692135503E-6</v>
      </c>
    </row>
    <row r="35" spans="1:17">
      <c r="A35">
        <f t="shared" si="3"/>
        <v>8</v>
      </c>
      <c r="B35" s="176" t="str">
        <f t="shared" si="3"/>
        <v>Fiber/APD</v>
      </c>
      <c r="C35" s="176">
        <f t="shared" si="3"/>
        <v>64</v>
      </c>
      <c r="D35" s="176">
        <f t="shared" si="3"/>
        <v>145334.99263816432</v>
      </c>
      <c r="E35" s="176">
        <f t="shared" si="3"/>
        <v>21122260085.135277</v>
      </c>
      <c r="F35" s="176">
        <f t="shared" si="4"/>
        <v>2.2514536629530602E-5</v>
      </c>
      <c r="G35" s="176">
        <f t="shared" si="4"/>
        <v>3.1553923064645127E-5</v>
      </c>
      <c r="H35" s="176">
        <f t="shared" si="4"/>
        <v>3.2923781292960236E-5</v>
      </c>
      <c r="I35" s="176">
        <f t="shared" si="4"/>
        <v>3.2912467474543375E-5</v>
      </c>
      <c r="J35" s="176">
        <f t="shared" si="4"/>
        <v>-6.8393699229638405E-6</v>
      </c>
      <c r="K35" s="176">
        <f t="shared" si="4"/>
        <v>-6.8393699229638405E-6</v>
      </c>
      <c r="L35" s="176">
        <f t="shared" si="4"/>
        <v>-6.8393699229638405E-6</v>
      </c>
      <c r="M35" s="176">
        <f t="shared" si="4"/>
        <v>-6.8393699229638405E-6</v>
      </c>
    </row>
    <row r="36" spans="1:17">
      <c r="A36">
        <f t="shared" si="3"/>
        <v>9</v>
      </c>
      <c r="B36" s="175" t="str">
        <f t="shared" si="3"/>
        <v>Wyatt</v>
      </c>
      <c r="C36" s="175">
        <f t="shared" si="3"/>
        <v>72</v>
      </c>
      <c r="D36" s="175">
        <f t="shared" si="3"/>
        <v>161205.2459318676</v>
      </c>
      <c r="E36" s="175">
        <f t="shared" si="3"/>
        <v>25987131315.953915</v>
      </c>
      <c r="F36" s="175">
        <f t="shared" si="4"/>
        <v>2.0035244736106676E-5</v>
      </c>
      <c r="G36" s="175">
        <f t="shared" si="4"/>
        <v>2.8078591163010818E-5</v>
      </c>
      <c r="H36" s="175">
        <f t="shared" si="4"/>
        <v>3.2222133261719013E-5</v>
      </c>
      <c r="I36" s="175">
        <f t="shared" si="4"/>
        <v>2.9614139117237967E-5</v>
      </c>
      <c r="J36" s="175">
        <f t="shared" si="4"/>
        <v>-8.4820744138261831E-6</v>
      </c>
      <c r="K36" s="175">
        <f t="shared" si="4"/>
        <v>-8.4820744138261831E-6</v>
      </c>
      <c r="L36" s="175">
        <f t="shared" si="4"/>
        <v>-8.4820744138261831E-6</v>
      </c>
      <c r="M36" s="175">
        <f t="shared" si="4"/>
        <v>-8.4820744138261831E-6</v>
      </c>
    </row>
    <row r="37" spans="1:17">
      <c r="A37">
        <f t="shared" si="3"/>
        <v>10</v>
      </c>
      <c r="B37" s="176" t="str">
        <f t="shared" si="3"/>
        <v>Fiber/APD</v>
      </c>
      <c r="C37" s="176">
        <f t="shared" si="3"/>
        <v>81</v>
      </c>
      <c r="D37" s="176">
        <f t="shared" si="3"/>
        <v>178116.80701873807</v>
      </c>
      <c r="E37" s="176">
        <f t="shared" si="3"/>
        <v>31725596942.550377</v>
      </c>
      <c r="F37" s="176">
        <f t="shared" si="4"/>
        <v>2.4669758800187581E-5</v>
      </c>
      <c r="G37" s="176">
        <f t="shared" si="4"/>
        <v>3.0569729605650227E-5</v>
      </c>
      <c r="H37" s="176">
        <f t="shared" si="4"/>
        <v>3.2664762698343925E-5</v>
      </c>
      <c r="I37" s="176">
        <f t="shared" si="4"/>
        <v>3.4372173865106755E-5</v>
      </c>
      <c r="J37" s="176">
        <f t="shared" si="4"/>
        <v>-1.2449284081007078E-5</v>
      </c>
      <c r="K37" s="176">
        <f t="shared" si="4"/>
        <v>-1.2449284081007078E-5</v>
      </c>
      <c r="L37" s="176">
        <f t="shared" si="4"/>
        <v>-1.2449284081007078E-5</v>
      </c>
      <c r="M37" s="176">
        <f t="shared" si="4"/>
        <v>-1.2449284081007078E-5</v>
      </c>
    </row>
    <row r="38" spans="1:17">
      <c r="A38">
        <f t="shared" ref="A38:E45" si="5">A16</f>
        <v>11</v>
      </c>
      <c r="B38" s="175" t="str">
        <f t="shared" si="5"/>
        <v>Wyatt</v>
      </c>
      <c r="C38" s="175">
        <f t="shared" si="5"/>
        <v>90</v>
      </c>
      <c r="D38" s="175">
        <f t="shared" si="5"/>
        <v>193930.21876048925</v>
      </c>
      <c r="E38" s="175">
        <f t="shared" si="5"/>
        <v>37608929748.491219</v>
      </c>
      <c r="F38" s="175">
        <f t="shared" ref="F38:M45" si="6">RayFactorStd*(F16/I90Std)*(Refin/RefinRayleigh)^VolExponent</f>
        <v>2.0597939627203376E-5</v>
      </c>
      <c r="G38" s="175">
        <f t="shared" si="6"/>
        <v>2.8925947562730352E-5</v>
      </c>
      <c r="H38" s="175">
        <f t="shared" si="6"/>
        <v>3.0869149414353305E-5</v>
      </c>
      <c r="I38" s="175">
        <f t="shared" si="6"/>
        <v>3.0785869334998042E-5</v>
      </c>
      <c r="J38" s="175">
        <f t="shared" si="6"/>
        <v>-8.2724878826234593E-6</v>
      </c>
      <c r="K38" s="175">
        <f t="shared" si="6"/>
        <v>-8.2724878826234593E-6</v>
      </c>
      <c r="L38" s="175">
        <f t="shared" si="6"/>
        <v>-8.2724878826234593E-6</v>
      </c>
      <c r="M38" s="175">
        <f t="shared" si="6"/>
        <v>-8.2724878826234593E-6</v>
      </c>
    </row>
    <row r="39" spans="1:17">
      <c r="A39">
        <f t="shared" si="5"/>
        <v>12</v>
      </c>
      <c r="B39" s="176" t="str">
        <f t="shared" si="5"/>
        <v>Fiber/APD</v>
      </c>
      <c r="C39" s="176">
        <f t="shared" si="5"/>
        <v>99</v>
      </c>
      <c r="D39" s="176">
        <f t="shared" si="5"/>
        <v>208547.98621524032</v>
      </c>
      <c r="E39" s="176">
        <f t="shared" si="5"/>
        <v>43492262554.432068</v>
      </c>
      <c r="F39" s="176">
        <f t="shared" si="6"/>
        <v>2.2699149458070724E-5</v>
      </c>
      <c r="G39" s="176">
        <f t="shared" si="6"/>
        <v>2.8569597239417085E-5</v>
      </c>
      <c r="H39" s="176">
        <f t="shared" si="6"/>
        <v>3.1359978091274879E-5</v>
      </c>
      <c r="I39" s="176">
        <f t="shared" si="6"/>
        <v>3.3066823783164952E-5</v>
      </c>
      <c r="J39" s="176">
        <f t="shared" si="6"/>
        <v>-9.0852122893509849E-6</v>
      </c>
      <c r="K39" s="176">
        <f t="shared" si="6"/>
        <v>-9.0852122893509849E-6</v>
      </c>
      <c r="L39" s="176">
        <f t="shared" si="6"/>
        <v>-9.0852122893509849E-6</v>
      </c>
      <c r="M39" s="176">
        <f t="shared" si="6"/>
        <v>-9.0852122893509849E-6</v>
      </c>
    </row>
    <row r="40" spans="1:17">
      <c r="A40">
        <f t="shared" si="5"/>
        <v>13</v>
      </c>
      <c r="B40" s="54" t="str">
        <f t="shared" si="5"/>
        <v>Blank</v>
      </c>
      <c r="C40" s="54">
        <f t="shared" si="5"/>
        <v>108</v>
      </c>
      <c r="D40" s="54">
        <f t="shared" si="5"/>
        <v>221879.98598573179</v>
      </c>
      <c r="E40" s="54">
        <f t="shared" si="5"/>
        <v>49230728181.028534</v>
      </c>
      <c r="F40" s="54"/>
      <c r="G40" s="54"/>
      <c r="H40" s="54"/>
      <c r="I40" s="54"/>
      <c r="J40" s="54"/>
      <c r="K40" s="54"/>
      <c r="L40" s="54"/>
      <c r="M40" s="54"/>
    </row>
    <row r="41" spans="1:17">
      <c r="A41">
        <f t="shared" si="5"/>
        <v>14</v>
      </c>
      <c r="B41" s="176" t="str">
        <f t="shared" si="5"/>
        <v>Fiber/APD</v>
      </c>
      <c r="C41" s="176">
        <f t="shared" si="5"/>
        <v>117</v>
      </c>
      <c r="D41" s="176">
        <f t="shared" si="5"/>
        <v>233844.02186003872</v>
      </c>
      <c r="E41" s="176">
        <f t="shared" si="5"/>
        <v>54683026559.678268</v>
      </c>
      <c r="F41" s="176">
        <f t="shared" si="6"/>
        <v>2.2112145454118281E-5</v>
      </c>
      <c r="G41" s="176">
        <f t="shared" si="6"/>
        <v>2.9965458930796003E-5</v>
      </c>
      <c r="H41" s="176">
        <f t="shared" si="6"/>
        <v>3.2167477026054019E-5</v>
      </c>
      <c r="I41" s="176">
        <f t="shared" si="6"/>
        <v>3.2406674597644274E-5</v>
      </c>
      <c r="J41" s="176">
        <f t="shared" si="6"/>
        <v>-7.2887203357200101E-6</v>
      </c>
      <c r="K41" s="176">
        <f t="shared" si="6"/>
        <v>-7.2887203357200101E-6</v>
      </c>
      <c r="L41" s="176">
        <f t="shared" si="6"/>
        <v>-7.2887203357200101E-6</v>
      </c>
      <c r="M41" s="176">
        <f t="shared" si="6"/>
        <v>-7.2887203357200101E-6</v>
      </c>
    </row>
    <row r="42" spans="1:17">
      <c r="A42">
        <f t="shared" si="5"/>
        <v>15</v>
      </c>
      <c r="B42" s="175" t="str">
        <f t="shared" si="5"/>
        <v>Wyatt</v>
      </c>
      <c r="C42" s="175">
        <f t="shared" si="5"/>
        <v>126</v>
      </c>
      <c r="D42" s="175">
        <f t="shared" si="5"/>
        <v>244366.33157855037</v>
      </c>
      <c r="E42" s="175">
        <f t="shared" si="5"/>
        <v>59714904009.15802</v>
      </c>
      <c r="F42" s="175">
        <f t="shared" si="6"/>
        <v>2.0068287443241032E-5</v>
      </c>
      <c r="G42" s="175">
        <f t="shared" si="6"/>
        <v>2.9011763369033225E-5</v>
      </c>
      <c r="H42" s="175">
        <f t="shared" si="6"/>
        <v>3.119309896068986E-5</v>
      </c>
      <c r="I42" s="175">
        <f t="shared" si="6"/>
        <v>3.0538698283192876E-5</v>
      </c>
      <c r="J42" s="175">
        <f t="shared" si="6"/>
        <v>-8.9434759257922001E-6</v>
      </c>
      <c r="K42" s="175">
        <f t="shared" si="6"/>
        <v>-8.9434759257922001E-6</v>
      </c>
      <c r="L42" s="175">
        <f t="shared" si="6"/>
        <v>-8.9434759257922001E-6</v>
      </c>
      <c r="M42" s="175">
        <f t="shared" si="6"/>
        <v>-8.9434759257922001E-6</v>
      </c>
    </row>
    <row r="43" spans="1:17">
      <c r="A43">
        <f t="shared" si="5"/>
        <v>16</v>
      </c>
      <c r="B43" s="176" t="str">
        <f t="shared" si="5"/>
        <v>Fiber/APD</v>
      </c>
      <c r="C43" s="176">
        <f t="shared" si="5"/>
        <v>134</v>
      </c>
      <c r="D43" s="176">
        <f t="shared" si="5"/>
        <v>252456.50635760027</v>
      </c>
      <c r="E43" s="176">
        <f t="shared" si="5"/>
        <v>63734287602.285065</v>
      </c>
      <c r="F43" s="176">
        <f t="shared" si="6"/>
        <v>2.1492850957240474E-5</v>
      </c>
      <c r="G43" s="176">
        <f t="shared" si="6"/>
        <v>2.8920539179664601E-5</v>
      </c>
      <c r="H43" s="176">
        <f t="shared" si="6"/>
        <v>3.1109207150855412E-5</v>
      </c>
      <c r="I43" s="176">
        <f t="shared" si="6"/>
        <v>3.2328843261525799E-5</v>
      </c>
      <c r="J43" s="176">
        <f t="shared" si="6"/>
        <v>-7.2335199901710602E-6</v>
      </c>
      <c r="K43" s="176">
        <f t="shared" si="6"/>
        <v>-7.2335199901710602E-6</v>
      </c>
      <c r="L43" s="176">
        <f t="shared" si="6"/>
        <v>-7.2335199901710602E-6</v>
      </c>
      <c r="M43" s="176">
        <f t="shared" si="6"/>
        <v>-7.2335199901710602E-6</v>
      </c>
    </row>
    <row r="44" spans="1:17">
      <c r="A44">
        <f t="shared" si="5"/>
        <v>17</v>
      </c>
      <c r="B44" s="175" t="str">
        <f t="shared" si="5"/>
        <v>Wyatt</v>
      </c>
      <c r="C44" s="175">
        <f t="shared" si="5"/>
        <v>141</v>
      </c>
      <c r="D44" s="175">
        <f t="shared" si="5"/>
        <v>258527.67282681772</v>
      </c>
      <c r="E44" s="175">
        <f t="shared" si="5"/>
        <v>66836557617.250107</v>
      </c>
      <c r="F44" s="175">
        <f t="shared" si="6"/>
        <v>2.1756261540181432E-5</v>
      </c>
      <c r="G44" s="175">
        <f t="shared" si="6"/>
        <v>2.9164307584329237E-5</v>
      </c>
      <c r="H44" s="175">
        <f t="shared" si="6"/>
        <v>3.1503690545639069E-5</v>
      </c>
      <c r="I44" s="175">
        <f t="shared" si="6"/>
        <v>3.098512732254872E-5</v>
      </c>
      <c r="J44" s="175">
        <f t="shared" si="6"/>
        <v>-7.8759226364097655E-6</v>
      </c>
      <c r="K44" s="175">
        <f t="shared" si="6"/>
        <v>-7.8759226364097655E-6</v>
      </c>
      <c r="L44" s="175">
        <f t="shared" si="6"/>
        <v>-7.8759226364097655E-6</v>
      </c>
      <c r="M44" s="175">
        <f t="shared" si="6"/>
        <v>-7.8759226364097655E-6</v>
      </c>
    </row>
    <row r="45" spans="1:17">
      <c r="A45">
        <f t="shared" si="5"/>
        <v>18</v>
      </c>
      <c r="B45" s="176" t="str">
        <f t="shared" si="5"/>
        <v>Fiber/APD</v>
      </c>
      <c r="C45" s="176">
        <f t="shared" si="5"/>
        <v>147</v>
      </c>
      <c r="D45" s="176">
        <f t="shared" si="5"/>
        <v>262964.69766962621</v>
      </c>
      <c r="E45" s="176">
        <f t="shared" si="5"/>
        <v>69150432220.477921</v>
      </c>
      <c r="F45" s="176">
        <f t="shared" si="6"/>
        <v>2.0015334275201317E-5</v>
      </c>
      <c r="G45" s="176">
        <f t="shared" si="6"/>
        <v>2.8350733710317899E-5</v>
      </c>
      <c r="H45" s="176">
        <f t="shared" si="6"/>
        <v>2.9632720800124798E-5</v>
      </c>
      <c r="I45" s="176">
        <f t="shared" si="6"/>
        <v>3.053478846362666E-5</v>
      </c>
      <c r="J45" s="176">
        <f t="shared" si="6"/>
        <v>-6.6964153077292976E-6</v>
      </c>
      <c r="K45" s="176">
        <f t="shared" si="6"/>
        <v>-6.6964153077292976E-6</v>
      </c>
      <c r="L45" s="176">
        <f t="shared" si="6"/>
        <v>-6.6964153077292976E-6</v>
      </c>
      <c r="M45" s="176">
        <f t="shared" si="6"/>
        <v>-6.6964153077292976E-6</v>
      </c>
    </row>
    <row r="47" spans="1:17" ht="15.75">
      <c r="F47" s="67" t="s">
        <v>254</v>
      </c>
    </row>
    <row r="48" spans="1:17" ht="16.5">
      <c r="F48" s="65" t="s">
        <v>244</v>
      </c>
      <c r="G48" s="65" t="s">
        <v>245</v>
      </c>
      <c r="H48" s="65" t="s">
        <v>246</v>
      </c>
      <c r="I48" s="65" t="s">
        <v>247</v>
      </c>
      <c r="J48" s="65" t="s">
        <v>248</v>
      </c>
      <c r="K48" s="65" t="s">
        <v>249</v>
      </c>
      <c r="L48" s="65" t="s">
        <v>250</v>
      </c>
      <c r="M48" s="65" t="s">
        <v>251</v>
      </c>
      <c r="O48" s="181" t="s">
        <v>256</v>
      </c>
      <c r="P48" s="215">
        <v>1000</v>
      </c>
      <c r="Q48" s="180" t="s">
        <v>255</v>
      </c>
    </row>
    <row r="49" spans="1:23" ht="15.75">
      <c r="A49" s="65" t="s">
        <v>129</v>
      </c>
      <c r="B49" s="174" t="s">
        <v>130</v>
      </c>
      <c r="C49" s="65" t="s">
        <v>128</v>
      </c>
      <c r="D49" s="65" t="s">
        <v>242</v>
      </c>
      <c r="E49" s="65" t="s">
        <v>243</v>
      </c>
      <c r="F49" s="182">
        <f>F5</f>
        <v>2.601E-3</v>
      </c>
      <c r="G49" s="182">
        <f t="shared" ref="G49:M49" si="7">G5</f>
        <v>4.8279999999999998E-3</v>
      </c>
      <c r="H49" s="182">
        <f t="shared" si="7"/>
        <v>8.1759999999999992E-3</v>
      </c>
      <c r="I49" s="182">
        <f t="shared" si="7"/>
        <v>1.0234999999999999E-2</v>
      </c>
      <c r="J49" s="182">
        <f t="shared" si="7"/>
        <v>1.0000000000000001E-5</v>
      </c>
      <c r="K49" s="182">
        <f t="shared" si="7"/>
        <v>1.0000000000000001E-5</v>
      </c>
      <c r="L49" s="182">
        <f t="shared" si="7"/>
        <v>1.0000000000000001E-5</v>
      </c>
      <c r="M49" s="182">
        <f t="shared" si="7"/>
        <v>1.0000000000000001E-5</v>
      </c>
      <c r="N49" s="39"/>
    </row>
    <row r="50" spans="1:23">
      <c r="A50">
        <f t="shared" ref="A50:E59" si="8">A28</f>
        <v>1</v>
      </c>
      <c r="B50" s="175" t="str">
        <f t="shared" si="8"/>
        <v>Wyatt</v>
      </c>
      <c r="C50" s="175">
        <f t="shared" si="8"/>
        <v>22.5</v>
      </c>
      <c r="D50" s="175">
        <f t="shared" si="8"/>
        <v>53505.226980224332</v>
      </c>
      <c r="E50" s="175">
        <f t="shared" si="8"/>
        <v>2862809314.2053256</v>
      </c>
      <c r="F50" s="175">
        <f t="shared" ref="F50:M52" si="9">Koptical*F$5/F28</f>
        <v>4.6062732760941252E-6</v>
      </c>
      <c r="G50" s="175">
        <f t="shared" si="9"/>
        <v>9.7837716536865471E-6</v>
      </c>
      <c r="H50" s="175">
        <f t="shared" si="9"/>
        <v>2.1818832455110301E-5</v>
      </c>
      <c r="I50" s="175">
        <f t="shared" si="9"/>
        <v>2.8066626932479528E-5</v>
      </c>
      <c r="J50" s="175">
        <f t="shared" si="9"/>
        <v>-7.0230151260991728E-8</v>
      </c>
      <c r="K50" s="175">
        <f t="shared" si="9"/>
        <v>-7.0230151260991728E-8</v>
      </c>
      <c r="L50" s="175">
        <f t="shared" si="9"/>
        <v>-7.0230151260991728E-8</v>
      </c>
      <c r="M50" s="175">
        <f t="shared" si="9"/>
        <v>-7.0230151260991728E-8</v>
      </c>
      <c r="O50" s="39"/>
      <c r="P50" s="139"/>
      <c r="Q50" s="139"/>
      <c r="R50" s="139"/>
      <c r="S50" s="139"/>
      <c r="T50" s="139"/>
      <c r="U50" s="139"/>
      <c r="V50" s="139"/>
      <c r="W50" s="139"/>
    </row>
    <row r="51" spans="1:23">
      <c r="A51">
        <f t="shared" si="8"/>
        <v>2</v>
      </c>
      <c r="B51" s="175" t="str">
        <f t="shared" si="8"/>
        <v>Wyatt</v>
      </c>
      <c r="C51" s="175">
        <f t="shared" si="8"/>
        <v>28</v>
      </c>
      <c r="D51" s="175">
        <f t="shared" si="8"/>
        <v>66349.195602210661</v>
      </c>
      <c r="E51" s="175">
        <f t="shared" si="8"/>
        <v>4402215757.0604105</v>
      </c>
      <c r="F51" s="175">
        <f t="shared" si="9"/>
        <v>9.7240232783272066E-6</v>
      </c>
      <c r="G51" s="175">
        <f t="shared" si="9"/>
        <v>1.1599354738341863E-5</v>
      </c>
      <c r="H51" s="175">
        <f t="shared" si="9"/>
        <v>2.3067663064787109E-5</v>
      </c>
      <c r="I51" s="175">
        <f t="shared" si="9"/>
        <v>2.9057832596547807E-5</v>
      </c>
      <c r="J51" s="175">
        <f t="shared" si="9"/>
        <v>-9.2851395533027741E-8</v>
      </c>
      <c r="K51" s="175">
        <f t="shared" si="9"/>
        <v>-9.2851395533027741E-8</v>
      </c>
      <c r="L51" s="175">
        <f t="shared" si="9"/>
        <v>-9.2851395533027741E-8</v>
      </c>
      <c r="M51" s="175">
        <f t="shared" si="9"/>
        <v>-9.2851395533027741E-8</v>
      </c>
      <c r="P51" s="139"/>
      <c r="Q51" s="139"/>
      <c r="R51" s="139"/>
      <c r="S51" s="139"/>
      <c r="T51" s="139"/>
      <c r="U51" s="139"/>
      <c r="V51" s="139"/>
      <c r="W51" s="139"/>
    </row>
    <row r="52" spans="1:23">
      <c r="A52">
        <f t="shared" si="8"/>
        <v>3</v>
      </c>
      <c r="B52" s="175" t="str">
        <f t="shared" si="8"/>
        <v>Wyatt</v>
      </c>
      <c r="C52" s="175">
        <f t="shared" si="8"/>
        <v>32</v>
      </c>
      <c r="D52" s="175">
        <f t="shared" si="8"/>
        <v>75595.955426216213</v>
      </c>
      <c r="E52" s="175">
        <f t="shared" si="8"/>
        <v>5714748476.8024683</v>
      </c>
      <c r="F52" s="175">
        <f t="shared" si="9"/>
        <v>1.0663377311508619E-5</v>
      </c>
      <c r="G52" s="175">
        <f t="shared" si="9"/>
        <v>1.3759934946163664E-5</v>
      </c>
      <c r="H52" s="175">
        <f t="shared" si="9"/>
        <v>2.2293576329431466E-5</v>
      </c>
      <c r="I52" s="175">
        <f t="shared" si="9"/>
        <v>2.8316278922366514E-5</v>
      </c>
      <c r="J52" s="175">
        <f t="shared" si="9"/>
        <v>-9.9500975824015225E-8</v>
      </c>
      <c r="K52" s="175">
        <f t="shared" si="9"/>
        <v>-9.9500975824015225E-8</v>
      </c>
      <c r="L52" s="175">
        <f t="shared" si="9"/>
        <v>-9.9500975824015225E-8</v>
      </c>
      <c r="M52" s="175">
        <f t="shared" si="9"/>
        <v>-9.9500975824015225E-8</v>
      </c>
      <c r="O52" s="39"/>
      <c r="P52" s="139"/>
      <c r="Q52" s="139"/>
      <c r="R52" s="139"/>
      <c r="S52" s="139"/>
      <c r="T52" s="139"/>
      <c r="U52" s="139"/>
      <c r="V52" s="139"/>
      <c r="W52" s="139"/>
    </row>
    <row r="53" spans="1:23">
      <c r="A53">
        <f t="shared" si="8"/>
        <v>4</v>
      </c>
      <c r="B53" s="54" t="str">
        <f t="shared" si="8"/>
        <v>Blank</v>
      </c>
      <c r="C53" s="54">
        <f t="shared" si="8"/>
        <v>38</v>
      </c>
      <c r="D53" s="54">
        <f t="shared" si="8"/>
        <v>89289.913624330453</v>
      </c>
      <c r="E53" s="54">
        <f t="shared" si="8"/>
        <v>7972688675.0403929</v>
      </c>
      <c r="F53" s="54"/>
      <c r="G53" s="54"/>
      <c r="H53" s="54"/>
      <c r="I53" s="54"/>
      <c r="J53" s="54"/>
      <c r="K53" s="54"/>
      <c r="L53" s="54"/>
      <c r="M53" s="54"/>
      <c r="P53" s="139"/>
      <c r="Q53" s="139"/>
      <c r="R53" s="139"/>
      <c r="S53" s="139"/>
      <c r="T53" s="139"/>
      <c r="U53" s="139"/>
      <c r="V53" s="139"/>
      <c r="W53" s="139"/>
    </row>
    <row r="54" spans="1:23">
      <c r="A54">
        <f t="shared" si="8"/>
        <v>5</v>
      </c>
      <c r="B54" s="176" t="str">
        <f t="shared" si="8"/>
        <v>Fiber/APD</v>
      </c>
      <c r="C54" s="176">
        <f t="shared" si="8"/>
        <v>44</v>
      </c>
      <c r="D54" s="176">
        <f t="shared" si="8"/>
        <v>102739.13437566617</v>
      </c>
      <c r="E54" s="176">
        <f t="shared" si="8"/>
        <v>10555329732.261189</v>
      </c>
      <c r="F54" s="176">
        <f t="shared" ref="F54:M61" si="10">Koptical*F$5/F32</f>
        <v>1.0816523299664143E-5</v>
      </c>
      <c r="G54" s="176">
        <f t="shared" si="10"/>
        <v>1.528860386473744E-5</v>
      </c>
      <c r="H54" s="176">
        <f t="shared" si="10"/>
        <v>2.3921930876621808E-5</v>
      </c>
      <c r="I54" s="176">
        <f t="shared" si="10"/>
        <v>2.9664350692840455E-5</v>
      </c>
      <c r="J54" s="176">
        <f t="shared" si="10"/>
        <v>-1.2316017617073977E-7</v>
      </c>
      <c r="K54" s="176">
        <f t="shared" si="10"/>
        <v>-1.2316017617073977E-7</v>
      </c>
      <c r="L54" s="176">
        <f t="shared" si="10"/>
        <v>-1.2316017617073977E-7</v>
      </c>
      <c r="M54" s="176">
        <f t="shared" si="10"/>
        <v>-1.2316017617073977E-7</v>
      </c>
      <c r="P54" s="139"/>
      <c r="Q54" s="139"/>
      <c r="R54" s="139"/>
      <c r="S54" s="139"/>
      <c r="T54" s="139"/>
      <c r="U54" s="139"/>
      <c r="V54" s="139"/>
      <c r="W54" s="139"/>
    </row>
    <row r="55" spans="1:23">
      <c r="A55">
        <f t="shared" si="8"/>
        <v>6</v>
      </c>
      <c r="B55" s="176" t="str">
        <f t="shared" si="8"/>
        <v>Fiber/APD</v>
      </c>
      <c r="C55" s="176">
        <f t="shared" si="8"/>
        <v>50</v>
      </c>
      <c r="D55" s="176">
        <f t="shared" si="8"/>
        <v>115906.75430098787</v>
      </c>
      <c r="E55" s="176">
        <f t="shared" si="8"/>
        <v>13434375692.589571</v>
      </c>
      <c r="F55" s="176">
        <f t="shared" si="10"/>
        <v>1.4176906749972238E-5</v>
      </c>
      <c r="G55" s="176">
        <f t="shared" si="10"/>
        <v>2.0191406802272088E-5</v>
      </c>
      <c r="H55" s="176">
        <f t="shared" si="10"/>
        <v>3.2253143216049843E-5</v>
      </c>
      <c r="I55" s="176">
        <f t="shared" si="10"/>
        <v>3.944908810914551E-5</v>
      </c>
      <c r="J55" s="176">
        <f t="shared" si="10"/>
        <v>-1.5059448574201761E-7</v>
      </c>
      <c r="K55" s="176">
        <f t="shared" si="10"/>
        <v>-1.5059448574201761E-7</v>
      </c>
      <c r="L55" s="176">
        <f t="shared" si="10"/>
        <v>-1.5059448574201761E-7</v>
      </c>
      <c r="M55" s="176">
        <f t="shared" si="10"/>
        <v>-1.5059448574201761E-7</v>
      </c>
      <c r="P55" s="139"/>
      <c r="Q55" s="139"/>
      <c r="R55" s="139"/>
      <c r="S55" s="139"/>
      <c r="T55" s="139"/>
      <c r="U55" s="139"/>
      <c r="V55" s="139"/>
      <c r="W55" s="139"/>
    </row>
    <row r="56" spans="1:23">
      <c r="A56">
        <f t="shared" si="8"/>
        <v>7</v>
      </c>
      <c r="B56" s="175" t="str">
        <f t="shared" si="8"/>
        <v>Wyatt</v>
      </c>
      <c r="C56" s="175">
        <f t="shared" si="8"/>
        <v>57</v>
      </c>
      <c r="D56" s="175">
        <f t="shared" si="8"/>
        <v>130864.96300509552</v>
      </c>
      <c r="E56" s="175">
        <f t="shared" si="8"/>
        <v>17125638542.325018</v>
      </c>
      <c r="F56" s="175">
        <f t="shared" si="10"/>
        <v>1.1467516669395949E-5</v>
      </c>
      <c r="G56" s="175">
        <f t="shared" si="10"/>
        <v>1.4944836854654456E-5</v>
      </c>
      <c r="H56" s="175">
        <f t="shared" si="10"/>
        <v>2.3422534094702672E-5</v>
      </c>
      <c r="I56" s="175">
        <f t="shared" si="10"/>
        <v>2.9719765252100716E-5</v>
      </c>
      <c r="J56" s="175">
        <f t="shared" si="10"/>
        <v>-8.5815848091678912E-8</v>
      </c>
      <c r="K56" s="175">
        <f t="shared" si="10"/>
        <v>-8.5815848091678912E-8</v>
      </c>
      <c r="L56" s="175">
        <f t="shared" si="10"/>
        <v>-8.5815848091678912E-8</v>
      </c>
      <c r="M56" s="175">
        <f t="shared" si="10"/>
        <v>-8.5815848091678912E-8</v>
      </c>
      <c r="P56" s="139"/>
      <c r="Q56" s="139"/>
      <c r="R56" s="139"/>
      <c r="S56" s="139"/>
      <c r="T56" s="139"/>
      <c r="U56" s="139"/>
      <c r="V56" s="139"/>
      <c r="W56" s="139"/>
    </row>
    <row r="57" spans="1:23">
      <c r="A57">
        <f t="shared" si="8"/>
        <v>8</v>
      </c>
      <c r="B57" s="176" t="str">
        <f t="shared" si="8"/>
        <v>Fiber/APD</v>
      </c>
      <c r="C57" s="176">
        <f t="shared" si="8"/>
        <v>64</v>
      </c>
      <c r="D57" s="176">
        <f t="shared" si="8"/>
        <v>145334.99263816432</v>
      </c>
      <c r="E57" s="176">
        <f t="shared" si="8"/>
        <v>21122260085.135277</v>
      </c>
      <c r="F57" s="176">
        <f t="shared" si="10"/>
        <v>9.3025453139051206E-6</v>
      </c>
      <c r="G57" s="176">
        <f t="shared" si="10"/>
        <v>1.2320784296978503E-5</v>
      </c>
      <c r="H57" s="176">
        <f t="shared" si="10"/>
        <v>1.9996575623919386E-5</v>
      </c>
      <c r="I57" s="176">
        <f t="shared" si="10"/>
        <v>2.5041011016228985E-5</v>
      </c>
      <c r="J57" s="176">
        <f t="shared" si="10"/>
        <v>-1.1773575171849815E-7</v>
      </c>
      <c r="K57" s="176">
        <f t="shared" si="10"/>
        <v>-1.1773575171849815E-7</v>
      </c>
      <c r="L57" s="176">
        <f t="shared" si="10"/>
        <v>-1.1773575171849815E-7</v>
      </c>
      <c r="M57" s="176">
        <f t="shared" si="10"/>
        <v>-1.1773575171849815E-7</v>
      </c>
      <c r="P57" s="139"/>
      <c r="Q57" s="139"/>
      <c r="R57" s="139"/>
      <c r="S57" s="139"/>
      <c r="T57" s="139"/>
      <c r="U57" s="139"/>
      <c r="V57" s="139"/>
      <c r="W57" s="139"/>
    </row>
    <row r="58" spans="1:23">
      <c r="A58">
        <f t="shared" si="8"/>
        <v>9</v>
      </c>
      <c r="B58" s="175" t="str">
        <f t="shared" si="8"/>
        <v>Wyatt</v>
      </c>
      <c r="C58" s="175">
        <f t="shared" si="8"/>
        <v>72</v>
      </c>
      <c r="D58" s="175">
        <f t="shared" si="8"/>
        <v>161205.2459318676</v>
      </c>
      <c r="E58" s="175">
        <f t="shared" si="8"/>
        <v>25987131315.953915</v>
      </c>
      <c r="F58" s="175">
        <f t="shared" si="10"/>
        <v>1.0453702960779741E-5</v>
      </c>
      <c r="G58" s="175">
        <f t="shared" si="10"/>
        <v>1.3845747371936892E-5</v>
      </c>
      <c r="H58" s="175">
        <f t="shared" si="10"/>
        <v>2.0432007933882491E-5</v>
      </c>
      <c r="I58" s="175">
        <f t="shared" si="10"/>
        <v>2.7829998952141958E-5</v>
      </c>
      <c r="J58" s="175">
        <f t="shared" si="10"/>
        <v>-9.4934130482097381E-8</v>
      </c>
      <c r="K58" s="175">
        <f t="shared" si="10"/>
        <v>-9.4934130482097381E-8</v>
      </c>
      <c r="L58" s="175">
        <f t="shared" si="10"/>
        <v>-9.4934130482097381E-8</v>
      </c>
      <c r="M58" s="175">
        <f t="shared" si="10"/>
        <v>-9.4934130482097381E-8</v>
      </c>
      <c r="P58" s="139"/>
      <c r="Q58" s="139"/>
      <c r="R58" s="139"/>
      <c r="S58" s="139"/>
      <c r="T58" s="139"/>
      <c r="U58" s="139"/>
      <c r="V58" s="139"/>
      <c r="W58" s="139"/>
    </row>
    <row r="59" spans="1:23">
      <c r="A59">
        <f t="shared" si="8"/>
        <v>10</v>
      </c>
      <c r="B59" s="176" t="str">
        <f t="shared" si="8"/>
        <v>Fiber/APD</v>
      </c>
      <c r="C59" s="176">
        <f t="shared" si="8"/>
        <v>81</v>
      </c>
      <c r="D59" s="176">
        <f t="shared" si="8"/>
        <v>178116.80701873807</v>
      </c>
      <c r="E59" s="176">
        <f t="shared" si="8"/>
        <v>31725596942.550377</v>
      </c>
      <c r="F59" s="176">
        <f t="shared" si="10"/>
        <v>8.4898477895208516E-6</v>
      </c>
      <c r="G59" s="176">
        <f t="shared" si="10"/>
        <v>1.2717452356238407E-5</v>
      </c>
      <c r="H59" s="176">
        <f t="shared" si="10"/>
        <v>2.0155140526505037E-5</v>
      </c>
      <c r="I59" s="176">
        <f t="shared" si="10"/>
        <v>2.3977577439114907E-5</v>
      </c>
      <c r="J59" s="176">
        <f t="shared" si="10"/>
        <v>-6.4681499267056272E-8</v>
      </c>
      <c r="K59" s="176">
        <f t="shared" si="10"/>
        <v>-6.4681499267056272E-8</v>
      </c>
      <c r="L59" s="176">
        <f t="shared" si="10"/>
        <v>-6.4681499267056272E-8</v>
      </c>
      <c r="M59" s="176">
        <f t="shared" si="10"/>
        <v>-6.4681499267056272E-8</v>
      </c>
      <c r="P59" s="139"/>
      <c r="Q59" s="139"/>
      <c r="R59" s="139"/>
      <c r="S59" s="139"/>
      <c r="T59" s="139"/>
      <c r="U59" s="139"/>
      <c r="V59" s="139"/>
      <c r="W59" s="139"/>
    </row>
    <row r="60" spans="1:23">
      <c r="A60">
        <f t="shared" ref="A60:E67" si="11">A38</f>
        <v>11</v>
      </c>
      <c r="B60" s="175" t="str">
        <f t="shared" si="11"/>
        <v>Wyatt</v>
      </c>
      <c r="C60" s="175">
        <f t="shared" si="11"/>
        <v>90</v>
      </c>
      <c r="D60" s="175">
        <f t="shared" si="11"/>
        <v>193930.21876048925</v>
      </c>
      <c r="E60" s="175">
        <f t="shared" si="11"/>
        <v>37608929748.491219</v>
      </c>
      <c r="F60" s="175">
        <f t="shared" si="10"/>
        <v>1.0168128512289533E-5</v>
      </c>
      <c r="G60" s="175">
        <f t="shared" si="10"/>
        <v>1.3440150195938857E-5</v>
      </c>
      <c r="H60" s="175">
        <f t="shared" si="10"/>
        <v>2.1327535579711864E-5</v>
      </c>
      <c r="I60" s="175">
        <f t="shared" si="10"/>
        <v>2.6770771084394692E-5</v>
      </c>
      <c r="J60" s="175">
        <f t="shared" si="10"/>
        <v>-9.7339321687307053E-8</v>
      </c>
      <c r="K60" s="175">
        <f t="shared" si="10"/>
        <v>-9.7339321687307053E-8</v>
      </c>
      <c r="L60" s="175">
        <f t="shared" si="10"/>
        <v>-9.7339321687307053E-8</v>
      </c>
      <c r="M60" s="175">
        <f t="shared" si="10"/>
        <v>-9.7339321687307053E-8</v>
      </c>
      <c r="P60" s="139"/>
      <c r="Q60" s="139"/>
      <c r="R60" s="139"/>
      <c r="S60" s="139"/>
      <c r="T60" s="139"/>
      <c r="U60" s="139"/>
      <c r="V60" s="139"/>
      <c r="W60" s="139"/>
    </row>
    <row r="61" spans="1:23">
      <c r="A61">
        <f t="shared" si="11"/>
        <v>12</v>
      </c>
      <c r="B61" s="176" t="str">
        <f t="shared" si="11"/>
        <v>Fiber/APD</v>
      </c>
      <c r="C61" s="176">
        <f t="shared" si="11"/>
        <v>99</v>
      </c>
      <c r="D61" s="176">
        <f t="shared" si="11"/>
        <v>208547.98621524032</v>
      </c>
      <c r="E61" s="176">
        <f t="shared" si="11"/>
        <v>43492262554.432068</v>
      </c>
      <c r="F61" s="176">
        <f t="shared" si="10"/>
        <v>9.2268874481249534E-6</v>
      </c>
      <c r="G61" s="176">
        <f t="shared" si="10"/>
        <v>1.3607790006453715E-5</v>
      </c>
      <c r="H61" s="176">
        <f t="shared" si="10"/>
        <v>2.0993729030481515E-5</v>
      </c>
      <c r="I61" s="176">
        <f t="shared" si="10"/>
        <v>2.4924119292670547E-5</v>
      </c>
      <c r="J61" s="176">
        <f t="shared" si="10"/>
        <v>-8.8631760438319697E-8</v>
      </c>
      <c r="K61" s="176">
        <f t="shared" si="10"/>
        <v>-8.8631760438319697E-8</v>
      </c>
      <c r="L61" s="176">
        <f t="shared" si="10"/>
        <v>-8.8631760438319697E-8</v>
      </c>
      <c r="M61" s="176">
        <f t="shared" si="10"/>
        <v>-8.8631760438319697E-8</v>
      </c>
      <c r="P61" s="139"/>
      <c r="Q61" s="139"/>
      <c r="R61" s="139"/>
      <c r="S61" s="139"/>
      <c r="T61" s="139"/>
      <c r="U61" s="139"/>
      <c r="V61" s="139"/>
      <c r="W61" s="139"/>
    </row>
    <row r="62" spans="1:23">
      <c r="A62">
        <f t="shared" si="11"/>
        <v>13</v>
      </c>
      <c r="B62" s="54" t="str">
        <f t="shared" si="11"/>
        <v>Blank</v>
      </c>
      <c r="C62" s="54">
        <f t="shared" si="11"/>
        <v>108</v>
      </c>
      <c r="D62" s="54">
        <f t="shared" si="11"/>
        <v>221879.98598573179</v>
      </c>
      <c r="E62" s="54">
        <f t="shared" si="11"/>
        <v>49230728181.028534</v>
      </c>
      <c r="F62" s="54"/>
      <c r="G62" s="54"/>
      <c r="H62" s="54"/>
      <c r="I62" s="54"/>
      <c r="J62" s="54"/>
      <c r="K62" s="54"/>
      <c r="L62" s="54"/>
      <c r="M62" s="54"/>
      <c r="P62" s="139"/>
      <c r="Q62" s="139"/>
      <c r="R62" s="139"/>
      <c r="S62" s="139"/>
      <c r="T62" s="139"/>
      <c r="U62" s="139"/>
      <c r="V62" s="139"/>
      <c r="W62" s="139"/>
    </row>
    <row r="63" spans="1:23">
      <c r="A63">
        <f t="shared" si="11"/>
        <v>14</v>
      </c>
      <c r="B63" s="176" t="str">
        <f t="shared" si="11"/>
        <v>Fiber/APD</v>
      </c>
      <c r="C63" s="176">
        <f t="shared" si="11"/>
        <v>117</v>
      </c>
      <c r="D63" s="176">
        <f t="shared" si="11"/>
        <v>233844.02186003872</v>
      </c>
      <c r="E63" s="176">
        <f t="shared" si="11"/>
        <v>54683026559.678268</v>
      </c>
      <c r="F63" s="176">
        <f t="shared" ref="F63:M67" si="12">Koptical*F$5/F41</f>
        <v>9.4718306576071035E-6</v>
      </c>
      <c r="G63" s="176">
        <f t="shared" si="12"/>
        <v>1.2973907080842436E-5</v>
      </c>
      <c r="H63" s="176">
        <f t="shared" si="12"/>
        <v>2.0466724260557374E-5</v>
      </c>
      <c r="I63" s="176">
        <f t="shared" si="12"/>
        <v>2.5431843002528536E-5</v>
      </c>
      <c r="J63" s="176">
        <f t="shared" si="12"/>
        <v>-1.1047732963697114E-7</v>
      </c>
      <c r="K63" s="176">
        <f t="shared" si="12"/>
        <v>-1.1047732963697114E-7</v>
      </c>
      <c r="L63" s="176">
        <f t="shared" si="12"/>
        <v>-1.1047732963697114E-7</v>
      </c>
      <c r="M63" s="176">
        <f t="shared" si="12"/>
        <v>-1.1047732963697114E-7</v>
      </c>
      <c r="P63" s="139"/>
      <c r="Q63" s="139"/>
      <c r="R63" s="139"/>
      <c r="S63" s="139"/>
      <c r="T63" s="139"/>
      <c r="U63" s="139"/>
      <c r="V63" s="139"/>
      <c r="W63" s="139"/>
    </row>
    <row r="64" spans="1:23">
      <c r="A64">
        <f t="shared" si="11"/>
        <v>15</v>
      </c>
      <c r="B64" s="175" t="str">
        <f t="shared" si="11"/>
        <v>Wyatt</v>
      </c>
      <c r="C64" s="175">
        <f t="shared" si="11"/>
        <v>126</v>
      </c>
      <c r="D64" s="175">
        <f t="shared" si="11"/>
        <v>244366.33157855037</v>
      </c>
      <c r="E64" s="175">
        <f t="shared" si="11"/>
        <v>59714904009.15802</v>
      </c>
      <c r="F64" s="175">
        <f t="shared" si="12"/>
        <v>1.0436490797241645E-5</v>
      </c>
      <c r="G64" s="175">
        <f t="shared" si="12"/>
        <v>1.3400394690172969E-5</v>
      </c>
      <c r="H64" s="175">
        <f t="shared" si="12"/>
        <v>2.1106042823117486E-5</v>
      </c>
      <c r="I64" s="175">
        <f t="shared" si="12"/>
        <v>2.6987445665125163E-5</v>
      </c>
      <c r="J64" s="175">
        <f t="shared" si="12"/>
        <v>-9.0036398134510289E-8</v>
      </c>
      <c r="K64" s="175">
        <f t="shared" si="12"/>
        <v>-9.0036398134510289E-8</v>
      </c>
      <c r="L64" s="175">
        <f t="shared" si="12"/>
        <v>-9.0036398134510289E-8</v>
      </c>
      <c r="M64" s="175">
        <f t="shared" si="12"/>
        <v>-9.0036398134510289E-8</v>
      </c>
      <c r="P64" s="139"/>
      <c r="Q64" s="139"/>
      <c r="R64" s="139"/>
      <c r="S64" s="139"/>
      <c r="T64" s="139"/>
      <c r="U64" s="139"/>
      <c r="V64" s="139"/>
      <c r="W64" s="139"/>
    </row>
    <row r="65" spans="1:23">
      <c r="A65">
        <f t="shared" si="11"/>
        <v>16</v>
      </c>
      <c r="B65" s="176" t="str">
        <f t="shared" si="11"/>
        <v>Fiber/APD</v>
      </c>
      <c r="C65" s="176">
        <f t="shared" si="11"/>
        <v>134</v>
      </c>
      <c r="D65" s="176">
        <f t="shared" si="11"/>
        <v>252456.50635760027</v>
      </c>
      <c r="E65" s="176">
        <f t="shared" si="11"/>
        <v>63734287602.285065</v>
      </c>
      <c r="F65" s="176">
        <f t="shared" si="12"/>
        <v>9.7447517611537925E-6</v>
      </c>
      <c r="G65" s="176">
        <f t="shared" si="12"/>
        <v>1.344266361660053E-5</v>
      </c>
      <c r="H65" s="176">
        <f t="shared" si="12"/>
        <v>2.116295922482096E-5</v>
      </c>
      <c r="I65" s="176">
        <f t="shared" si="12"/>
        <v>2.5493069886052628E-5</v>
      </c>
      <c r="J65" s="176">
        <f t="shared" si="12"/>
        <v>-1.1132040282672836E-7</v>
      </c>
      <c r="K65" s="176">
        <f t="shared" si="12"/>
        <v>-1.1132040282672836E-7</v>
      </c>
      <c r="L65" s="176">
        <f t="shared" si="12"/>
        <v>-1.1132040282672836E-7</v>
      </c>
      <c r="M65" s="176">
        <f t="shared" si="12"/>
        <v>-1.1132040282672836E-7</v>
      </c>
      <c r="P65" s="139"/>
      <c r="Q65" s="139"/>
      <c r="R65" s="139"/>
      <c r="S65" s="139"/>
      <c r="T65" s="139"/>
      <c r="U65" s="139"/>
      <c r="V65" s="139"/>
      <c r="W65" s="139"/>
    </row>
    <row r="66" spans="1:23">
      <c r="A66">
        <f t="shared" si="11"/>
        <v>17</v>
      </c>
      <c r="B66" s="175" t="str">
        <f t="shared" si="11"/>
        <v>Wyatt</v>
      </c>
      <c r="C66" s="175">
        <f t="shared" si="11"/>
        <v>141</v>
      </c>
      <c r="D66" s="175">
        <f t="shared" si="11"/>
        <v>258527.67282681772</v>
      </c>
      <c r="E66" s="175">
        <f t="shared" si="11"/>
        <v>66836557617.250107</v>
      </c>
      <c r="F66" s="175">
        <f t="shared" si="12"/>
        <v>9.6267686813273377E-6</v>
      </c>
      <c r="G66" s="175">
        <f t="shared" si="12"/>
        <v>1.3330303785845528E-5</v>
      </c>
      <c r="H66" s="175">
        <f t="shared" si="12"/>
        <v>2.0897960557868553E-5</v>
      </c>
      <c r="I66" s="175">
        <f t="shared" si="12"/>
        <v>2.6598614619910053E-5</v>
      </c>
      <c r="J66" s="175">
        <f t="shared" si="12"/>
        <v>-1.0224051153556048E-7</v>
      </c>
      <c r="K66" s="175">
        <f t="shared" si="12"/>
        <v>-1.0224051153556048E-7</v>
      </c>
      <c r="L66" s="175">
        <f t="shared" si="12"/>
        <v>-1.0224051153556048E-7</v>
      </c>
      <c r="M66" s="175">
        <f t="shared" si="12"/>
        <v>-1.0224051153556048E-7</v>
      </c>
      <c r="P66" s="139"/>
      <c r="Q66" s="139"/>
      <c r="R66" s="139"/>
      <c r="S66" s="139"/>
      <c r="T66" s="139"/>
      <c r="U66" s="139"/>
      <c r="V66" s="139"/>
      <c r="W66" s="139"/>
    </row>
    <row r="67" spans="1:23">
      <c r="A67">
        <f t="shared" si="11"/>
        <v>18</v>
      </c>
      <c r="B67" s="176" t="str">
        <f t="shared" si="11"/>
        <v>Fiber/APD</v>
      </c>
      <c r="C67" s="176">
        <f t="shared" si="11"/>
        <v>147</v>
      </c>
      <c r="D67" s="176">
        <f t="shared" si="11"/>
        <v>262964.69766962621</v>
      </c>
      <c r="E67" s="176">
        <f t="shared" si="11"/>
        <v>69150432220.477921</v>
      </c>
      <c r="F67" s="176">
        <f t="shared" si="12"/>
        <v>1.0464101889983474E-5</v>
      </c>
      <c r="G67" s="176">
        <f t="shared" si="12"/>
        <v>1.3712840160516191E-5</v>
      </c>
      <c r="H67" s="176">
        <f t="shared" si="12"/>
        <v>2.2217429404838487E-5</v>
      </c>
      <c r="I67" s="176">
        <f t="shared" si="12"/>
        <v>2.6990901266045058E-5</v>
      </c>
      <c r="J67" s="176">
        <f t="shared" si="12"/>
        <v>-1.2024916648039929E-7</v>
      </c>
      <c r="K67" s="176">
        <f t="shared" si="12"/>
        <v>-1.2024916648039929E-7</v>
      </c>
      <c r="L67" s="176">
        <f t="shared" si="12"/>
        <v>-1.2024916648039929E-7</v>
      </c>
      <c r="M67" s="176">
        <f t="shared" si="12"/>
        <v>-1.2024916648039929E-7</v>
      </c>
      <c r="P67" s="139"/>
      <c r="Q67" s="139"/>
      <c r="R67" s="139"/>
      <c r="S67" s="139"/>
      <c r="T67" s="139"/>
      <c r="U67" s="139"/>
      <c r="V67" s="139"/>
      <c r="W67" s="139"/>
    </row>
    <row r="68" spans="1:23">
      <c r="B68" s="139"/>
      <c r="C68" s="139"/>
      <c r="D68" s="139"/>
      <c r="E68" s="139"/>
      <c r="F68" s="139"/>
      <c r="G68" s="139"/>
      <c r="H68" s="139"/>
      <c r="I68" s="139"/>
      <c r="J68" s="139"/>
      <c r="K68" s="139"/>
      <c r="L68" s="139"/>
      <c r="M68" s="139"/>
      <c r="N68" s="139"/>
      <c r="P68" s="139"/>
      <c r="Q68" s="139"/>
      <c r="R68" s="139"/>
      <c r="S68" s="139"/>
      <c r="T68" s="139"/>
      <c r="U68" s="139"/>
      <c r="V68" s="139"/>
      <c r="W68" s="139"/>
    </row>
    <row r="69" spans="1:23" ht="15.75">
      <c r="B69" s="139"/>
      <c r="C69" s="139"/>
      <c r="D69" s="139"/>
      <c r="E69" s="237" t="s">
        <v>311</v>
      </c>
      <c r="F69" s="139"/>
      <c r="G69" s="139"/>
      <c r="H69" s="139"/>
      <c r="I69" s="139"/>
      <c r="J69" s="139"/>
      <c r="K69" s="139"/>
      <c r="L69" s="139"/>
      <c r="M69" s="139"/>
      <c r="P69" s="139"/>
      <c r="Q69" s="139"/>
      <c r="R69" s="139"/>
      <c r="S69" s="139"/>
      <c r="T69" s="139"/>
      <c r="U69" s="139"/>
      <c r="V69" s="139"/>
      <c r="W69" s="139"/>
    </row>
    <row r="70" spans="1:23" ht="16.5">
      <c r="A70" s="65" t="s">
        <v>129</v>
      </c>
      <c r="B70" s="65" t="s">
        <v>130</v>
      </c>
      <c r="C70" s="65" t="s">
        <v>128</v>
      </c>
      <c r="E70" s="67" t="s">
        <v>305</v>
      </c>
      <c r="F70" s="67" t="s">
        <v>306</v>
      </c>
    </row>
    <row r="71" spans="1:23">
      <c r="A71">
        <f>A28</f>
        <v>1</v>
      </c>
      <c r="B71" s="175" t="str">
        <f>B28</f>
        <v>Wyatt</v>
      </c>
      <c r="C71" s="175">
        <f>C28</f>
        <v>22.5</v>
      </c>
      <c r="D71" s="175"/>
      <c r="E71" s="175">
        <f>E50/10000000000</f>
        <v>0.28628093142053257</v>
      </c>
      <c r="F71" s="175">
        <f t="shared" ref="F71:M73" si="13">$E71+kscale*F$49</f>
        <v>2.8872809314205323</v>
      </c>
      <c r="G71" s="175">
        <f t="shared" si="13"/>
        <v>5.1142809314205318</v>
      </c>
      <c r="H71" s="175">
        <f t="shared" si="13"/>
        <v>8.4622809314205316</v>
      </c>
      <c r="I71" s="175">
        <f t="shared" si="13"/>
        <v>10.521280931420533</v>
      </c>
      <c r="J71" s="175">
        <f t="shared" si="13"/>
        <v>0.29628093142053258</v>
      </c>
      <c r="K71" s="175">
        <f t="shared" si="13"/>
        <v>0.29628093142053258</v>
      </c>
      <c r="L71" s="175">
        <f t="shared" si="13"/>
        <v>0.29628093142053258</v>
      </c>
      <c r="M71" s="175">
        <f t="shared" si="13"/>
        <v>0.29628093142053258</v>
      </c>
    </row>
    <row r="72" spans="1:23">
      <c r="A72">
        <f t="shared" ref="A72:A87" si="14">A29</f>
        <v>2</v>
      </c>
      <c r="B72" s="175" t="str">
        <f>B29</f>
        <v>Wyatt</v>
      </c>
      <c r="C72" s="175">
        <f>C29</f>
        <v>28</v>
      </c>
      <c r="D72" s="175"/>
      <c r="E72" s="175">
        <f>E51/10000000000</f>
        <v>0.44022157570604104</v>
      </c>
      <c r="F72" s="175">
        <f t="shared" si="13"/>
        <v>3.0412215757060412</v>
      </c>
      <c r="G72" s="175">
        <f t="shared" si="13"/>
        <v>5.2682215757060407</v>
      </c>
      <c r="H72" s="175">
        <f t="shared" si="13"/>
        <v>8.6162215757060387</v>
      </c>
      <c r="I72" s="175">
        <f t="shared" si="13"/>
        <v>10.67522157570604</v>
      </c>
      <c r="J72" s="175">
        <f t="shared" si="13"/>
        <v>0.45022157570604104</v>
      </c>
      <c r="K72" s="175">
        <f t="shared" si="13"/>
        <v>0.45022157570604104</v>
      </c>
      <c r="L72" s="175">
        <f t="shared" si="13"/>
        <v>0.45022157570604104</v>
      </c>
      <c r="M72" s="175">
        <f t="shared" si="13"/>
        <v>0.45022157570604104</v>
      </c>
    </row>
    <row r="73" spans="1:23">
      <c r="A73">
        <f t="shared" si="14"/>
        <v>3</v>
      </c>
      <c r="B73" s="175" t="str">
        <f t="shared" ref="B73:C88" si="15">B30</f>
        <v>Wyatt</v>
      </c>
      <c r="C73" s="175">
        <f t="shared" si="15"/>
        <v>32</v>
      </c>
      <c r="D73" s="175"/>
      <c r="E73" s="175">
        <f>E52/10000000000</f>
        <v>0.57147484768024681</v>
      </c>
      <c r="F73" s="175">
        <f t="shared" si="13"/>
        <v>3.1724748476802467</v>
      </c>
      <c r="G73" s="175">
        <f t="shared" si="13"/>
        <v>5.3994748476802465</v>
      </c>
      <c r="H73" s="175">
        <f t="shared" si="13"/>
        <v>8.7474748476802446</v>
      </c>
      <c r="I73" s="175">
        <f t="shared" si="13"/>
        <v>10.806474847680246</v>
      </c>
      <c r="J73" s="175">
        <f t="shared" si="13"/>
        <v>0.58147484768024682</v>
      </c>
      <c r="K73" s="175">
        <f t="shared" si="13"/>
        <v>0.58147484768024682</v>
      </c>
      <c r="L73" s="175">
        <f t="shared" si="13"/>
        <v>0.58147484768024682</v>
      </c>
      <c r="M73" s="175">
        <f t="shared" si="13"/>
        <v>0.58147484768024682</v>
      </c>
    </row>
    <row r="74" spans="1:23">
      <c r="A74">
        <f t="shared" si="14"/>
        <v>4</v>
      </c>
      <c r="B74" s="54" t="str">
        <f t="shared" si="15"/>
        <v>Blank</v>
      </c>
      <c r="C74" s="54">
        <f t="shared" si="15"/>
        <v>38</v>
      </c>
      <c r="D74" s="54"/>
      <c r="E74" s="54">
        <f>E53/10000000000</f>
        <v>0.79726886750403925</v>
      </c>
      <c r="F74" s="54"/>
      <c r="G74" s="54"/>
      <c r="H74" s="54"/>
      <c r="I74" s="54"/>
      <c r="J74" s="54"/>
      <c r="K74" s="54"/>
      <c r="L74" s="54"/>
      <c r="M74" s="54"/>
    </row>
    <row r="75" spans="1:23">
      <c r="A75">
        <f t="shared" si="14"/>
        <v>5</v>
      </c>
      <c r="B75" s="176" t="str">
        <f t="shared" si="15"/>
        <v>Fiber/APD</v>
      </c>
      <c r="C75" s="176">
        <f t="shared" si="15"/>
        <v>44</v>
      </c>
      <c r="D75" s="176"/>
      <c r="E75" s="176">
        <f t="shared" ref="E75:E82" si="16">E54/10000000000</f>
        <v>1.0555329732261189</v>
      </c>
      <c r="F75" s="176">
        <f t="shared" ref="F75:M82" si="17">$E75+kscale*F$49</f>
        <v>3.6565329732261187</v>
      </c>
      <c r="G75" s="176">
        <f t="shared" si="17"/>
        <v>5.8835329732261181</v>
      </c>
      <c r="H75" s="176">
        <f t="shared" si="17"/>
        <v>9.231532973226118</v>
      </c>
      <c r="I75" s="176">
        <f t="shared" si="17"/>
        <v>11.290532973226119</v>
      </c>
      <c r="J75" s="176">
        <f t="shared" si="17"/>
        <v>1.065532973226119</v>
      </c>
      <c r="K75" s="176">
        <f t="shared" si="17"/>
        <v>1.065532973226119</v>
      </c>
      <c r="L75" s="176">
        <f t="shared" si="17"/>
        <v>1.065532973226119</v>
      </c>
      <c r="M75" s="176">
        <f t="shared" si="17"/>
        <v>1.065532973226119</v>
      </c>
    </row>
    <row r="76" spans="1:23">
      <c r="A76">
        <f t="shared" si="14"/>
        <v>6</v>
      </c>
      <c r="B76" s="176" t="str">
        <f t="shared" si="15"/>
        <v>Fiber/APD</v>
      </c>
      <c r="C76" s="176">
        <f t="shared" si="15"/>
        <v>50</v>
      </c>
      <c r="D76" s="176"/>
      <c r="E76" s="176">
        <f t="shared" si="16"/>
        <v>1.3434375692589571</v>
      </c>
      <c r="F76" s="176">
        <f t="shared" si="17"/>
        <v>3.9444375692589571</v>
      </c>
      <c r="G76" s="176">
        <f t="shared" si="17"/>
        <v>6.1714375692589565</v>
      </c>
      <c r="H76" s="176">
        <f t="shared" si="17"/>
        <v>9.5194375692589546</v>
      </c>
      <c r="I76" s="176">
        <f t="shared" si="17"/>
        <v>11.578437569258956</v>
      </c>
      <c r="J76" s="176">
        <f t="shared" si="17"/>
        <v>1.3534375692589571</v>
      </c>
      <c r="K76" s="176">
        <f t="shared" si="17"/>
        <v>1.3534375692589571</v>
      </c>
      <c r="L76" s="176">
        <f t="shared" si="17"/>
        <v>1.3534375692589571</v>
      </c>
      <c r="M76" s="176">
        <f t="shared" si="17"/>
        <v>1.3534375692589571</v>
      </c>
    </row>
    <row r="77" spans="1:23">
      <c r="A77">
        <f t="shared" si="14"/>
        <v>7</v>
      </c>
      <c r="B77" s="175" t="str">
        <f t="shared" si="15"/>
        <v>Wyatt</v>
      </c>
      <c r="C77" s="175">
        <f t="shared" si="15"/>
        <v>57</v>
      </c>
      <c r="D77" s="175"/>
      <c r="E77" s="175">
        <f t="shared" si="16"/>
        <v>1.7125638542325019</v>
      </c>
      <c r="F77" s="175">
        <f t="shared" si="17"/>
        <v>4.3135638542325019</v>
      </c>
      <c r="G77" s="175">
        <f t="shared" si="17"/>
        <v>6.5405638542325013</v>
      </c>
      <c r="H77" s="175">
        <f t="shared" si="17"/>
        <v>9.8885638542325012</v>
      </c>
      <c r="I77" s="175">
        <f t="shared" si="17"/>
        <v>11.947563854232502</v>
      </c>
      <c r="J77" s="175">
        <f t="shared" si="17"/>
        <v>1.7225638542325019</v>
      </c>
      <c r="K77" s="175">
        <f t="shared" si="17"/>
        <v>1.7225638542325019</v>
      </c>
      <c r="L77" s="175">
        <f t="shared" si="17"/>
        <v>1.7225638542325019</v>
      </c>
      <c r="M77" s="175">
        <f t="shared" si="17"/>
        <v>1.7225638542325019</v>
      </c>
    </row>
    <row r="78" spans="1:23">
      <c r="A78">
        <f t="shared" si="14"/>
        <v>8</v>
      </c>
      <c r="B78" s="176" t="str">
        <f t="shared" si="15"/>
        <v>Fiber/APD</v>
      </c>
      <c r="C78" s="176">
        <f t="shared" si="15"/>
        <v>64</v>
      </c>
      <c r="D78" s="176"/>
      <c r="E78" s="176">
        <f t="shared" si="16"/>
        <v>2.1122260085135278</v>
      </c>
      <c r="F78" s="176">
        <f t="shared" si="17"/>
        <v>4.7132260085135282</v>
      </c>
      <c r="G78" s="176">
        <f t="shared" si="17"/>
        <v>6.9402260085135268</v>
      </c>
      <c r="H78" s="176">
        <f t="shared" si="17"/>
        <v>10.288226008513526</v>
      </c>
      <c r="I78" s="176">
        <f t="shared" si="17"/>
        <v>12.347226008513527</v>
      </c>
      <c r="J78" s="176">
        <f t="shared" si="17"/>
        <v>2.1222260085135276</v>
      </c>
      <c r="K78" s="176">
        <f t="shared" si="17"/>
        <v>2.1222260085135276</v>
      </c>
      <c r="L78" s="176">
        <f t="shared" si="17"/>
        <v>2.1222260085135276</v>
      </c>
      <c r="M78" s="176">
        <f t="shared" si="17"/>
        <v>2.1222260085135276</v>
      </c>
    </row>
    <row r="79" spans="1:23">
      <c r="A79">
        <f t="shared" si="14"/>
        <v>9</v>
      </c>
      <c r="B79" s="175" t="str">
        <f t="shared" si="15"/>
        <v>Wyatt</v>
      </c>
      <c r="C79" s="175">
        <f t="shared" si="15"/>
        <v>72</v>
      </c>
      <c r="D79" s="175"/>
      <c r="E79" s="175">
        <f t="shared" si="16"/>
        <v>2.5987131315953915</v>
      </c>
      <c r="F79" s="175">
        <f t="shared" si="17"/>
        <v>5.1997131315953915</v>
      </c>
      <c r="G79" s="175">
        <f t="shared" si="17"/>
        <v>7.4267131315953909</v>
      </c>
      <c r="H79" s="175">
        <f t="shared" si="17"/>
        <v>10.774713131595391</v>
      </c>
      <c r="I79" s="175">
        <f t="shared" si="17"/>
        <v>12.833713131595392</v>
      </c>
      <c r="J79" s="175">
        <f t="shared" si="17"/>
        <v>2.6087131315953913</v>
      </c>
      <c r="K79" s="175">
        <f t="shared" si="17"/>
        <v>2.6087131315953913</v>
      </c>
      <c r="L79" s="175">
        <f t="shared" si="17"/>
        <v>2.6087131315953913</v>
      </c>
      <c r="M79" s="175">
        <f t="shared" si="17"/>
        <v>2.6087131315953913</v>
      </c>
    </row>
    <row r="80" spans="1:23">
      <c r="A80">
        <f t="shared" si="14"/>
        <v>10</v>
      </c>
      <c r="B80" s="176" t="str">
        <f t="shared" si="15"/>
        <v>Fiber/APD</v>
      </c>
      <c r="C80" s="176">
        <f t="shared" si="15"/>
        <v>81</v>
      </c>
      <c r="D80" s="176"/>
      <c r="E80" s="176">
        <f t="shared" si="16"/>
        <v>3.1725596942550376</v>
      </c>
      <c r="F80" s="176">
        <f t="shared" si="17"/>
        <v>5.773559694255038</v>
      </c>
      <c r="G80" s="176">
        <f t="shared" si="17"/>
        <v>8.0005596942550365</v>
      </c>
      <c r="H80" s="176">
        <f t="shared" si="17"/>
        <v>11.348559694255036</v>
      </c>
      <c r="I80" s="176">
        <f t="shared" si="17"/>
        <v>13.407559694255037</v>
      </c>
      <c r="J80" s="176">
        <f t="shared" si="17"/>
        <v>3.1825596942550374</v>
      </c>
      <c r="K80" s="176">
        <f t="shared" si="17"/>
        <v>3.1825596942550374</v>
      </c>
      <c r="L80" s="176">
        <f t="shared" si="17"/>
        <v>3.1825596942550374</v>
      </c>
      <c r="M80" s="176">
        <f t="shared" si="17"/>
        <v>3.1825596942550374</v>
      </c>
    </row>
    <row r="81" spans="1:18">
      <c r="A81">
        <f t="shared" si="14"/>
        <v>11</v>
      </c>
      <c r="B81" s="175" t="str">
        <f t="shared" si="15"/>
        <v>Wyatt</v>
      </c>
      <c r="C81" s="175">
        <f t="shared" si="15"/>
        <v>90</v>
      </c>
      <c r="D81" s="175"/>
      <c r="E81" s="175">
        <f t="shared" si="16"/>
        <v>3.760892974849122</v>
      </c>
      <c r="F81" s="175">
        <f t="shared" si="17"/>
        <v>6.3618929748491215</v>
      </c>
      <c r="G81" s="175">
        <f t="shared" si="17"/>
        <v>8.5888929748491218</v>
      </c>
      <c r="H81" s="175">
        <f t="shared" si="17"/>
        <v>11.936892974849121</v>
      </c>
      <c r="I81" s="175">
        <f t="shared" si="17"/>
        <v>13.995892974849122</v>
      </c>
      <c r="J81" s="175">
        <f t="shared" si="17"/>
        <v>3.7708929748491218</v>
      </c>
      <c r="K81" s="175">
        <f t="shared" si="17"/>
        <v>3.7708929748491218</v>
      </c>
      <c r="L81" s="175">
        <f t="shared" si="17"/>
        <v>3.7708929748491218</v>
      </c>
      <c r="M81" s="175">
        <f t="shared" si="17"/>
        <v>3.7708929748491218</v>
      </c>
    </row>
    <row r="82" spans="1:18">
      <c r="A82">
        <f t="shared" si="14"/>
        <v>12</v>
      </c>
      <c r="B82" s="176" t="str">
        <f t="shared" si="15"/>
        <v>Fiber/APD</v>
      </c>
      <c r="C82" s="176">
        <f t="shared" si="15"/>
        <v>99</v>
      </c>
      <c r="D82" s="176"/>
      <c r="E82" s="176">
        <f t="shared" si="16"/>
        <v>4.3492262554432068</v>
      </c>
      <c r="F82" s="176">
        <f t="shared" si="17"/>
        <v>6.9502262554432068</v>
      </c>
      <c r="G82" s="176">
        <f t="shared" si="17"/>
        <v>9.1772262554432054</v>
      </c>
      <c r="H82" s="176">
        <f t="shared" si="17"/>
        <v>12.525226255443204</v>
      </c>
      <c r="I82" s="176">
        <f t="shared" si="17"/>
        <v>14.584226255443205</v>
      </c>
      <c r="J82" s="176">
        <f t="shared" si="17"/>
        <v>4.3592262554432066</v>
      </c>
      <c r="K82" s="176">
        <f t="shared" si="17"/>
        <v>4.3592262554432066</v>
      </c>
      <c r="L82" s="176">
        <f t="shared" si="17"/>
        <v>4.3592262554432066</v>
      </c>
      <c r="M82" s="176">
        <f t="shared" si="17"/>
        <v>4.3592262554432066</v>
      </c>
    </row>
    <row r="83" spans="1:18">
      <c r="A83">
        <f t="shared" si="14"/>
        <v>13</v>
      </c>
      <c r="B83" s="54" t="str">
        <f t="shared" si="15"/>
        <v>Blank</v>
      </c>
      <c r="C83" s="54">
        <f t="shared" si="15"/>
        <v>108</v>
      </c>
      <c r="D83" s="54"/>
      <c r="E83" s="54">
        <f t="shared" ref="E83:E88" si="18">E62/10000000000</f>
        <v>4.9230728181028534</v>
      </c>
      <c r="F83" s="54"/>
      <c r="G83" s="54"/>
      <c r="H83" s="54"/>
      <c r="I83" s="54"/>
      <c r="J83" s="54"/>
      <c r="K83" s="54"/>
      <c r="L83" s="54"/>
      <c r="M83" s="54"/>
    </row>
    <row r="84" spans="1:18">
      <c r="A84">
        <f t="shared" si="14"/>
        <v>14</v>
      </c>
      <c r="B84" s="176" t="str">
        <f t="shared" si="15"/>
        <v>Fiber/APD</v>
      </c>
      <c r="C84" s="176">
        <f t="shared" si="15"/>
        <v>117</v>
      </c>
      <c r="D84" s="176"/>
      <c r="E84" s="176">
        <f t="shared" si="18"/>
        <v>5.4683026559678272</v>
      </c>
      <c r="F84" s="176">
        <f t="shared" ref="F84:M88" si="19">$E84+kscale*F$49</f>
        <v>8.069302655967828</v>
      </c>
      <c r="G84" s="176">
        <f t="shared" si="19"/>
        <v>10.296302655967827</v>
      </c>
      <c r="H84" s="176">
        <f t="shared" si="19"/>
        <v>13.644302655967826</v>
      </c>
      <c r="I84" s="176">
        <f t="shared" si="19"/>
        <v>15.703302655967827</v>
      </c>
      <c r="J84" s="176">
        <f t="shared" si="19"/>
        <v>5.478302655967827</v>
      </c>
      <c r="K84" s="176">
        <f t="shared" si="19"/>
        <v>5.478302655967827</v>
      </c>
      <c r="L84" s="176">
        <f t="shared" si="19"/>
        <v>5.478302655967827</v>
      </c>
      <c r="M84" s="176">
        <f t="shared" si="19"/>
        <v>5.478302655967827</v>
      </c>
    </row>
    <row r="85" spans="1:18">
      <c r="A85">
        <f t="shared" si="14"/>
        <v>15</v>
      </c>
      <c r="B85" s="175" t="str">
        <f t="shared" si="15"/>
        <v>Wyatt</v>
      </c>
      <c r="C85" s="175">
        <f t="shared" si="15"/>
        <v>126</v>
      </c>
      <c r="D85" s="175"/>
      <c r="E85" s="175">
        <f t="shared" si="18"/>
        <v>5.9714904009158021</v>
      </c>
      <c r="F85" s="175">
        <f t="shared" si="19"/>
        <v>8.5724904009158021</v>
      </c>
      <c r="G85" s="175">
        <f t="shared" si="19"/>
        <v>10.799490400915801</v>
      </c>
      <c r="H85" s="175">
        <f t="shared" si="19"/>
        <v>14.1474904009158</v>
      </c>
      <c r="I85" s="175">
        <f t="shared" si="19"/>
        <v>16.206490400915801</v>
      </c>
      <c r="J85" s="175">
        <f t="shared" si="19"/>
        <v>5.9814904009158019</v>
      </c>
      <c r="K85" s="175">
        <f t="shared" si="19"/>
        <v>5.9814904009158019</v>
      </c>
      <c r="L85" s="175">
        <f t="shared" si="19"/>
        <v>5.9814904009158019</v>
      </c>
      <c r="M85" s="175">
        <f t="shared" si="19"/>
        <v>5.9814904009158019</v>
      </c>
    </row>
    <row r="86" spans="1:18">
      <c r="A86">
        <f t="shared" si="14"/>
        <v>16</v>
      </c>
      <c r="B86" s="176" t="str">
        <f t="shared" si="15"/>
        <v>Fiber/APD</v>
      </c>
      <c r="C86" s="176">
        <f t="shared" si="15"/>
        <v>134</v>
      </c>
      <c r="D86" s="176"/>
      <c r="E86" s="176">
        <f t="shared" si="18"/>
        <v>6.3734287602285065</v>
      </c>
      <c r="F86" s="176">
        <f t="shared" si="19"/>
        <v>8.9744287602285056</v>
      </c>
      <c r="G86" s="176">
        <f t="shared" si="19"/>
        <v>11.201428760228506</v>
      </c>
      <c r="H86" s="176">
        <f t="shared" si="19"/>
        <v>14.549428760228505</v>
      </c>
      <c r="I86" s="176">
        <f t="shared" si="19"/>
        <v>16.608428760228506</v>
      </c>
      <c r="J86" s="176">
        <f t="shared" si="19"/>
        <v>6.3834287602285062</v>
      </c>
      <c r="K86" s="176">
        <f t="shared" si="19"/>
        <v>6.3834287602285062</v>
      </c>
      <c r="L86" s="176">
        <f t="shared" si="19"/>
        <v>6.3834287602285062</v>
      </c>
      <c r="M86" s="176">
        <f t="shared" si="19"/>
        <v>6.3834287602285062</v>
      </c>
    </row>
    <row r="87" spans="1:18">
      <c r="A87">
        <f t="shared" si="14"/>
        <v>17</v>
      </c>
      <c r="B87" s="175" t="str">
        <f t="shared" si="15"/>
        <v>Wyatt</v>
      </c>
      <c r="C87" s="175">
        <f t="shared" si="15"/>
        <v>141</v>
      </c>
      <c r="D87" s="175"/>
      <c r="E87" s="175">
        <f t="shared" si="18"/>
        <v>6.683655761725011</v>
      </c>
      <c r="F87" s="175">
        <f t="shared" si="19"/>
        <v>9.2846557617250109</v>
      </c>
      <c r="G87" s="175">
        <f t="shared" si="19"/>
        <v>11.511655761725009</v>
      </c>
      <c r="H87" s="175">
        <f t="shared" si="19"/>
        <v>14.859655761725008</v>
      </c>
      <c r="I87" s="175">
        <f t="shared" si="19"/>
        <v>16.91865576172501</v>
      </c>
      <c r="J87" s="175">
        <f t="shared" si="19"/>
        <v>6.6936557617250108</v>
      </c>
      <c r="K87" s="175">
        <f t="shared" si="19"/>
        <v>6.6936557617250108</v>
      </c>
      <c r="L87" s="175">
        <f t="shared" si="19"/>
        <v>6.6936557617250108</v>
      </c>
      <c r="M87" s="175">
        <f t="shared" si="19"/>
        <v>6.6936557617250108</v>
      </c>
    </row>
    <row r="88" spans="1:18">
      <c r="A88">
        <v>18</v>
      </c>
      <c r="B88" s="176" t="str">
        <f t="shared" si="15"/>
        <v>Fiber/APD</v>
      </c>
      <c r="C88" s="176">
        <f t="shared" si="15"/>
        <v>147</v>
      </c>
      <c r="D88" s="176"/>
      <c r="E88" s="176">
        <f t="shared" si="18"/>
        <v>6.9150432220477924</v>
      </c>
      <c r="F88" s="176">
        <f t="shared" si="19"/>
        <v>9.5160432220477915</v>
      </c>
      <c r="G88" s="176">
        <f t="shared" si="19"/>
        <v>11.743043222047792</v>
      </c>
      <c r="H88" s="176">
        <f t="shared" si="19"/>
        <v>15.091043222047791</v>
      </c>
      <c r="I88" s="176">
        <f t="shared" si="19"/>
        <v>17.150043222047792</v>
      </c>
      <c r="J88" s="176">
        <f t="shared" si="19"/>
        <v>6.9250432220477922</v>
      </c>
      <c r="K88" s="176">
        <f t="shared" si="19"/>
        <v>6.9250432220477922</v>
      </c>
      <c r="L88" s="176">
        <f t="shared" si="19"/>
        <v>6.9250432220477922</v>
      </c>
      <c r="M88" s="176">
        <f t="shared" si="19"/>
        <v>6.9250432220477922</v>
      </c>
    </row>
    <row r="90" spans="1:18" ht="14.65" thickBot="1"/>
    <row r="91" spans="1:18" ht="15.75">
      <c r="F91" s="67" t="s">
        <v>348</v>
      </c>
      <c r="P91" s="292" t="s">
        <v>349</v>
      </c>
      <c r="Q91" s="217"/>
      <c r="R91" s="218"/>
    </row>
    <row r="92" spans="1:18" ht="15.75">
      <c r="F92" s="65" t="s">
        <v>244</v>
      </c>
      <c r="G92" s="65" t="s">
        <v>245</v>
      </c>
      <c r="H92" s="65" t="s">
        <v>246</v>
      </c>
      <c r="I92" s="65" t="s">
        <v>247</v>
      </c>
      <c r="J92" s="65" t="s">
        <v>248</v>
      </c>
      <c r="K92" s="65" t="s">
        <v>249</v>
      </c>
      <c r="L92" s="65" t="s">
        <v>250</v>
      </c>
      <c r="M92" s="65" t="s">
        <v>251</v>
      </c>
      <c r="P92" s="293" t="s">
        <v>399</v>
      </c>
      <c r="Q92" s="281">
        <v>271336.04036909423</v>
      </c>
      <c r="R92" s="263" t="s">
        <v>350</v>
      </c>
    </row>
    <row r="93" spans="1:18" ht="16.5">
      <c r="A93" s="65" t="s">
        <v>129</v>
      </c>
      <c r="B93" s="174" t="s">
        <v>130</v>
      </c>
      <c r="C93" s="65" t="s">
        <v>128</v>
      </c>
      <c r="D93" s="65"/>
      <c r="E93" s="65" t="s">
        <v>243</v>
      </c>
      <c r="F93" s="182">
        <f>F49</f>
        <v>2.601E-3</v>
      </c>
      <c r="G93" s="182">
        <f t="shared" ref="G93:M93" si="20">G49</f>
        <v>4.8279999999999998E-3</v>
      </c>
      <c r="H93" s="182">
        <f t="shared" si="20"/>
        <v>8.1759999999999992E-3</v>
      </c>
      <c r="I93" s="182">
        <f t="shared" si="20"/>
        <v>1.0234999999999999E-2</v>
      </c>
      <c r="J93" s="182">
        <f t="shared" si="20"/>
        <v>1.0000000000000001E-5</v>
      </c>
      <c r="K93" s="182">
        <f t="shared" si="20"/>
        <v>1.0000000000000001E-5</v>
      </c>
      <c r="L93" s="182">
        <f t="shared" si="20"/>
        <v>1.0000000000000001E-5</v>
      </c>
      <c r="M93" s="182">
        <f t="shared" si="20"/>
        <v>1.0000000000000001E-5</v>
      </c>
      <c r="P93" s="294" t="s">
        <v>352</v>
      </c>
      <c r="Q93" s="262">
        <v>1.1627589266692731E-3</v>
      </c>
      <c r="R93" s="264" t="s">
        <v>351</v>
      </c>
    </row>
    <row r="94" spans="1:18" ht="15.75">
      <c r="A94">
        <v>1</v>
      </c>
      <c r="B94" s="175" t="str">
        <f>B28</f>
        <v>Wyatt</v>
      </c>
      <c r="C94" s="175">
        <f>C28</f>
        <v>22.5</v>
      </c>
      <c r="D94" s="175"/>
      <c r="E94" s="175">
        <f>E50</f>
        <v>2862809314.2053256</v>
      </c>
      <c r="F94" s="175">
        <f t="shared" ref="F94:M96" si="21">(1+($E94*Rgcm^2)/3)/MolWt+2*Virial2*F$93</f>
        <v>9.7341740222034775E-6</v>
      </c>
      <c r="G94" s="175">
        <f t="shared" si="21"/>
        <v>1.4913102281588419E-5</v>
      </c>
      <c r="H94" s="175">
        <f t="shared" si="21"/>
        <v>2.2698936054565868E-5</v>
      </c>
      <c r="I94" s="175">
        <f t="shared" si="21"/>
        <v>2.7487177314589934E-5</v>
      </c>
      <c r="J94" s="175">
        <f t="shared" si="21"/>
        <v>3.7087572642033044E-6</v>
      </c>
      <c r="K94" s="175">
        <f t="shared" si="21"/>
        <v>3.7087572642033044E-6</v>
      </c>
      <c r="L94" s="175">
        <f t="shared" si="21"/>
        <v>3.7087572642033044E-6</v>
      </c>
      <c r="M94" s="175">
        <f t="shared" si="21"/>
        <v>3.7087572642033044E-6</v>
      </c>
      <c r="P94" s="294" t="s">
        <v>353</v>
      </c>
      <c r="Q94" s="52">
        <v>1</v>
      </c>
      <c r="R94" s="264" t="s">
        <v>18</v>
      </c>
    </row>
    <row r="95" spans="1:18" ht="15.75">
      <c r="A95">
        <v>2</v>
      </c>
      <c r="B95" s="175" t="str">
        <f t="shared" ref="B95:B111" si="22">B29</f>
        <v>Wyatt</v>
      </c>
      <c r="C95" s="175">
        <f t="shared" ref="C95:C111" si="23">C29</f>
        <v>28</v>
      </c>
      <c r="D95" s="175"/>
      <c r="E95" s="175">
        <f t="shared" ref="E95:E111" si="24">E51</f>
        <v>4402215757.0604105</v>
      </c>
      <c r="F95" s="175">
        <f t="shared" si="21"/>
        <v>9.7341929336418634E-6</v>
      </c>
      <c r="G95" s="175">
        <f t="shared" si="21"/>
        <v>1.4913121193026805E-5</v>
      </c>
      <c r="H95" s="175">
        <f t="shared" si="21"/>
        <v>2.2698954966004256E-5</v>
      </c>
      <c r="I95" s="175">
        <f t="shared" si="21"/>
        <v>2.7487196226028322E-5</v>
      </c>
      <c r="J95" s="175">
        <f t="shared" si="21"/>
        <v>3.708776175641691E-6</v>
      </c>
      <c r="K95" s="175">
        <f t="shared" si="21"/>
        <v>3.708776175641691E-6</v>
      </c>
      <c r="L95" s="175">
        <f t="shared" si="21"/>
        <v>3.708776175641691E-6</v>
      </c>
      <c r="M95" s="175">
        <f t="shared" si="21"/>
        <v>3.708776175641691E-6</v>
      </c>
      <c r="P95" s="294" t="s">
        <v>353</v>
      </c>
      <c r="Q95" s="244">
        <f>RadGy/10000000</f>
        <v>9.9999999999999995E-8</v>
      </c>
      <c r="R95" s="264" t="s">
        <v>354</v>
      </c>
    </row>
    <row r="96" spans="1:18">
      <c r="A96">
        <v>3</v>
      </c>
      <c r="B96" s="175" t="str">
        <f t="shared" si="22"/>
        <v>Wyatt</v>
      </c>
      <c r="C96" s="175">
        <f t="shared" si="23"/>
        <v>32</v>
      </c>
      <c r="D96" s="175"/>
      <c r="E96" s="175">
        <f t="shared" si="24"/>
        <v>5714748476.8024683</v>
      </c>
      <c r="F96" s="175">
        <f t="shared" si="21"/>
        <v>9.7342090579615806E-6</v>
      </c>
      <c r="G96" s="175">
        <f t="shared" si="21"/>
        <v>1.4913137317346522E-5</v>
      </c>
      <c r="H96" s="175">
        <f t="shared" si="21"/>
        <v>2.2698971090323973E-5</v>
      </c>
      <c r="I96" s="175">
        <f t="shared" si="21"/>
        <v>2.7487212350348039E-5</v>
      </c>
      <c r="J96" s="175">
        <f t="shared" si="21"/>
        <v>3.7087922999614079E-6</v>
      </c>
      <c r="K96" s="175">
        <f t="shared" si="21"/>
        <v>3.7087922999614079E-6</v>
      </c>
      <c r="L96" s="175">
        <f t="shared" si="21"/>
        <v>3.7087922999614079E-6</v>
      </c>
      <c r="M96" s="175">
        <f t="shared" si="21"/>
        <v>3.7087922999614079E-6</v>
      </c>
      <c r="P96" s="265"/>
      <c r="Q96" s="1"/>
      <c r="R96" s="266"/>
    </row>
    <row r="97" spans="1:18" ht="14.65" thickBot="1">
      <c r="A97">
        <v>4</v>
      </c>
      <c r="B97" s="54" t="str">
        <f t="shared" si="22"/>
        <v>Blank</v>
      </c>
      <c r="C97" s="54">
        <f t="shared" si="23"/>
        <v>38</v>
      </c>
      <c r="D97" s="54"/>
      <c r="E97" s="54">
        <f t="shared" si="24"/>
        <v>7972688675.0403929</v>
      </c>
      <c r="F97" s="54"/>
      <c r="G97" s="54"/>
      <c r="H97" s="54"/>
      <c r="I97" s="54"/>
      <c r="J97" s="54"/>
      <c r="K97" s="54"/>
      <c r="L97" s="54"/>
      <c r="M97" s="54"/>
      <c r="P97" s="267"/>
      <c r="Q97" s="268"/>
      <c r="R97" s="269"/>
    </row>
    <row r="98" spans="1:18">
      <c r="A98">
        <v>5</v>
      </c>
      <c r="B98" s="176" t="str">
        <f t="shared" si="22"/>
        <v>Fiber/APD</v>
      </c>
      <c r="C98" s="176">
        <f t="shared" si="23"/>
        <v>44</v>
      </c>
      <c r="D98" s="176"/>
      <c r="E98" s="176">
        <f t="shared" si="24"/>
        <v>10555329732.261189</v>
      </c>
      <c r="F98" s="176">
        <f t="shared" ref="F98:M105" si="25">(1+($E98*Rgcm^2)/3)/MolWt+2*Virial2*F$93</f>
        <v>9.7342685239684911E-6</v>
      </c>
      <c r="G98" s="176">
        <f t="shared" si="25"/>
        <v>1.4913196783353433E-5</v>
      </c>
      <c r="H98" s="176">
        <f t="shared" si="25"/>
        <v>2.2699030556330883E-5</v>
      </c>
      <c r="I98" s="176">
        <f t="shared" si="25"/>
        <v>2.748727181635495E-5</v>
      </c>
      <c r="J98" s="176">
        <f t="shared" si="25"/>
        <v>3.7088517659683183E-6</v>
      </c>
      <c r="K98" s="176">
        <f t="shared" si="25"/>
        <v>3.7088517659683183E-6</v>
      </c>
      <c r="L98" s="176">
        <f t="shared" si="25"/>
        <v>3.7088517659683183E-6</v>
      </c>
      <c r="M98" s="176">
        <f t="shared" si="25"/>
        <v>3.7088517659683183E-6</v>
      </c>
      <c r="P98" s="67" t="s">
        <v>393</v>
      </c>
    </row>
    <row r="99" spans="1:18">
      <c r="A99">
        <v>6</v>
      </c>
      <c r="B99" s="176" t="str">
        <f t="shared" si="22"/>
        <v>Fiber/APD</v>
      </c>
      <c r="C99" s="176">
        <f t="shared" si="23"/>
        <v>50</v>
      </c>
      <c r="D99" s="176"/>
      <c r="E99" s="176">
        <f t="shared" si="24"/>
        <v>13434375692.589571</v>
      </c>
      <c r="F99" s="176">
        <f t="shared" si="25"/>
        <v>9.7343038927306162E-6</v>
      </c>
      <c r="G99" s="176">
        <f t="shared" si="25"/>
        <v>1.4913232152115556E-5</v>
      </c>
      <c r="H99" s="176">
        <f t="shared" si="25"/>
        <v>2.2699065925093008E-5</v>
      </c>
      <c r="I99" s="176">
        <f t="shared" si="25"/>
        <v>2.7487307185117075E-5</v>
      </c>
      <c r="J99" s="176">
        <f t="shared" si="25"/>
        <v>3.708887134730443E-6</v>
      </c>
      <c r="K99" s="176">
        <f t="shared" si="25"/>
        <v>3.708887134730443E-6</v>
      </c>
      <c r="L99" s="176">
        <f t="shared" si="25"/>
        <v>3.708887134730443E-6</v>
      </c>
      <c r="M99" s="176">
        <f t="shared" si="25"/>
        <v>3.708887134730443E-6</v>
      </c>
      <c r="P99" s="180" t="s">
        <v>390</v>
      </c>
      <c r="Q99" s="290">
        <f>SUM(F114:I131)</f>
        <v>4.7297207815944171</v>
      </c>
      <c r="R99" t="s">
        <v>387</v>
      </c>
    </row>
    <row r="100" spans="1:18">
      <c r="A100">
        <v>7</v>
      </c>
      <c r="B100" s="175" t="str">
        <f t="shared" si="22"/>
        <v>Wyatt</v>
      </c>
      <c r="C100" s="175">
        <f t="shared" si="23"/>
        <v>57</v>
      </c>
      <c r="D100" s="175"/>
      <c r="E100" s="175">
        <f t="shared" si="24"/>
        <v>17125638542.325018</v>
      </c>
      <c r="F100" s="175">
        <f t="shared" si="25"/>
        <v>9.7343492394876577E-6</v>
      </c>
      <c r="G100" s="175">
        <f t="shared" si="25"/>
        <v>1.4913277498872599E-5</v>
      </c>
      <c r="H100" s="175">
        <f t="shared" si="25"/>
        <v>2.2699111271850048E-5</v>
      </c>
      <c r="I100" s="175">
        <f t="shared" si="25"/>
        <v>2.7487352531874115E-5</v>
      </c>
      <c r="J100" s="175">
        <f t="shared" si="25"/>
        <v>3.708932481487485E-6</v>
      </c>
      <c r="K100" s="175">
        <f t="shared" si="25"/>
        <v>3.708932481487485E-6</v>
      </c>
      <c r="L100" s="175">
        <f t="shared" si="25"/>
        <v>3.708932481487485E-6</v>
      </c>
      <c r="M100" s="175">
        <f t="shared" si="25"/>
        <v>3.708932481487485E-6</v>
      </c>
      <c r="P100" s="67" t="s">
        <v>391</v>
      </c>
      <c r="Q100" s="12">
        <f>SUM(F114:I116,F120:I120,F122:I122,F124:I124,F128:I128,F130:I130)</f>
        <v>1.0265519850409739</v>
      </c>
      <c r="R100" t="s">
        <v>388</v>
      </c>
    </row>
    <row r="101" spans="1:18">
      <c r="A101">
        <v>8</v>
      </c>
      <c r="B101" s="176" t="str">
        <f t="shared" si="22"/>
        <v>Fiber/APD</v>
      </c>
      <c r="C101" s="176">
        <f t="shared" si="23"/>
        <v>64</v>
      </c>
      <c r="D101" s="176"/>
      <c r="E101" s="176">
        <f t="shared" si="24"/>
        <v>21122260085.135277</v>
      </c>
      <c r="F101" s="176">
        <f t="shared" si="25"/>
        <v>9.7343983375425692E-6</v>
      </c>
      <c r="G101" s="176">
        <f t="shared" si="25"/>
        <v>1.4913326596927509E-5</v>
      </c>
      <c r="H101" s="176">
        <f t="shared" si="25"/>
        <v>2.2699160369904962E-5</v>
      </c>
      <c r="I101" s="176">
        <f t="shared" si="25"/>
        <v>2.7487401629929028E-5</v>
      </c>
      <c r="J101" s="176">
        <f t="shared" si="25"/>
        <v>3.7089815795423956E-6</v>
      </c>
      <c r="K101" s="176">
        <f t="shared" si="25"/>
        <v>3.7089815795423956E-6</v>
      </c>
      <c r="L101" s="176">
        <f t="shared" si="25"/>
        <v>3.7089815795423956E-6</v>
      </c>
      <c r="M101" s="176">
        <f t="shared" si="25"/>
        <v>3.7089815795423956E-6</v>
      </c>
      <c r="P101" s="67" t="s">
        <v>392</v>
      </c>
      <c r="Q101" s="12">
        <f>SUM(F118:I119,F121:I121,F123:I123,F125:I125,F127:I127,F129:I129,F131:I131)</f>
        <v>3.703168796553443</v>
      </c>
      <c r="R101" t="s">
        <v>389</v>
      </c>
    </row>
    <row r="102" spans="1:18" ht="15.75">
      <c r="A102">
        <v>9</v>
      </c>
      <c r="B102" s="175" t="str">
        <f t="shared" si="22"/>
        <v>Wyatt</v>
      </c>
      <c r="C102" s="175">
        <f t="shared" si="23"/>
        <v>72</v>
      </c>
      <c r="D102" s="175"/>
      <c r="E102" s="175">
        <f t="shared" si="24"/>
        <v>25987131315.953915</v>
      </c>
      <c r="F102" s="175">
        <f t="shared" si="25"/>
        <v>9.7344581019491479E-6</v>
      </c>
      <c r="G102" s="175">
        <f t="shared" si="25"/>
        <v>1.4913386361334088E-5</v>
      </c>
      <c r="H102" s="175">
        <f t="shared" si="25"/>
        <v>2.269922013431154E-5</v>
      </c>
      <c r="I102" s="175">
        <f t="shared" si="25"/>
        <v>2.7487461394335606E-5</v>
      </c>
      <c r="J102" s="175">
        <f t="shared" si="25"/>
        <v>3.7090413439489748E-6</v>
      </c>
      <c r="K102" s="175">
        <f t="shared" si="25"/>
        <v>3.7090413439489748E-6</v>
      </c>
      <c r="L102" s="175">
        <f t="shared" si="25"/>
        <v>3.7090413439489748E-6</v>
      </c>
      <c r="M102" s="175">
        <f t="shared" si="25"/>
        <v>3.7090413439489748E-6</v>
      </c>
      <c r="P102" s="180" t="s">
        <v>395</v>
      </c>
      <c r="Q102" s="12">
        <f>SUM(F115:I116,F120:I120,F122:I122,F124:I124,F128:I128,F130:I130)</f>
        <v>0.4893945554636927</v>
      </c>
      <c r="R102" t="s">
        <v>394</v>
      </c>
    </row>
    <row r="103" spans="1:18" ht="15.75">
      <c r="A103">
        <v>10</v>
      </c>
      <c r="B103" s="176" t="str">
        <f t="shared" si="22"/>
        <v>Fiber/APD</v>
      </c>
      <c r="C103" s="176">
        <f t="shared" si="23"/>
        <v>81</v>
      </c>
      <c r="D103" s="176"/>
      <c r="E103" s="176">
        <f t="shared" si="24"/>
        <v>31725596942.550377</v>
      </c>
      <c r="F103" s="176">
        <f t="shared" si="25"/>
        <v>9.7345285983665386E-6</v>
      </c>
      <c r="G103" s="176">
        <f t="shared" si="25"/>
        <v>1.491345685775148E-5</v>
      </c>
      <c r="H103" s="176">
        <f t="shared" si="25"/>
        <v>2.2699290630728929E-5</v>
      </c>
      <c r="I103" s="176">
        <f t="shared" si="25"/>
        <v>2.7487531890752995E-5</v>
      </c>
      <c r="J103" s="176">
        <f t="shared" si="25"/>
        <v>3.7091118403663658E-6</v>
      </c>
      <c r="K103" s="176">
        <f t="shared" si="25"/>
        <v>3.7091118403663658E-6</v>
      </c>
      <c r="L103" s="176">
        <f t="shared" si="25"/>
        <v>3.7091118403663658E-6</v>
      </c>
      <c r="M103" s="176">
        <f t="shared" si="25"/>
        <v>3.7091118403663658E-6</v>
      </c>
      <c r="P103" s="180" t="s">
        <v>396</v>
      </c>
      <c r="Q103">
        <f>SUM(F115:I116,F120:I120,F122:I122,F124:I124,F128:I128,F130:I130)+SUM(F118:I119,F121:I121,F125:I125,F127:I127,F129:I129,F131:I131)</f>
        <v>3.9409218910974264</v>
      </c>
    </row>
    <row r="104" spans="1:18">
      <c r="A104">
        <v>11</v>
      </c>
      <c r="B104" s="175" t="str">
        <f t="shared" si="22"/>
        <v>Wyatt</v>
      </c>
      <c r="C104" s="175">
        <f t="shared" si="23"/>
        <v>90</v>
      </c>
      <c r="D104" s="175"/>
      <c r="E104" s="175">
        <f t="shared" si="24"/>
        <v>37608929748.491219</v>
      </c>
      <c r="F104" s="175">
        <f t="shared" si="25"/>
        <v>9.734600874461253E-6</v>
      </c>
      <c r="G104" s="175">
        <f t="shared" si="25"/>
        <v>1.4913529133846195E-5</v>
      </c>
      <c r="H104" s="175">
        <f t="shared" si="25"/>
        <v>2.2699362906823645E-5</v>
      </c>
      <c r="I104" s="175">
        <f t="shared" si="25"/>
        <v>2.7487604166847712E-5</v>
      </c>
      <c r="J104" s="175">
        <f t="shared" si="25"/>
        <v>3.7091841164610802E-6</v>
      </c>
      <c r="K104" s="175">
        <f t="shared" si="25"/>
        <v>3.7091841164610802E-6</v>
      </c>
      <c r="L104" s="175">
        <f t="shared" si="25"/>
        <v>3.7091841164610802E-6</v>
      </c>
      <c r="M104" s="175">
        <f t="shared" si="25"/>
        <v>3.7091841164610802E-6</v>
      </c>
    </row>
    <row r="105" spans="1:18">
      <c r="A105">
        <v>12</v>
      </c>
      <c r="B105" s="176" t="str">
        <f t="shared" si="22"/>
        <v>Fiber/APD</v>
      </c>
      <c r="C105" s="176">
        <f t="shared" si="23"/>
        <v>99</v>
      </c>
      <c r="D105" s="176"/>
      <c r="E105" s="176">
        <f t="shared" si="24"/>
        <v>43492262554.432068</v>
      </c>
      <c r="F105" s="176">
        <f t="shared" si="25"/>
        <v>9.7346731505559674E-6</v>
      </c>
      <c r="G105" s="176">
        <f t="shared" si="25"/>
        <v>1.4913601409940909E-5</v>
      </c>
      <c r="H105" s="176">
        <f t="shared" si="25"/>
        <v>2.2699435182918358E-5</v>
      </c>
      <c r="I105" s="176">
        <f t="shared" si="25"/>
        <v>2.7487676442942424E-5</v>
      </c>
      <c r="J105" s="176">
        <f t="shared" si="25"/>
        <v>3.7092563925557946E-6</v>
      </c>
      <c r="K105" s="176">
        <f t="shared" si="25"/>
        <v>3.7092563925557946E-6</v>
      </c>
      <c r="L105" s="176">
        <f t="shared" si="25"/>
        <v>3.7092563925557946E-6</v>
      </c>
      <c r="M105" s="176">
        <f t="shared" si="25"/>
        <v>3.7092563925557946E-6</v>
      </c>
    </row>
    <row r="106" spans="1:18">
      <c r="A106">
        <v>13</v>
      </c>
      <c r="B106" s="54" t="str">
        <f t="shared" si="22"/>
        <v>Blank</v>
      </c>
      <c r="C106" s="54">
        <f t="shared" si="23"/>
        <v>108</v>
      </c>
      <c r="D106" s="54"/>
      <c r="E106" s="54">
        <f t="shared" si="24"/>
        <v>49230728181.028534</v>
      </c>
      <c r="F106" s="54"/>
      <c r="G106" s="54"/>
      <c r="H106" s="54"/>
      <c r="I106" s="54"/>
      <c r="J106" s="54"/>
      <c r="K106" s="54"/>
      <c r="L106" s="54"/>
      <c r="M106" s="54"/>
    </row>
    <row r="107" spans="1:18">
      <c r="A107">
        <v>14</v>
      </c>
      <c r="B107" s="176" t="str">
        <f t="shared" si="22"/>
        <v>Fiber/APD</v>
      </c>
      <c r="C107" s="176">
        <f t="shared" si="23"/>
        <v>117</v>
      </c>
      <c r="D107" s="176"/>
      <c r="E107" s="176">
        <f t="shared" si="24"/>
        <v>54683026559.678268</v>
      </c>
      <c r="F107" s="176">
        <f t="shared" ref="F107:M111" si="26">(1+($E107*Rgcm^2)/3)/MolWt+2*Virial2*F$93</f>
        <v>9.7348106278576692E-6</v>
      </c>
      <c r="G107" s="176">
        <f t="shared" si="26"/>
        <v>1.4913738887242609E-5</v>
      </c>
      <c r="H107" s="176">
        <f t="shared" si="26"/>
        <v>2.269957266022006E-5</v>
      </c>
      <c r="I107" s="176">
        <f t="shared" si="26"/>
        <v>2.7487813920244126E-5</v>
      </c>
      <c r="J107" s="176">
        <f t="shared" si="26"/>
        <v>3.7093938698574956E-6</v>
      </c>
      <c r="K107" s="176">
        <f t="shared" si="26"/>
        <v>3.7093938698574956E-6</v>
      </c>
      <c r="L107" s="176">
        <f t="shared" si="26"/>
        <v>3.7093938698574956E-6</v>
      </c>
      <c r="M107" s="176">
        <f t="shared" si="26"/>
        <v>3.7093938698574956E-6</v>
      </c>
    </row>
    <row r="108" spans="1:18">
      <c r="A108">
        <v>15</v>
      </c>
      <c r="B108" s="175" t="str">
        <f t="shared" si="22"/>
        <v>Wyatt</v>
      </c>
      <c r="C108" s="175">
        <f t="shared" si="23"/>
        <v>126</v>
      </c>
      <c r="D108" s="175"/>
      <c r="E108" s="175">
        <f t="shared" si="24"/>
        <v>59714904009.15802</v>
      </c>
      <c r="F108" s="175">
        <f t="shared" si="26"/>
        <v>9.7348724439172273E-6</v>
      </c>
      <c r="G108" s="175">
        <f t="shared" si="26"/>
        <v>1.4913800703302167E-5</v>
      </c>
      <c r="H108" s="175">
        <f t="shared" si="26"/>
        <v>2.2699634476279618E-5</v>
      </c>
      <c r="I108" s="175">
        <f t="shared" si="26"/>
        <v>2.7487875736303684E-5</v>
      </c>
      <c r="J108" s="175">
        <f t="shared" si="26"/>
        <v>3.7094556859170537E-6</v>
      </c>
      <c r="K108" s="175">
        <f t="shared" si="26"/>
        <v>3.7094556859170537E-6</v>
      </c>
      <c r="L108" s="175">
        <f t="shared" si="26"/>
        <v>3.7094556859170537E-6</v>
      </c>
      <c r="M108" s="175">
        <f t="shared" si="26"/>
        <v>3.7094556859170537E-6</v>
      </c>
    </row>
    <row r="109" spans="1:18">
      <c r="A109">
        <v>16</v>
      </c>
      <c r="B109" s="176" t="str">
        <f t="shared" si="22"/>
        <v>Fiber/APD</v>
      </c>
      <c r="C109" s="176">
        <f t="shared" si="23"/>
        <v>134</v>
      </c>
      <c r="D109" s="176"/>
      <c r="E109" s="176">
        <f t="shared" si="24"/>
        <v>63734287602.285065</v>
      </c>
      <c r="F109" s="176">
        <f t="shared" si="26"/>
        <v>9.7349218216014146E-6</v>
      </c>
      <c r="G109" s="176">
        <f t="shared" si="26"/>
        <v>1.4913850080986356E-5</v>
      </c>
      <c r="H109" s="176">
        <f t="shared" si="26"/>
        <v>2.2699683853963807E-5</v>
      </c>
      <c r="I109" s="176">
        <f t="shared" si="26"/>
        <v>2.7487925113987873E-5</v>
      </c>
      <c r="J109" s="176">
        <f t="shared" si="26"/>
        <v>3.7095050636012423E-6</v>
      </c>
      <c r="K109" s="176">
        <f t="shared" si="26"/>
        <v>3.7095050636012423E-6</v>
      </c>
      <c r="L109" s="176">
        <f t="shared" si="26"/>
        <v>3.7095050636012423E-6</v>
      </c>
      <c r="M109" s="176">
        <f t="shared" si="26"/>
        <v>3.7095050636012423E-6</v>
      </c>
    </row>
    <row r="110" spans="1:18">
      <c r="A110">
        <v>17</v>
      </c>
      <c r="B110" s="175" t="str">
        <f t="shared" si="22"/>
        <v>Wyatt</v>
      </c>
      <c r="C110" s="175">
        <f t="shared" si="23"/>
        <v>141</v>
      </c>
      <c r="D110" s="175"/>
      <c r="E110" s="175">
        <f t="shared" si="24"/>
        <v>66836557617.250107</v>
      </c>
      <c r="F110" s="175">
        <f t="shared" si="26"/>
        <v>9.7349599326464351E-6</v>
      </c>
      <c r="G110" s="175">
        <f t="shared" si="26"/>
        <v>1.4913888192031375E-5</v>
      </c>
      <c r="H110" s="175">
        <f t="shared" si="26"/>
        <v>2.2699721965008827E-5</v>
      </c>
      <c r="I110" s="175">
        <f t="shared" si="26"/>
        <v>2.7487963225032894E-5</v>
      </c>
      <c r="J110" s="175">
        <f t="shared" si="26"/>
        <v>3.7095431746462619E-6</v>
      </c>
      <c r="K110" s="175">
        <f t="shared" si="26"/>
        <v>3.7095431746462619E-6</v>
      </c>
      <c r="L110" s="175">
        <f t="shared" si="26"/>
        <v>3.7095431746462619E-6</v>
      </c>
      <c r="M110" s="175">
        <f t="shared" si="26"/>
        <v>3.7095431746462619E-6</v>
      </c>
    </row>
    <row r="111" spans="1:18">
      <c r="A111">
        <v>18</v>
      </c>
      <c r="B111" s="176" t="str">
        <f t="shared" si="22"/>
        <v>Fiber/APD</v>
      </c>
      <c r="C111" s="176">
        <f t="shared" si="23"/>
        <v>147</v>
      </c>
      <c r="D111" s="176"/>
      <c r="E111" s="176">
        <f t="shared" si="24"/>
        <v>69150432220.477921</v>
      </c>
      <c r="F111" s="176">
        <f t="shared" si="26"/>
        <v>9.7349883583407642E-6</v>
      </c>
      <c r="G111" s="176">
        <f t="shared" si="26"/>
        <v>1.4913916617725706E-5</v>
      </c>
      <c r="H111" s="176">
        <f t="shared" si="26"/>
        <v>2.2699750390703155E-5</v>
      </c>
      <c r="I111" s="176">
        <f t="shared" si="26"/>
        <v>2.7487991650727221E-5</v>
      </c>
      <c r="J111" s="176">
        <f t="shared" si="26"/>
        <v>3.709571600340591E-6</v>
      </c>
      <c r="K111" s="176">
        <f t="shared" si="26"/>
        <v>3.709571600340591E-6</v>
      </c>
      <c r="L111" s="176">
        <f t="shared" si="26"/>
        <v>3.709571600340591E-6</v>
      </c>
      <c r="M111" s="176">
        <f t="shared" si="26"/>
        <v>3.709571600340591E-6</v>
      </c>
    </row>
    <row r="113" spans="1:16">
      <c r="A113" s="65" t="s">
        <v>129</v>
      </c>
      <c r="B113" s="174" t="s">
        <v>130</v>
      </c>
      <c r="C113" s="174" t="s">
        <v>128</v>
      </c>
      <c r="O113" s="67"/>
      <c r="P113" t="s">
        <v>398</v>
      </c>
    </row>
    <row r="114" spans="1:16">
      <c r="A114">
        <v>1</v>
      </c>
      <c r="B114" s="175" t="str">
        <f>B28</f>
        <v>Wyatt</v>
      </c>
      <c r="C114" s="175">
        <f>C28</f>
        <v>22.5</v>
      </c>
      <c r="D114" s="175"/>
      <c r="E114" s="291" t="s">
        <v>397</v>
      </c>
      <c r="F114" s="175">
        <f>10000000000*(F94-F50)^2</f>
        <v>0.26295366061948855</v>
      </c>
      <c r="G114" s="175">
        <f t="shared" ref="G114:M114" si="27">10000000000*(G94-G50)^2</f>
        <v>0.26310032690332208</v>
      </c>
      <c r="H114" s="175">
        <f t="shared" si="27"/>
        <v>7.7458234577464629E-3</v>
      </c>
      <c r="I114" s="175">
        <f t="shared" si="27"/>
        <v>3.3576185967239608E-3</v>
      </c>
      <c r="J114" s="175">
        <f t="shared" si="27"/>
        <v>0.1428074588623752</v>
      </c>
      <c r="K114" s="175">
        <f t="shared" si="27"/>
        <v>0.1428074588623752</v>
      </c>
      <c r="L114" s="175">
        <f t="shared" si="27"/>
        <v>0.1428074588623752</v>
      </c>
      <c r="M114" s="175">
        <f t="shared" si="27"/>
        <v>0.1428074588623752</v>
      </c>
    </row>
    <row r="115" spans="1:16">
      <c r="A115">
        <v>2</v>
      </c>
      <c r="B115" s="175" t="str">
        <f t="shared" ref="B115:C115" si="28">B29</f>
        <v>Wyatt</v>
      </c>
      <c r="C115" s="175">
        <f t="shared" si="28"/>
        <v>28</v>
      </c>
      <c r="D115" s="175"/>
      <c r="E115" s="175"/>
      <c r="F115" s="175">
        <f t="shared" ref="F115:F131" si="29">10000000000*(F95-F51)^2</f>
        <v>1.0342188921892546E-6</v>
      </c>
      <c r="G115" s="175">
        <f t="shared" ref="G115:M124" si="30">10000000000*(G95-G51)^2</f>
        <v>0.10981048116195211</v>
      </c>
      <c r="H115" s="175">
        <f t="shared" si="30"/>
        <v>1.3594566210806619E-3</v>
      </c>
      <c r="I115" s="175">
        <f t="shared" si="30"/>
        <v>2.4668986083986228E-2</v>
      </c>
      <c r="J115" s="175">
        <f t="shared" si="30"/>
        <v>0.14452372189915791</v>
      </c>
      <c r="K115" s="175">
        <f t="shared" si="30"/>
        <v>0.14452372189915791</v>
      </c>
      <c r="L115" s="175">
        <f t="shared" si="30"/>
        <v>0.14452372189915791</v>
      </c>
      <c r="M115" s="175">
        <f t="shared" si="30"/>
        <v>0.14452372189915791</v>
      </c>
    </row>
    <row r="116" spans="1:16">
      <c r="A116">
        <v>3</v>
      </c>
      <c r="B116" s="175" t="str">
        <f t="shared" ref="B116:C116" si="31">B30</f>
        <v>Wyatt</v>
      </c>
      <c r="C116" s="175">
        <f t="shared" si="31"/>
        <v>32</v>
      </c>
      <c r="D116" s="175"/>
      <c r="E116" s="175"/>
      <c r="F116" s="175">
        <f t="shared" si="29"/>
        <v>8.6335364339965252E-3</v>
      </c>
      <c r="G116" s="175">
        <f t="shared" si="30"/>
        <v>1.3298757089017661E-2</v>
      </c>
      <c r="H116" s="175">
        <f t="shared" si="30"/>
        <v>1.6434491215909274E-3</v>
      </c>
      <c r="I116" s="175">
        <f t="shared" si="30"/>
        <v>6.8735138083846547E-3</v>
      </c>
      <c r="J116" s="175">
        <f t="shared" si="30"/>
        <v>0.14503097674392468</v>
      </c>
      <c r="K116" s="175">
        <f t="shared" si="30"/>
        <v>0.14503097674392468</v>
      </c>
      <c r="L116" s="175">
        <f t="shared" si="30"/>
        <v>0.14503097674392468</v>
      </c>
      <c r="M116" s="175">
        <f t="shared" si="30"/>
        <v>0.14503097674392468</v>
      </c>
    </row>
    <row r="117" spans="1:16">
      <c r="A117">
        <v>4</v>
      </c>
      <c r="B117" s="54" t="str">
        <f t="shared" ref="B117:C117" si="32">B31</f>
        <v>Blank</v>
      </c>
      <c r="C117" s="54">
        <f t="shared" si="32"/>
        <v>38</v>
      </c>
      <c r="D117" s="54"/>
      <c r="E117" s="54"/>
      <c r="F117" s="54">
        <f t="shared" si="29"/>
        <v>0</v>
      </c>
      <c r="G117" s="54">
        <f t="shared" si="30"/>
        <v>0</v>
      </c>
      <c r="H117" s="54">
        <f t="shared" si="30"/>
        <v>0</v>
      </c>
      <c r="I117" s="54">
        <f t="shared" si="30"/>
        <v>0</v>
      </c>
      <c r="J117" s="54">
        <f t="shared" si="30"/>
        <v>0</v>
      </c>
      <c r="K117" s="54">
        <f t="shared" si="30"/>
        <v>0</v>
      </c>
      <c r="L117" s="54">
        <f t="shared" si="30"/>
        <v>0</v>
      </c>
      <c r="M117" s="54">
        <f t="shared" si="30"/>
        <v>0</v>
      </c>
    </row>
    <row r="118" spans="1:16">
      <c r="A118">
        <v>5</v>
      </c>
      <c r="B118" s="176" t="str">
        <f t="shared" ref="B118:C118" si="33">B32</f>
        <v>Fiber/APD</v>
      </c>
      <c r="C118" s="176">
        <f t="shared" si="33"/>
        <v>44</v>
      </c>
      <c r="D118" s="176"/>
      <c r="E118" s="176"/>
      <c r="F118" s="176">
        <f t="shared" si="29"/>
        <v>1.1712753995160457E-2</v>
      </c>
      <c r="G118" s="176">
        <f t="shared" si="30"/>
        <v>1.4093047675325849E-3</v>
      </c>
      <c r="H118" s="176">
        <f t="shared" si="30"/>
        <v>1.4954851933676459E-2</v>
      </c>
      <c r="I118" s="176">
        <f t="shared" si="30"/>
        <v>4.739672434439391E-2</v>
      </c>
      <c r="J118" s="176">
        <f t="shared" si="30"/>
        <v>0.14684315524696356</v>
      </c>
      <c r="K118" s="176">
        <f t="shared" si="30"/>
        <v>0.14684315524696356</v>
      </c>
      <c r="L118" s="176">
        <f t="shared" si="30"/>
        <v>0.14684315524696356</v>
      </c>
      <c r="M118" s="176">
        <f t="shared" si="30"/>
        <v>0.14684315524696356</v>
      </c>
    </row>
    <row r="119" spans="1:16">
      <c r="A119">
        <v>6</v>
      </c>
      <c r="B119" s="176" t="str">
        <f t="shared" ref="B119:C119" si="34">B33</f>
        <v>Fiber/APD</v>
      </c>
      <c r="C119" s="176">
        <f t="shared" si="34"/>
        <v>50</v>
      </c>
      <c r="D119" s="176"/>
      <c r="E119" s="176"/>
      <c r="F119" s="176">
        <f t="shared" si="29"/>
        <v>0.19736720147171416</v>
      </c>
      <c r="G119" s="176">
        <f t="shared" si="30"/>
        <v>0.27859127637555031</v>
      </c>
      <c r="H119" s="176">
        <f t="shared" si="30"/>
        <v>0.91280392881577099</v>
      </c>
      <c r="I119" s="176">
        <f t="shared" si="30"/>
        <v>1.4308420287445056</v>
      </c>
      <c r="J119" s="176">
        <f t="shared" si="30"/>
        <v>0.14895598378764729</v>
      </c>
      <c r="K119" s="176">
        <f t="shared" si="30"/>
        <v>0.14895598378764729</v>
      </c>
      <c r="L119" s="176">
        <f t="shared" si="30"/>
        <v>0.14895598378764729</v>
      </c>
      <c r="M119" s="176">
        <f t="shared" si="30"/>
        <v>0.14895598378764729</v>
      </c>
    </row>
    <row r="120" spans="1:16">
      <c r="A120">
        <v>7</v>
      </c>
      <c r="B120" s="175" t="str">
        <f t="shared" ref="B120:C120" si="35">B34</f>
        <v>Wyatt</v>
      </c>
      <c r="C120" s="175">
        <f t="shared" si="35"/>
        <v>57</v>
      </c>
      <c r="D120" s="175"/>
      <c r="E120" s="175"/>
      <c r="F120" s="175">
        <f t="shared" si="29"/>
        <v>3.0038693400949119E-2</v>
      </c>
      <c r="G120" s="175">
        <f t="shared" si="30"/>
        <v>9.9599293736583308E-6</v>
      </c>
      <c r="H120" s="175">
        <f t="shared" si="30"/>
        <v>5.2334058062405882E-3</v>
      </c>
      <c r="I120" s="175">
        <f t="shared" si="30"/>
        <v>4.9836665534295332E-2</v>
      </c>
      <c r="J120" s="175">
        <f t="shared" si="30"/>
        <v>0.14400114884843856</v>
      </c>
      <c r="K120" s="175">
        <f t="shared" si="30"/>
        <v>0.14400114884843856</v>
      </c>
      <c r="L120" s="175">
        <f t="shared" si="30"/>
        <v>0.14400114884843856</v>
      </c>
      <c r="M120" s="175">
        <f t="shared" si="30"/>
        <v>0.14400114884843856</v>
      </c>
    </row>
    <row r="121" spans="1:16">
      <c r="A121">
        <v>8</v>
      </c>
      <c r="B121" s="176" t="str">
        <f t="shared" ref="B121:C121" si="36">B35</f>
        <v>Fiber/APD</v>
      </c>
      <c r="C121" s="176">
        <f t="shared" si="36"/>
        <v>64</v>
      </c>
      <c r="D121" s="176"/>
      <c r="E121" s="176"/>
      <c r="F121" s="176">
        <f t="shared" si="29"/>
        <v>1.8649703402480677E-3</v>
      </c>
      <c r="G121" s="176">
        <f t="shared" si="30"/>
        <v>6.7212755770248822E-2</v>
      </c>
      <c r="H121" s="176">
        <f t="shared" si="30"/>
        <v>7.3039643092339179E-2</v>
      </c>
      <c r="I121" s="176">
        <f t="shared" si="30"/>
        <v>5.9848270347996724E-2</v>
      </c>
      <c r="J121" s="176">
        <f t="shared" si="30"/>
        <v>0.14643765533372494</v>
      </c>
      <c r="K121" s="176">
        <f t="shared" si="30"/>
        <v>0.14643765533372494</v>
      </c>
      <c r="L121" s="176">
        <f t="shared" si="30"/>
        <v>0.14643765533372494</v>
      </c>
      <c r="M121" s="176">
        <f t="shared" si="30"/>
        <v>0.14643765533372494</v>
      </c>
    </row>
    <row r="122" spans="1:16">
      <c r="A122">
        <v>9</v>
      </c>
      <c r="B122" s="175" t="str">
        <f t="shared" ref="B122:C122" si="37">B36</f>
        <v>Wyatt</v>
      </c>
      <c r="C122" s="175">
        <f t="shared" si="37"/>
        <v>72</v>
      </c>
      <c r="D122" s="175"/>
      <c r="E122" s="175"/>
      <c r="F122" s="175">
        <f t="shared" si="29"/>
        <v>5.1731316695424034E-3</v>
      </c>
      <c r="G122" s="175">
        <f t="shared" si="30"/>
        <v>1.1398530116810647E-2</v>
      </c>
      <c r="H122" s="175">
        <f t="shared" si="30"/>
        <v>5.1402511617743327E-2</v>
      </c>
      <c r="I122" s="175">
        <f t="shared" si="30"/>
        <v>1.1733197850793931E-3</v>
      </c>
      <c r="J122" s="175">
        <f t="shared" si="30"/>
        <v>0.14470229410073099</v>
      </c>
      <c r="K122" s="175">
        <f t="shared" si="30"/>
        <v>0.14470229410073099</v>
      </c>
      <c r="L122" s="175">
        <f t="shared" si="30"/>
        <v>0.14470229410073099</v>
      </c>
      <c r="M122" s="175">
        <f t="shared" si="30"/>
        <v>0.14470229410073099</v>
      </c>
    </row>
    <row r="123" spans="1:16">
      <c r="A123">
        <v>10</v>
      </c>
      <c r="B123" s="176" t="str">
        <f t="shared" ref="B123:C123" si="38">B37</f>
        <v>Fiber/APD</v>
      </c>
      <c r="C123" s="176">
        <f t="shared" si="38"/>
        <v>81</v>
      </c>
      <c r="D123" s="176"/>
      <c r="E123" s="176"/>
      <c r="F123" s="176">
        <f t="shared" si="29"/>
        <v>1.5492303159087535E-2</v>
      </c>
      <c r="G123" s="176">
        <f t="shared" si="30"/>
        <v>4.8224357706656805E-2</v>
      </c>
      <c r="H123" s="176">
        <f t="shared" si="30"/>
        <v>6.4726997528224431E-2</v>
      </c>
      <c r="I123" s="176">
        <f t="shared" si="30"/>
        <v>0.12319780252574038</v>
      </c>
      <c r="J123" s="176">
        <f t="shared" si="30"/>
        <v>0.14241516170261578</v>
      </c>
      <c r="K123" s="176">
        <f t="shared" si="30"/>
        <v>0.14241516170261578</v>
      </c>
      <c r="L123" s="176">
        <f t="shared" si="30"/>
        <v>0.14241516170261578</v>
      </c>
      <c r="M123" s="176">
        <f t="shared" si="30"/>
        <v>0.14241516170261578</v>
      </c>
    </row>
    <row r="124" spans="1:16">
      <c r="A124">
        <v>11</v>
      </c>
      <c r="B124" s="175" t="str">
        <f t="shared" ref="B124:C124" si="39">B38</f>
        <v>Wyatt</v>
      </c>
      <c r="C124" s="175">
        <f t="shared" si="39"/>
        <v>90</v>
      </c>
      <c r="D124" s="175"/>
      <c r="E124" s="175"/>
      <c r="F124" s="175">
        <f t="shared" si="29"/>
        <v>1.8794621276096832E-3</v>
      </c>
      <c r="G124" s="175">
        <f t="shared" si="30"/>
        <v>2.1708454946689548E-2</v>
      </c>
      <c r="H124" s="175">
        <f t="shared" si="30"/>
        <v>1.8819102154106537E-2</v>
      </c>
      <c r="I124" s="175">
        <f t="shared" si="30"/>
        <v>5.1384966809909739E-3</v>
      </c>
      <c r="J124" s="175">
        <f t="shared" si="30"/>
        <v>0.14489620685173021</v>
      </c>
      <c r="K124" s="175">
        <f t="shared" si="30"/>
        <v>0.14489620685173021</v>
      </c>
      <c r="L124" s="175">
        <f t="shared" si="30"/>
        <v>0.14489620685173021</v>
      </c>
      <c r="M124" s="175">
        <f t="shared" si="30"/>
        <v>0.14489620685173021</v>
      </c>
    </row>
    <row r="125" spans="1:16">
      <c r="A125">
        <v>12</v>
      </c>
      <c r="B125" s="176" t="str">
        <f t="shared" ref="B125:C125" si="40">B39</f>
        <v>Fiber/APD</v>
      </c>
      <c r="C125" s="176">
        <f t="shared" si="40"/>
        <v>99</v>
      </c>
      <c r="D125" s="176"/>
      <c r="E125" s="176"/>
      <c r="F125" s="176">
        <f t="shared" si="29"/>
        <v>2.5784631959335836E-3</v>
      </c>
      <c r="G125" s="176">
        <f t="shared" ref="G125:M131" si="41">10000000000*(G105-G61)^2</f>
        <v>1.7051434214771954E-2</v>
      </c>
      <c r="H125" s="176">
        <f t="shared" si="41"/>
        <v>2.9094334784608978E-2</v>
      </c>
      <c r="I125" s="176">
        <f t="shared" si="41"/>
        <v>6.5718252627100682E-2</v>
      </c>
      <c r="J125" s="176">
        <f t="shared" si="41"/>
        <v>0.14423954422653043</v>
      </c>
      <c r="K125" s="176">
        <f t="shared" si="41"/>
        <v>0.14423954422653043</v>
      </c>
      <c r="L125" s="176">
        <f t="shared" si="41"/>
        <v>0.14423954422653043</v>
      </c>
      <c r="M125" s="176">
        <f t="shared" si="41"/>
        <v>0.14423954422653043</v>
      </c>
    </row>
    <row r="126" spans="1:16">
      <c r="A126">
        <v>13</v>
      </c>
      <c r="B126" s="54" t="str">
        <f t="shared" ref="B126:C126" si="42">B40</f>
        <v>Blank</v>
      </c>
      <c r="C126" s="54">
        <f t="shared" si="42"/>
        <v>108</v>
      </c>
      <c r="D126" s="54"/>
      <c r="E126" s="54"/>
      <c r="F126" s="54">
        <f t="shared" si="29"/>
        <v>0</v>
      </c>
      <c r="G126" s="54">
        <f t="shared" si="41"/>
        <v>0</v>
      </c>
      <c r="H126" s="54">
        <f t="shared" si="41"/>
        <v>0</v>
      </c>
      <c r="I126" s="54">
        <f t="shared" si="41"/>
        <v>0</v>
      </c>
      <c r="J126" s="54">
        <f t="shared" si="41"/>
        <v>0</v>
      </c>
      <c r="K126" s="54">
        <f t="shared" si="41"/>
        <v>0</v>
      </c>
      <c r="L126" s="54">
        <f t="shared" si="41"/>
        <v>0</v>
      </c>
      <c r="M126" s="54">
        <f t="shared" si="41"/>
        <v>0</v>
      </c>
    </row>
    <row r="127" spans="1:16">
      <c r="A127">
        <v>14</v>
      </c>
      <c r="B127" s="176" t="str">
        <f t="shared" ref="B127:C127" si="43">B41</f>
        <v>Fiber/APD</v>
      </c>
      <c r="C127" s="176">
        <f t="shared" si="43"/>
        <v>117</v>
      </c>
      <c r="D127" s="176"/>
      <c r="E127" s="176"/>
      <c r="F127" s="176">
        <f t="shared" si="29"/>
        <v>6.9158464752988439E-4</v>
      </c>
      <c r="G127" s="176">
        <f t="shared" si="41"/>
        <v>3.7629474371217587E-2</v>
      </c>
      <c r="H127" s="176">
        <f t="shared" si="41"/>
        <v>4.9856119758762162E-2</v>
      </c>
      <c r="I127" s="176">
        <f t="shared" si="41"/>
        <v>4.2270164144922864E-2</v>
      </c>
      <c r="J127" s="176">
        <f t="shared" si="41"/>
        <v>0.14591415980727293</v>
      </c>
      <c r="K127" s="176">
        <f t="shared" si="41"/>
        <v>0.14591415980727293</v>
      </c>
      <c r="L127" s="176">
        <f t="shared" si="41"/>
        <v>0.14591415980727293</v>
      </c>
      <c r="M127" s="176">
        <f t="shared" si="41"/>
        <v>0.14591415980727293</v>
      </c>
    </row>
    <row r="128" spans="1:16">
      <c r="A128">
        <v>15</v>
      </c>
      <c r="B128" s="175" t="str">
        <f t="shared" ref="B128:C128" si="44">B42</f>
        <v>Wyatt</v>
      </c>
      <c r="C128" s="175">
        <f t="shared" si="44"/>
        <v>126</v>
      </c>
      <c r="D128" s="175"/>
      <c r="E128" s="175"/>
      <c r="F128" s="175">
        <f t="shared" si="29"/>
        <v>4.9226831372166796E-3</v>
      </c>
      <c r="G128" s="175">
        <f t="shared" si="41"/>
        <v>2.2903977605756153E-2</v>
      </c>
      <c r="H128" s="175">
        <f t="shared" si="41"/>
        <v>2.5395343570280164E-2</v>
      </c>
      <c r="I128" s="175">
        <f t="shared" si="41"/>
        <v>2.5043025613973994E-3</v>
      </c>
      <c r="J128" s="175">
        <f t="shared" si="41"/>
        <v>0.14436140096770497</v>
      </c>
      <c r="K128" s="175">
        <f t="shared" si="41"/>
        <v>0.14436140096770497</v>
      </c>
      <c r="L128" s="175">
        <f t="shared" si="41"/>
        <v>0.14436140096770497</v>
      </c>
      <c r="M128" s="175">
        <f t="shared" si="41"/>
        <v>0.14436140096770497</v>
      </c>
    </row>
    <row r="129" spans="1:13">
      <c r="A129">
        <v>16</v>
      </c>
      <c r="B129" s="176" t="str">
        <f t="shared" ref="B129:C129" si="45">B43</f>
        <v>Fiber/APD</v>
      </c>
      <c r="C129" s="176">
        <f t="shared" si="45"/>
        <v>134</v>
      </c>
      <c r="D129" s="176"/>
      <c r="E129" s="176"/>
      <c r="F129" s="176">
        <f t="shared" si="29"/>
        <v>9.6627711603403269E-7</v>
      </c>
      <c r="G129" s="176">
        <f t="shared" si="41"/>
        <v>2.1643896129920664E-2</v>
      </c>
      <c r="H129" s="176">
        <f t="shared" si="41"/>
        <v>2.3615225858142193E-2</v>
      </c>
      <c r="I129" s="176">
        <f t="shared" si="41"/>
        <v>3.9794473804205789E-2</v>
      </c>
      <c r="J129" s="176">
        <f t="shared" si="41"/>
        <v>0.14598707244904521</v>
      </c>
      <c r="K129" s="176">
        <f t="shared" si="41"/>
        <v>0.14598707244904521</v>
      </c>
      <c r="L129" s="176">
        <f t="shared" si="41"/>
        <v>0.14598707244904521</v>
      </c>
      <c r="M129" s="176">
        <f t="shared" si="41"/>
        <v>0.14598707244904521</v>
      </c>
    </row>
    <row r="130" spans="1:13">
      <c r="A130">
        <v>17</v>
      </c>
      <c r="B130" s="175" t="str">
        <f t="shared" ref="B130:C130" si="46">B44</f>
        <v>Wyatt</v>
      </c>
      <c r="C130" s="175">
        <f t="shared" si="46"/>
        <v>141</v>
      </c>
      <c r="D130" s="175"/>
      <c r="E130" s="175"/>
      <c r="F130" s="175">
        <f t="shared" si="29"/>
        <v>1.1705346861992102E-4</v>
      </c>
      <c r="G130" s="175">
        <f t="shared" si="41"/>
        <v>2.5077395715149803E-2</v>
      </c>
      <c r="H130" s="175">
        <f t="shared" si="41"/>
        <v>3.2463441682601013E-2</v>
      </c>
      <c r="I130" s="175">
        <f t="shared" si="41"/>
        <v>7.9094094143394317E-3</v>
      </c>
      <c r="J130" s="175">
        <f t="shared" si="41"/>
        <v>0.14529694870241883</v>
      </c>
      <c r="K130" s="175">
        <f t="shared" si="41"/>
        <v>0.14529694870241883</v>
      </c>
      <c r="L130" s="175">
        <f t="shared" si="41"/>
        <v>0.14529694870241883</v>
      </c>
      <c r="M130" s="175">
        <f t="shared" si="41"/>
        <v>0.14529694870241883</v>
      </c>
    </row>
    <row r="131" spans="1:13">
      <c r="A131">
        <v>18</v>
      </c>
      <c r="B131" s="176" t="str">
        <f t="shared" ref="B131:C131" si="47">B45</f>
        <v>Fiber/APD</v>
      </c>
      <c r="C131" s="176">
        <f t="shared" si="47"/>
        <v>147</v>
      </c>
      <c r="D131" s="176"/>
      <c r="E131" s="176"/>
      <c r="F131" s="176">
        <f t="shared" si="29"/>
        <v>5.3160654202450437E-3</v>
      </c>
      <c r="G131" s="176">
        <f t="shared" si="41"/>
        <v>1.4425846560629603E-2</v>
      </c>
      <c r="H131" s="176">
        <f t="shared" si="41"/>
        <v>2.3263353340546526E-3</v>
      </c>
      <c r="I131" s="176">
        <f t="shared" si="41"/>
        <v>2.4709885054346055E-3</v>
      </c>
      <c r="J131" s="176">
        <f t="shared" si="41"/>
        <v>0.14667527105973321</v>
      </c>
      <c r="K131" s="176">
        <f t="shared" si="41"/>
        <v>0.14667527105973321</v>
      </c>
      <c r="L131" s="176">
        <f t="shared" si="41"/>
        <v>0.14667527105973321</v>
      </c>
      <c r="M131" s="176">
        <f t="shared" si="41"/>
        <v>0.14667527105973321</v>
      </c>
    </row>
  </sheetData>
  <pageMargins left="0.7" right="0.7" top="0.75" bottom="0.75" header="0.3" footer="0.3"/>
  <pageSetup orientation="portrait" horizontalDpi="4294967293"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F89D5F-97A0-4D99-9C06-28C64CD24510}">
  <dimension ref="A1:T82"/>
  <sheetViews>
    <sheetView topLeftCell="A16" zoomScale="70" zoomScaleNormal="70" workbookViewId="0">
      <selection activeCell="C54" sqref="C54"/>
    </sheetView>
  </sheetViews>
  <sheetFormatPr defaultRowHeight="14.25"/>
  <cols>
    <col min="1" max="1" width="28.33203125" customWidth="1"/>
    <col min="10" max="10" width="9.06640625" customWidth="1"/>
    <col min="11" max="11" width="23.265625" customWidth="1"/>
    <col min="21" max="21" width="12.19921875" customWidth="1"/>
  </cols>
  <sheetData>
    <row r="1" spans="1:20" ht="15.75">
      <c r="A1" s="133" t="s">
        <v>310</v>
      </c>
      <c r="J1" s="135"/>
      <c r="K1" s="216" t="s">
        <v>187</v>
      </c>
      <c r="L1" s="217"/>
      <c r="M1" s="217"/>
      <c r="N1" s="217"/>
      <c r="O1" s="217"/>
      <c r="P1" s="217"/>
      <c r="Q1" s="217"/>
      <c r="R1" s="217"/>
      <c r="S1" s="218"/>
      <c r="T1" s="39"/>
    </row>
    <row r="2" spans="1:20" ht="15.4">
      <c r="A2" s="282" t="s">
        <v>315</v>
      </c>
      <c r="J2" s="135"/>
      <c r="K2" s="219" t="s">
        <v>138</v>
      </c>
      <c r="L2" s="39"/>
      <c r="M2" s="220" t="s">
        <v>139</v>
      </c>
      <c r="N2" s="39"/>
      <c r="O2" s="39"/>
      <c r="P2" s="39"/>
      <c r="Q2" s="39"/>
      <c r="R2" s="39"/>
      <c r="S2" s="221"/>
      <c r="T2" s="39"/>
    </row>
    <row r="3" spans="1:20" ht="15.4">
      <c r="A3" s="282" t="s">
        <v>383</v>
      </c>
      <c r="J3" s="135"/>
      <c r="K3" s="222">
        <v>0.47456018518518522</v>
      </c>
      <c r="L3" s="39"/>
      <c r="M3" s="220" t="s">
        <v>140</v>
      </c>
      <c r="N3" s="39"/>
      <c r="O3" s="39"/>
      <c r="P3" s="39"/>
      <c r="Q3" s="39"/>
      <c r="R3" s="39"/>
      <c r="S3" s="221"/>
      <c r="T3" s="39"/>
    </row>
    <row r="4" spans="1:20" ht="15.4">
      <c r="A4" s="282" t="s">
        <v>384</v>
      </c>
      <c r="J4" s="135"/>
      <c r="K4" s="232">
        <v>35142</v>
      </c>
      <c r="L4" s="39"/>
      <c r="M4" s="220" t="s">
        <v>141</v>
      </c>
      <c r="N4" s="39"/>
      <c r="O4" s="39"/>
      <c r="P4" s="39"/>
      <c r="Q4" s="39"/>
      <c r="R4" s="39"/>
      <c r="S4" s="221"/>
      <c r="T4" s="39"/>
    </row>
    <row r="5" spans="1:20" ht="15.4">
      <c r="A5" s="282" t="s">
        <v>385</v>
      </c>
      <c r="J5" s="135"/>
      <c r="K5" s="222">
        <v>0.75988425925925929</v>
      </c>
      <c r="L5" s="39"/>
      <c r="M5" s="220" t="s">
        <v>142</v>
      </c>
      <c r="N5" s="39"/>
      <c r="O5" s="39"/>
      <c r="P5" s="39"/>
      <c r="Q5" s="39"/>
      <c r="R5" s="39"/>
      <c r="S5" s="221"/>
      <c r="T5" s="39"/>
    </row>
    <row r="6" spans="1:20" ht="15.4">
      <c r="A6" s="282" t="s">
        <v>384</v>
      </c>
      <c r="J6" s="135"/>
      <c r="K6" s="232">
        <v>35142</v>
      </c>
      <c r="L6" s="39"/>
      <c r="M6" s="220" t="s">
        <v>143</v>
      </c>
      <c r="N6" s="39"/>
      <c r="O6" s="39"/>
      <c r="P6" s="39"/>
      <c r="Q6" s="39"/>
      <c r="R6" s="39"/>
      <c r="S6" s="221"/>
      <c r="T6" s="39"/>
    </row>
    <row r="7" spans="1:20" ht="15.4">
      <c r="A7" s="282" t="s">
        <v>312</v>
      </c>
      <c r="J7" s="135"/>
      <c r="K7" s="219" t="s">
        <v>144</v>
      </c>
      <c r="L7" s="39"/>
      <c r="M7" s="39"/>
      <c r="N7" s="39"/>
      <c r="O7" s="39"/>
      <c r="P7" s="39"/>
      <c r="Q7" s="39"/>
      <c r="R7" s="39"/>
      <c r="S7" s="221"/>
      <c r="T7" s="39"/>
    </row>
    <row r="8" spans="1:20" ht="15.4">
      <c r="A8" s="282" t="s">
        <v>313</v>
      </c>
      <c r="J8" s="135"/>
      <c r="K8" s="219" t="s">
        <v>145</v>
      </c>
      <c r="L8" s="39"/>
      <c r="M8" s="39"/>
      <c r="N8" s="39"/>
      <c r="O8" s="39"/>
      <c r="P8" s="39"/>
      <c r="Q8" s="39"/>
      <c r="R8" s="39"/>
      <c r="S8" s="221"/>
      <c r="T8" s="39"/>
    </row>
    <row r="9" spans="1:20" ht="15.4">
      <c r="A9" s="282" t="s">
        <v>314</v>
      </c>
      <c r="J9" s="135"/>
      <c r="K9" s="219" t="s">
        <v>146</v>
      </c>
      <c r="L9" s="39"/>
      <c r="M9" s="220" t="s">
        <v>147</v>
      </c>
      <c r="N9" s="39"/>
      <c r="O9" s="39"/>
      <c r="P9" s="39"/>
      <c r="Q9" s="39"/>
      <c r="R9" s="39"/>
      <c r="S9" s="221"/>
      <c r="T9" s="39"/>
    </row>
    <row r="10" spans="1:20" ht="15.4">
      <c r="A10" s="233">
        <v>6328</v>
      </c>
      <c r="J10" s="135"/>
      <c r="K10" s="219">
        <v>4880</v>
      </c>
      <c r="L10" s="39"/>
      <c r="M10" s="220" t="s">
        <v>148</v>
      </c>
      <c r="N10" s="39"/>
      <c r="O10" s="39"/>
      <c r="P10" s="39"/>
      <c r="Q10" s="39"/>
      <c r="R10" s="39"/>
      <c r="S10" s="221"/>
      <c r="T10" s="39"/>
    </row>
    <row r="11" spans="1:20" ht="15.4">
      <c r="A11" s="233" t="s">
        <v>316</v>
      </c>
      <c r="J11" s="135"/>
      <c r="K11" s="219" t="s">
        <v>149</v>
      </c>
      <c r="L11" s="39"/>
      <c r="M11" s="220" t="s">
        <v>150</v>
      </c>
      <c r="N11" s="39"/>
      <c r="O11" s="39"/>
      <c r="P11" s="39"/>
      <c r="Q11" s="39"/>
      <c r="R11" s="39"/>
      <c r="S11" s="221"/>
      <c r="T11" s="39"/>
    </row>
    <row r="12" spans="1:20" ht="15.4">
      <c r="A12" s="233">
        <v>1.4950000000000001</v>
      </c>
      <c r="J12" s="135"/>
      <c r="K12" s="219">
        <v>1.4950000000000001</v>
      </c>
      <c r="L12" s="39"/>
      <c r="M12" s="220" t="s">
        <v>151</v>
      </c>
      <c r="N12" s="39"/>
      <c r="O12" s="39"/>
      <c r="P12" s="39"/>
      <c r="Q12" s="39"/>
      <c r="R12" s="39"/>
      <c r="S12" s="221"/>
      <c r="T12" s="39"/>
    </row>
    <row r="13" spans="1:20" ht="15.4">
      <c r="A13" s="233">
        <v>1.4950000000000001</v>
      </c>
      <c r="J13" s="135"/>
      <c r="K13" s="219">
        <v>1.4950000000000001</v>
      </c>
      <c r="L13" s="39"/>
      <c r="M13" s="220" t="s">
        <v>152</v>
      </c>
      <c r="N13" s="39"/>
      <c r="O13" s="39"/>
      <c r="P13" s="39"/>
      <c r="Q13" s="39"/>
      <c r="R13" s="39"/>
      <c r="S13" s="221"/>
      <c r="T13" s="39"/>
    </row>
    <row r="14" spans="1:20" ht="15.4">
      <c r="A14" s="233">
        <v>1</v>
      </c>
      <c r="J14" s="135"/>
      <c r="K14" s="219">
        <v>1</v>
      </c>
      <c r="L14" s="39"/>
      <c r="M14" s="220" t="s">
        <v>153</v>
      </c>
      <c r="N14" s="39"/>
      <c r="O14" s="39"/>
      <c r="P14" s="39"/>
      <c r="Q14" s="39"/>
      <c r="R14" s="39"/>
      <c r="S14" s="221"/>
      <c r="T14" s="39"/>
    </row>
    <row r="15" spans="1:20" ht="15.4">
      <c r="A15" s="233">
        <v>24.9</v>
      </c>
      <c r="J15" s="135"/>
      <c r="K15" s="219">
        <v>24.9</v>
      </c>
      <c r="L15" s="39"/>
      <c r="M15" s="220" t="s">
        <v>154</v>
      </c>
      <c r="N15" s="39"/>
      <c r="O15" s="39"/>
      <c r="P15" s="39"/>
      <c r="Q15" s="39"/>
      <c r="R15" s="39"/>
      <c r="S15" s="221"/>
      <c r="T15" s="39"/>
    </row>
    <row r="16" spans="1:20" ht="15.4">
      <c r="A16" s="233">
        <v>25.1</v>
      </c>
      <c r="J16" s="135"/>
      <c r="K16" s="219">
        <v>25.1</v>
      </c>
      <c r="L16" s="39"/>
      <c r="M16" s="220" t="s">
        <v>155</v>
      </c>
      <c r="N16" s="39"/>
      <c r="O16" s="39"/>
      <c r="P16" s="39"/>
      <c r="Q16" s="39"/>
      <c r="R16" s="39"/>
      <c r="S16" s="221"/>
      <c r="T16" s="39"/>
    </row>
    <row r="17" spans="1:20" ht="15.4">
      <c r="A17" s="227">
        <v>10</v>
      </c>
      <c r="J17" s="135"/>
      <c r="K17" s="219">
        <v>1018.1180000000001</v>
      </c>
      <c r="L17" s="39"/>
      <c r="M17" s="220" t="s">
        <v>156</v>
      </c>
      <c r="N17" s="39"/>
      <c r="O17" s="39"/>
      <c r="P17" s="39"/>
      <c r="Q17" s="39"/>
      <c r="R17" s="39"/>
      <c r="S17" s="221"/>
      <c r="T17" s="39"/>
    </row>
    <row r="18" spans="1:20" ht="15.4">
      <c r="A18" s="229">
        <f>100000*Parameters!G4</f>
        <v>2980</v>
      </c>
      <c r="J18" s="135"/>
      <c r="K18" s="219">
        <v>24133.97</v>
      </c>
      <c r="L18" s="39"/>
      <c r="M18" s="220" t="s">
        <v>157</v>
      </c>
      <c r="N18" s="39"/>
      <c r="O18" s="39"/>
      <c r="P18" s="39"/>
      <c r="Q18" s="39"/>
      <c r="R18" s="39"/>
      <c r="S18" s="221"/>
      <c r="T18" s="39"/>
    </row>
    <row r="19" spans="1:20" ht="15.4">
      <c r="A19" s="226">
        <f>SQRT(A18)</f>
        <v>54.589376255824725</v>
      </c>
      <c r="J19" s="135"/>
      <c r="K19" s="219">
        <v>120.08929999999999</v>
      </c>
      <c r="L19" s="39"/>
      <c r="M19" s="220" t="s">
        <v>158</v>
      </c>
      <c r="N19" s="39"/>
      <c r="O19" s="39"/>
      <c r="P19" s="39"/>
      <c r="Q19" s="39"/>
      <c r="R19" s="39"/>
      <c r="S19" s="221"/>
      <c r="T19" s="39"/>
    </row>
    <row r="20" spans="1:20" ht="15.4">
      <c r="A20" s="229">
        <v>90</v>
      </c>
      <c r="J20" s="135"/>
      <c r="K20" s="219">
        <v>90</v>
      </c>
      <c r="L20" s="39"/>
      <c r="M20" s="220" t="s">
        <v>159</v>
      </c>
      <c r="N20" s="39"/>
      <c r="O20" s="39"/>
      <c r="P20" s="39"/>
      <c r="Q20" s="39"/>
      <c r="R20" s="39"/>
      <c r="S20" s="221"/>
      <c r="T20" s="39"/>
    </row>
    <row r="21" spans="1:20" ht="15.4">
      <c r="A21" s="242">
        <v>14</v>
      </c>
      <c r="J21" s="135"/>
      <c r="K21" s="219">
        <v>9</v>
      </c>
      <c r="L21" s="39"/>
      <c r="M21" s="220" t="s">
        <v>160</v>
      </c>
      <c r="N21" s="39"/>
      <c r="O21" s="39"/>
      <c r="P21" s="39"/>
      <c r="Q21" s="39"/>
      <c r="R21" s="39"/>
      <c r="S21" s="221"/>
      <c r="T21" s="39"/>
    </row>
    <row r="22" spans="1:20" ht="15.4">
      <c r="A22" s="226">
        <v>5</v>
      </c>
      <c r="J22" s="135"/>
      <c r="K22" s="219">
        <v>9</v>
      </c>
      <c r="L22" s="39"/>
      <c r="M22" s="220" t="s">
        <v>161</v>
      </c>
      <c r="N22" s="39"/>
      <c r="O22" s="39"/>
      <c r="P22" s="39"/>
      <c r="Q22" s="39"/>
      <c r="R22" s="39"/>
      <c r="S22" s="221"/>
      <c r="T22" s="39"/>
    </row>
    <row r="23" spans="1:20" ht="15.4">
      <c r="A23" s="228">
        <v>0</v>
      </c>
      <c r="J23" s="135"/>
      <c r="K23" s="219">
        <v>0</v>
      </c>
      <c r="L23" s="39"/>
      <c r="M23" s="220" t="s">
        <v>162</v>
      </c>
      <c r="N23" s="39"/>
      <c r="O23" s="39"/>
      <c r="P23" s="39"/>
      <c r="Q23" s="39"/>
      <c r="R23" s="39"/>
      <c r="S23" s="221"/>
      <c r="T23" s="39"/>
    </row>
    <row r="24" spans="1:20" ht="15.4">
      <c r="A24" s="229">
        <f>ConcData!D28</f>
        <v>2.6010322208282468E-3</v>
      </c>
      <c r="J24" s="135"/>
      <c r="K24" s="219">
        <v>1.305E-4</v>
      </c>
      <c r="L24" s="39"/>
      <c r="M24" s="220" t="s">
        <v>163</v>
      </c>
      <c r="N24" s="39"/>
      <c r="O24" s="39"/>
      <c r="P24" s="39"/>
      <c r="Q24" s="39"/>
      <c r="R24" s="39"/>
      <c r="S24" s="221"/>
      <c r="T24" s="39"/>
    </row>
    <row r="25" spans="1:20" ht="15.4">
      <c r="A25" s="229">
        <f>ConcData!E28</f>
        <v>4.8277485648007294E-3</v>
      </c>
      <c r="J25" s="135"/>
      <c r="K25" s="219">
        <v>2.61E-4</v>
      </c>
      <c r="L25" s="39"/>
      <c r="M25" s="220" t="s">
        <v>164</v>
      </c>
      <c r="N25" s="39"/>
      <c r="O25" s="39"/>
      <c r="P25" s="39"/>
      <c r="Q25" s="39"/>
      <c r="R25" s="39"/>
      <c r="S25" s="221"/>
      <c r="T25" s="39"/>
    </row>
    <row r="26" spans="1:20" ht="15.4">
      <c r="A26" s="229">
        <f>ConcData!F28</f>
        <v>8.1757225152172316E-3</v>
      </c>
      <c r="J26" s="135"/>
      <c r="K26" s="219">
        <v>6.5399999999999996E-4</v>
      </c>
      <c r="L26" s="39"/>
      <c r="M26" s="220" t="s">
        <v>165</v>
      </c>
      <c r="N26" s="39"/>
      <c r="O26" s="39"/>
      <c r="P26" s="39"/>
      <c r="Q26" s="39"/>
      <c r="R26" s="39"/>
      <c r="S26" s="221"/>
      <c r="T26" s="39"/>
    </row>
    <row r="27" spans="1:20" ht="15.4">
      <c r="A27" s="229">
        <f>ConcData!G28</f>
        <v>1.0235076607238155E-2</v>
      </c>
      <c r="J27" s="135"/>
      <c r="K27" s="219">
        <v>1.305E-3</v>
      </c>
      <c r="L27" s="39"/>
      <c r="M27" s="220" t="s">
        <v>166</v>
      </c>
      <c r="N27" s="39"/>
      <c r="O27" s="39"/>
      <c r="P27" s="39"/>
      <c r="Q27" s="39"/>
      <c r="R27" s="39"/>
      <c r="S27" s="221"/>
      <c r="T27" s="39"/>
    </row>
    <row r="28" spans="1:20" ht="15.4">
      <c r="A28" s="230" t="e">
        <f>ConcData!H28</f>
        <v>#DIV/0!</v>
      </c>
      <c r="J28" s="135"/>
      <c r="K28" s="219">
        <v>1.957E-3</v>
      </c>
      <c r="L28" s="39"/>
      <c r="M28" s="220" t="s">
        <v>167</v>
      </c>
      <c r="N28" s="39"/>
      <c r="O28" s="39"/>
      <c r="P28" s="39"/>
      <c r="Q28" s="39"/>
      <c r="R28" s="39"/>
      <c r="S28" s="221"/>
      <c r="T28" s="39"/>
    </row>
    <row r="29" spans="1:20" ht="15.4">
      <c r="A29" s="230" t="e">
        <f>ConcData!I28</f>
        <v>#DIV/0!</v>
      </c>
      <c r="J29" s="135"/>
      <c r="K29" s="219">
        <v>2.6099999999999999E-3</v>
      </c>
      <c r="L29" s="39"/>
      <c r="M29" s="220" t="s">
        <v>168</v>
      </c>
      <c r="N29" s="39"/>
      <c r="O29" s="39"/>
      <c r="P29" s="39"/>
      <c r="Q29" s="39"/>
      <c r="R29" s="39"/>
      <c r="S29" s="221"/>
    </row>
    <row r="30" spans="1:20" ht="15.4">
      <c r="A30" s="230" t="e">
        <f>ConcData!J28</f>
        <v>#DIV/0!</v>
      </c>
      <c r="J30" s="135"/>
      <c r="K30" s="219">
        <v>3.9139999999999999E-3</v>
      </c>
      <c r="L30" s="39"/>
      <c r="M30" s="220" t="s">
        <v>169</v>
      </c>
      <c r="N30" s="39"/>
      <c r="O30" s="39"/>
      <c r="P30" s="39"/>
      <c r="Q30" s="39"/>
      <c r="R30" s="39"/>
      <c r="S30" s="221"/>
    </row>
    <row r="31" spans="1:20" ht="15.4">
      <c r="A31" s="230" t="e">
        <f>ConcData!K28</f>
        <v>#DIV/0!</v>
      </c>
      <c r="J31" s="135"/>
      <c r="K31" s="219">
        <v>5.2189999999999997E-3</v>
      </c>
      <c r="L31" s="39"/>
      <c r="M31" s="220" t="s">
        <v>170</v>
      </c>
      <c r="N31" s="39"/>
      <c r="O31" s="39"/>
      <c r="P31" s="39"/>
      <c r="Q31" s="39"/>
      <c r="R31" s="39"/>
      <c r="S31" s="221"/>
    </row>
    <row r="32" spans="1:20" ht="15.4">
      <c r="A32" s="239">
        <f>NormStandard!E15</f>
        <v>22.5</v>
      </c>
      <c r="B32" s="239"/>
      <c r="C32" s="239"/>
      <c r="D32" s="239"/>
      <c r="E32" s="239"/>
      <c r="F32" s="239"/>
      <c r="G32" s="239"/>
      <c r="H32" s="239"/>
      <c r="I32" s="239"/>
      <c r="J32" s="2" t="s">
        <v>131</v>
      </c>
      <c r="K32" s="135">
        <v>20</v>
      </c>
      <c r="L32" s="39"/>
      <c r="M32" s="223" t="s">
        <v>188</v>
      </c>
      <c r="N32" s="39"/>
      <c r="O32" s="39"/>
      <c r="P32" s="39"/>
      <c r="Q32" s="39"/>
      <c r="R32" s="39"/>
      <c r="S32" s="221"/>
    </row>
    <row r="33" spans="1:19" ht="15.4">
      <c r="A33" s="283">
        <f>100000*Conc1!U15</f>
        <v>138600.47278777926</v>
      </c>
      <c r="B33" s="238">
        <f>(100000*Conc1!$M15+$A33)/SIN(RADIANS($A32))</f>
        <v>397735.75030229666</v>
      </c>
      <c r="C33" s="238">
        <f>(100000*Conc2!$M15+$A33)/SIN(RADIANS($A32))</f>
        <v>393252.84444187582</v>
      </c>
      <c r="D33" s="238">
        <f>(100000*Conc3!$M15+$A33)/SIN(RADIANS($A32))</f>
        <v>385775.63123193703</v>
      </c>
      <c r="E33" s="238">
        <f>(100000*Conc4!$M15+$A33)/SIN(RADIANS($A32))</f>
        <v>385142.54910661042</v>
      </c>
      <c r="F33" s="238">
        <f>10000*(100000*Conc5!$M15+$A33)/SIN(RADIANS($A32))</f>
        <v>3532146775.9689503</v>
      </c>
      <c r="G33" s="238">
        <f>10000*(100000*Conc6!$M15+$A33)/SIN(RADIANS($A32))</f>
        <v>3532146775.9689503</v>
      </c>
      <c r="H33" s="238">
        <f>10000*(100000*Conc7!$M15+$A33)/SIN(RADIANS($A32))</f>
        <v>3532146775.9689503</v>
      </c>
      <c r="I33" s="238">
        <f>10000*(100000*Conc8!$M15+$A33)/SIN(RADIANS($A32))</f>
        <v>3532146775.9689503</v>
      </c>
      <c r="J33" s="135"/>
      <c r="K33" s="219" t="s">
        <v>171</v>
      </c>
      <c r="L33" s="39"/>
      <c r="M33" s="39"/>
      <c r="N33" s="39"/>
      <c r="O33" s="39"/>
      <c r="P33" s="39"/>
      <c r="Q33" s="39"/>
      <c r="R33" s="39"/>
      <c r="S33" s="221"/>
    </row>
    <row r="34" spans="1:19" ht="15.4">
      <c r="A34" s="283">
        <f>0.025*A33</f>
        <v>3465.0118196944818</v>
      </c>
      <c r="B34" s="238">
        <f t="shared" ref="B34:I34" si="0">0.025*B33</f>
        <v>9943.3937575574164</v>
      </c>
      <c r="C34" s="238">
        <f t="shared" si="0"/>
        <v>9831.3211110468965</v>
      </c>
      <c r="D34" s="238">
        <f t="shared" si="0"/>
        <v>9644.3907807984269</v>
      </c>
      <c r="E34" s="238">
        <f t="shared" si="0"/>
        <v>9628.5637276652615</v>
      </c>
      <c r="F34" s="238">
        <f t="shared" si="0"/>
        <v>88303669.39922376</v>
      </c>
      <c r="G34" s="238">
        <f t="shared" si="0"/>
        <v>88303669.39922376</v>
      </c>
      <c r="H34" s="238">
        <f t="shared" si="0"/>
        <v>88303669.39922376</v>
      </c>
      <c r="I34" s="238">
        <f t="shared" si="0"/>
        <v>88303669.39922376</v>
      </c>
      <c r="J34" s="135"/>
      <c r="K34" s="219" t="s">
        <v>172</v>
      </c>
      <c r="L34" s="39"/>
      <c r="M34" s="39"/>
      <c r="N34" s="39"/>
      <c r="O34" s="39"/>
      <c r="P34" s="39"/>
      <c r="Q34" s="39"/>
      <c r="R34" s="39"/>
      <c r="S34" s="221"/>
    </row>
    <row r="35" spans="1:19" ht="15.4">
      <c r="A35" s="284">
        <f>NormStandard!E16</f>
        <v>28</v>
      </c>
      <c r="B35" s="239"/>
      <c r="C35" s="239"/>
      <c r="D35" s="239"/>
      <c r="E35" s="239"/>
      <c r="F35" s="239"/>
      <c r="G35" s="239"/>
      <c r="H35" s="239"/>
      <c r="I35" s="239"/>
      <c r="J35" s="2" t="s">
        <v>131</v>
      </c>
      <c r="K35" s="235">
        <v>30</v>
      </c>
      <c r="L35" s="39"/>
      <c r="M35" s="39"/>
      <c r="N35" s="39"/>
      <c r="O35" s="39"/>
      <c r="P35" s="39"/>
      <c r="Q35" s="39"/>
      <c r="R35" s="39"/>
      <c r="S35" s="221"/>
    </row>
    <row r="36" spans="1:19" ht="15.4">
      <c r="A36" s="283">
        <f>100000*Conc1!U16</f>
        <v>104833.4504059047</v>
      </c>
      <c r="B36" s="238">
        <f>(100000*Conc1!$M16+$A36)/SIN(RADIANS($A35))</f>
        <v>237029.92927411132</v>
      </c>
      <c r="C36" s="238">
        <f>(100000*Conc2!$M16+$A36)/SIN(RADIANS($A35))</f>
        <v>244664.68641895431</v>
      </c>
      <c r="D36" s="238">
        <f>(100000*Conc3!$M16+$A36)/SIN(RADIANS($A35))</f>
        <v>241492.97721931626</v>
      </c>
      <c r="E36" s="238">
        <f>(100000*Conc4!$M16+$A36)/SIN(RADIANS($A35))</f>
        <v>241379.70189075777</v>
      </c>
      <c r="F36" s="238">
        <f>(100000*Conc5!$M16+$A36)/SIN(RADIANS($A35))</f>
        <v>217773.12341916611</v>
      </c>
      <c r="G36" s="238">
        <f>(100000*Conc6!$M16+$A36)/SIN(RADIANS($A35))</f>
        <v>217773.12341916611</v>
      </c>
      <c r="H36" s="238">
        <f>(100000*Conc7!$M16+$A36)/SIN(RADIANS($A35))</f>
        <v>217773.12341916611</v>
      </c>
      <c r="I36" s="238">
        <f>(100000*Conc8!$M16+$A36)/SIN(RADIANS($A35))</f>
        <v>217773.12341916611</v>
      </c>
      <c r="J36" s="135"/>
      <c r="K36" s="219" t="s">
        <v>173</v>
      </c>
      <c r="L36" s="39"/>
      <c r="M36" s="39"/>
      <c r="N36" s="39"/>
      <c r="O36" s="39"/>
      <c r="P36" s="39"/>
      <c r="Q36" s="39"/>
      <c r="R36" s="39"/>
      <c r="S36" s="221"/>
    </row>
    <row r="37" spans="1:19" ht="15.4">
      <c r="A37" s="283">
        <f t="shared" ref="A37:I37" si="1">0.025*A36</f>
        <v>2620.8362601476178</v>
      </c>
      <c r="B37" s="238">
        <f t="shared" si="1"/>
        <v>5925.7482318527836</v>
      </c>
      <c r="C37" s="238">
        <f t="shared" si="1"/>
        <v>6116.6171604738583</v>
      </c>
      <c r="D37" s="238">
        <f t="shared" si="1"/>
        <v>6037.3244304829068</v>
      </c>
      <c r="E37" s="238">
        <f t="shared" si="1"/>
        <v>6034.4925472689447</v>
      </c>
      <c r="F37" s="238">
        <f t="shared" si="1"/>
        <v>5444.3280854791528</v>
      </c>
      <c r="G37" s="238">
        <f t="shared" si="1"/>
        <v>5444.3280854791528</v>
      </c>
      <c r="H37" s="238">
        <f t="shared" si="1"/>
        <v>5444.3280854791528</v>
      </c>
      <c r="I37" s="238">
        <f t="shared" si="1"/>
        <v>5444.3280854791528</v>
      </c>
      <c r="J37" s="135"/>
      <c r="K37" s="219" t="s">
        <v>174</v>
      </c>
      <c r="L37" s="39"/>
      <c r="M37" s="39"/>
      <c r="N37" s="39"/>
      <c r="O37" s="39"/>
      <c r="P37" s="39"/>
      <c r="Q37" s="39"/>
      <c r="R37" s="39"/>
      <c r="S37" s="221"/>
    </row>
    <row r="38" spans="1:19" ht="15.4">
      <c r="A38" s="284">
        <f>NormStandard!E17</f>
        <v>32</v>
      </c>
      <c r="B38" s="239"/>
      <c r="C38" s="239"/>
      <c r="D38" s="239"/>
      <c r="E38" s="239"/>
      <c r="F38" s="239"/>
      <c r="G38" s="239"/>
      <c r="H38" s="239"/>
      <c r="I38" s="239"/>
      <c r="J38" s="2" t="s">
        <v>131</v>
      </c>
      <c r="K38" s="235">
        <v>40</v>
      </c>
      <c r="L38" s="39"/>
      <c r="M38" s="39"/>
      <c r="N38" s="39"/>
      <c r="O38" s="39"/>
      <c r="P38" s="39"/>
      <c r="Q38" s="39"/>
      <c r="R38" s="39"/>
      <c r="S38" s="221"/>
    </row>
    <row r="39" spans="1:19" ht="15.4">
      <c r="A39" s="283">
        <f>100000*Conc1!U17</f>
        <v>97827.504585953589</v>
      </c>
      <c r="B39" s="238">
        <f>(100000*Conc1!$M17+$A39)/SIN(RADIANS($A38))</f>
        <v>195699.77977443748</v>
      </c>
      <c r="C39" s="238">
        <f>(100000*Conc2!$M17+$A39)/SIN(RADIANS($A38))</f>
        <v>200563.21774910932</v>
      </c>
      <c r="D39" s="238">
        <f>(100000*Conc3!$M17+$A39)/SIN(RADIANS($A38))</f>
        <v>201284.79608363035</v>
      </c>
      <c r="E39" s="238">
        <f>(100000*Conc4!$M17+$A39)/SIN(RADIANS($A38))</f>
        <v>201044.26997212335</v>
      </c>
      <c r="F39" s="238">
        <f>(100000*Conc5!$M17+$A39)/SIN(RADIANS($A38))</f>
        <v>180038.3229005108</v>
      </c>
      <c r="G39" s="238">
        <f>(100000*Conc6!$M17+$A39)/SIN(RADIANS($A38))</f>
        <v>180038.3229005108</v>
      </c>
      <c r="H39" s="238">
        <f>(100000*Conc7!$M17+$A39)/SIN(RADIANS($A38))</f>
        <v>180038.3229005108</v>
      </c>
      <c r="I39" s="238">
        <f>(100000*Conc8!$M17+$A39)/SIN(RADIANS($A38))</f>
        <v>180038.3229005108</v>
      </c>
      <c r="J39" s="135"/>
      <c r="K39" s="219" t="s">
        <v>175</v>
      </c>
      <c r="L39" s="39"/>
      <c r="M39" s="39"/>
      <c r="N39" s="39"/>
      <c r="O39" s="39"/>
      <c r="P39" s="39"/>
      <c r="Q39" s="39"/>
      <c r="R39" s="39"/>
      <c r="S39" s="221"/>
    </row>
    <row r="40" spans="1:19" ht="15.4">
      <c r="A40" s="283">
        <f t="shared" ref="A40:I40" si="2">0.025*A39</f>
        <v>2445.6876146488398</v>
      </c>
      <c r="B40" s="238">
        <f t="shared" si="2"/>
        <v>4892.4944943609371</v>
      </c>
      <c r="C40" s="238">
        <f t="shared" si="2"/>
        <v>5014.0804437277329</v>
      </c>
      <c r="D40" s="238">
        <f t="shared" si="2"/>
        <v>5032.1199020907588</v>
      </c>
      <c r="E40" s="238">
        <f t="shared" si="2"/>
        <v>5026.1067493030841</v>
      </c>
      <c r="F40" s="238">
        <f t="shared" si="2"/>
        <v>4500.9580725127698</v>
      </c>
      <c r="G40" s="238">
        <f t="shared" si="2"/>
        <v>4500.9580725127698</v>
      </c>
      <c r="H40" s="238">
        <f t="shared" si="2"/>
        <v>4500.9580725127698</v>
      </c>
      <c r="I40" s="238">
        <f t="shared" si="2"/>
        <v>4500.9580725127698</v>
      </c>
      <c r="J40" s="135"/>
      <c r="K40" s="219" t="s">
        <v>176</v>
      </c>
      <c r="L40" s="39"/>
      <c r="M40" s="39"/>
      <c r="N40" s="39"/>
      <c r="O40" s="39"/>
      <c r="P40" s="39"/>
      <c r="Q40" s="39"/>
      <c r="R40" s="39"/>
      <c r="S40" s="221"/>
    </row>
    <row r="41" spans="1:19" ht="15.4">
      <c r="A41" s="284">
        <f>NormStandard!E19</f>
        <v>44</v>
      </c>
      <c r="B41" s="239"/>
      <c r="C41" s="239"/>
      <c r="D41" s="239"/>
      <c r="E41" s="239"/>
      <c r="F41" s="239"/>
      <c r="G41" s="239"/>
      <c r="H41" s="239"/>
      <c r="I41" s="239"/>
      <c r="J41" s="3" t="s">
        <v>1</v>
      </c>
      <c r="K41" s="235">
        <v>60</v>
      </c>
      <c r="L41" s="39"/>
      <c r="M41" s="39"/>
      <c r="N41" s="39"/>
      <c r="O41" s="39"/>
      <c r="P41" s="39"/>
      <c r="Q41" s="39"/>
      <c r="R41" s="39"/>
      <c r="S41" s="221"/>
    </row>
    <row r="42" spans="1:19" ht="15.4">
      <c r="A42" s="283">
        <f>100000*Conc1!U19</f>
        <v>79034.737293947459</v>
      </c>
      <c r="B42" s="238">
        <f>(100000*Conc1!$M19+$A42)/SIN(RADIANS($A41))</f>
        <v>122116.28304459146</v>
      </c>
      <c r="C42" s="238">
        <f>(100000*Conc2!$M19+$A42)/SIN(RADIANS($A41))</f>
        <v>124729.18234237589</v>
      </c>
      <c r="D42" s="238">
        <f>(100000*Conc3!$M19+$A42)/SIN(RADIANS($A41))</f>
        <v>125630.64716267666</v>
      </c>
      <c r="E42" s="238">
        <f>(100000*Conc4!$M19+$A42)/SIN(RADIANS($A41))</f>
        <v>125743.33188207935</v>
      </c>
      <c r="F42" s="238">
        <f>(100000*Conc5!$M19+$A42)/SIN(RADIANS($A41))</f>
        <v>110958.46288531878</v>
      </c>
      <c r="G42" s="238">
        <f>(100000*Conc6!$M19+$A42)/SIN(RADIANS($A41))</f>
        <v>110958.46288531878</v>
      </c>
      <c r="H42" s="238">
        <f>(100000*Conc7!$M19+$A42)/SIN(RADIANS($A41))</f>
        <v>110958.46288531878</v>
      </c>
      <c r="I42" s="238">
        <f>(100000*Conc8!$M19+$A42)/SIN(RADIANS($A41))</f>
        <v>110958.46288531878</v>
      </c>
      <c r="J42" s="135"/>
      <c r="K42" s="219" t="s">
        <v>177</v>
      </c>
      <c r="L42" s="39"/>
      <c r="M42" s="39"/>
      <c r="N42" s="39"/>
      <c r="O42" s="39"/>
      <c r="P42" s="39"/>
      <c r="Q42" s="39"/>
      <c r="R42" s="39"/>
      <c r="S42" s="221"/>
    </row>
    <row r="43" spans="1:19" ht="15.4">
      <c r="A43" s="283">
        <f t="shared" ref="A43:I43" si="3">0.025*A42</f>
        <v>1975.8684323486866</v>
      </c>
      <c r="B43" s="238">
        <f t="shared" si="3"/>
        <v>3052.9070761147868</v>
      </c>
      <c r="C43" s="238">
        <f t="shared" si="3"/>
        <v>3118.2295585593974</v>
      </c>
      <c r="D43" s="238">
        <f t="shared" si="3"/>
        <v>3140.7661790669167</v>
      </c>
      <c r="E43" s="238">
        <f t="shared" si="3"/>
        <v>3143.5832970519841</v>
      </c>
      <c r="F43" s="238">
        <f t="shared" si="3"/>
        <v>2773.9615721329696</v>
      </c>
      <c r="G43" s="238">
        <f t="shared" si="3"/>
        <v>2773.9615721329696</v>
      </c>
      <c r="H43" s="238">
        <f t="shared" si="3"/>
        <v>2773.9615721329696</v>
      </c>
      <c r="I43" s="238">
        <f t="shared" si="3"/>
        <v>2773.9615721329696</v>
      </c>
      <c r="J43" s="135"/>
      <c r="K43" s="219" t="s">
        <v>178</v>
      </c>
      <c r="L43" s="39"/>
      <c r="M43" s="39"/>
      <c r="N43" s="39"/>
      <c r="O43" s="39"/>
      <c r="P43" s="39"/>
      <c r="Q43" s="39"/>
      <c r="R43" s="39"/>
      <c r="S43" s="221"/>
    </row>
    <row r="44" spans="1:19" ht="15.4">
      <c r="A44" s="284">
        <f>NormStandard!E20</f>
        <v>50</v>
      </c>
      <c r="B44" s="239"/>
      <c r="C44" s="239"/>
      <c r="D44" s="239"/>
      <c r="E44" s="239"/>
      <c r="F44" s="239"/>
      <c r="G44" s="239"/>
      <c r="H44" s="239"/>
      <c r="I44" s="239"/>
      <c r="J44" s="3" t="s">
        <v>1</v>
      </c>
      <c r="K44" s="235">
        <v>75</v>
      </c>
      <c r="L44" s="39"/>
      <c r="M44" s="39"/>
      <c r="N44" s="39"/>
      <c r="O44" s="39"/>
      <c r="P44" s="39"/>
      <c r="Q44" s="39"/>
      <c r="R44" s="39"/>
      <c r="S44" s="221"/>
    </row>
    <row r="45" spans="1:19" ht="15.4">
      <c r="A45" s="283">
        <f>100000*Conc1!U20</f>
        <v>64636.710439755661</v>
      </c>
      <c r="B45" s="238">
        <f>(100000*Conc1!$M20+$A45)/SIN(RADIANS($A44))</f>
        <v>90148.322098472287</v>
      </c>
      <c r="C45" s="238">
        <f>(100000*Conc2!$M20+$A45)/SIN(RADIANS($A44))</f>
        <v>91898.648715008181</v>
      </c>
      <c r="D45" s="238">
        <f>(100000*Conc3!$M20+$A45)/SIN(RADIANS($A44))</f>
        <v>92351.077247367284</v>
      </c>
      <c r="E45" s="238">
        <f>(100000*Conc4!$M20+$A45)/SIN(RADIANS($A44))</f>
        <v>92538.353474428077</v>
      </c>
      <c r="F45" s="238">
        <f>(100000*Conc5!$M20+$A45)/SIN(RADIANS($A44))</f>
        <v>82288.466711524772</v>
      </c>
      <c r="G45" s="238">
        <f>(100000*Conc6!$M20+$A45)/SIN(RADIANS($A44))</f>
        <v>82288.466711524772</v>
      </c>
      <c r="H45" s="238">
        <f>(100000*Conc7!$M20+$A45)/SIN(RADIANS($A44))</f>
        <v>82288.466711524772</v>
      </c>
      <c r="I45" s="238">
        <f>(100000*Conc8!$M20+$A45)/SIN(RADIANS($A44))</f>
        <v>82288.466711524772</v>
      </c>
      <c r="J45" s="135"/>
      <c r="K45" s="219" t="s">
        <v>179</v>
      </c>
      <c r="L45" s="39"/>
      <c r="M45" s="39"/>
      <c r="N45" s="39"/>
      <c r="O45" s="39"/>
      <c r="P45" s="39"/>
      <c r="Q45" s="39"/>
      <c r="R45" s="39"/>
      <c r="S45" s="221"/>
    </row>
    <row r="46" spans="1:19" ht="15.4">
      <c r="A46" s="283">
        <f t="shared" ref="A46:I46" si="4">0.025*A45</f>
        <v>1615.9177609938915</v>
      </c>
      <c r="B46" s="238">
        <f t="shared" si="4"/>
        <v>2253.7080524618073</v>
      </c>
      <c r="C46" s="238">
        <f t="shared" si="4"/>
        <v>2297.4662178752046</v>
      </c>
      <c r="D46" s="238">
        <f t="shared" si="4"/>
        <v>2308.7769311841821</v>
      </c>
      <c r="E46" s="238">
        <f t="shared" si="4"/>
        <v>2313.4588368607019</v>
      </c>
      <c r="F46" s="238">
        <f t="shared" si="4"/>
        <v>2057.2116677881195</v>
      </c>
      <c r="G46" s="238">
        <f t="shared" si="4"/>
        <v>2057.2116677881195</v>
      </c>
      <c r="H46" s="238">
        <f t="shared" si="4"/>
        <v>2057.2116677881195</v>
      </c>
      <c r="I46" s="238">
        <f t="shared" si="4"/>
        <v>2057.2116677881195</v>
      </c>
      <c r="J46" s="135"/>
      <c r="K46" s="219" t="s">
        <v>180</v>
      </c>
      <c r="L46" s="39"/>
      <c r="M46" s="39"/>
      <c r="N46" s="39"/>
      <c r="O46" s="39"/>
      <c r="P46" s="39"/>
      <c r="Q46" s="39"/>
      <c r="R46" s="39"/>
      <c r="S46" s="221"/>
    </row>
    <row r="47" spans="1:19" ht="15.4">
      <c r="A47" s="284">
        <f>NormStandard!E21</f>
        <v>57</v>
      </c>
      <c r="B47" s="239"/>
      <c r="C47" s="239"/>
      <c r="D47" s="239"/>
      <c r="E47" s="239"/>
      <c r="F47" s="239"/>
      <c r="G47" s="239"/>
      <c r="H47" s="239"/>
      <c r="I47" s="239"/>
      <c r="J47" s="2" t="s">
        <v>131</v>
      </c>
      <c r="K47" s="235">
        <v>90</v>
      </c>
      <c r="L47" s="39"/>
      <c r="M47" s="39"/>
      <c r="N47" s="39"/>
      <c r="O47" s="39"/>
      <c r="P47" s="39"/>
      <c r="Q47" s="39"/>
      <c r="R47" s="39"/>
      <c r="S47" s="221"/>
    </row>
    <row r="48" spans="1:19" ht="15.4">
      <c r="A48" s="283">
        <f>100000*Conc1!U21</f>
        <v>113428.14159841125</v>
      </c>
      <c r="B48" s="238">
        <f>(100000*Conc1!$M21+$A48)/SIN(RADIANS($A47))</f>
        <v>141764.32324635892</v>
      </c>
      <c r="C48" s="238">
        <f>(100000*Conc2!$M21+$A48)/SIN(RADIANS($A47))</f>
        <v>144529.46683240435</v>
      </c>
      <c r="D48" s="238">
        <f>(100000*Conc3!$M21+$A48)/SIN(RADIANS($A47))</f>
        <v>145276.80293674095</v>
      </c>
      <c r="E48" s="238">
        <f>(100000*Conc4!$M21+$A48)/SIN(RADIANS($A47))</f>
        <v>145142.28243796038</v>
      </c>
      <c r="F48" s="238">
        <f>(100000*Conc5!$M21+$A48)/SIN(RADIANS($A47))</f>
        <v>131899.48666911575</v>
      </c>
      <c r="G48" s="238">
        <f>(100000*Conc6!$M21+$A48)/SIN(RADIANS($A47))</f>
        <v>131899.48666911575</v>
      </c>
      <c r="H48" s="238">
        <f>(100000*Conc7!$M21+$A48)/SIN(RADIANS($A47))</f>
        <v>131899.48666911575</v>
      </c>
      <c r="I48" s="238">
        <f>(100000*Conc8!$M21+$A48)/SIN(RADIANS($A47))</f>
        <v>131899.48666911575</v>
      </c>
      <c r="J48" s="135"/>
      <c r="K48" s="219" t="s">
        <v>181</v>
      </c>
      <c r="L48" s="39"/>
      <c r="M48" s="39"/>
      <c r="N48" s="39"/>
      <c r="O48" s="39"/>
      <c r="P48" s="39"/>
      <c r="Q48" s="39"/>
      <c r="R48" s="39"/>
      <c r="S48" s="221"/>
    </row>
    <row r="49" spans="1:20" ht="15.4">
      <c r="A49" s="283">
        <f t="shared" ref="A49:I49" si="5">0.025*A48</f>
        <v>2835.7035399602814</v>
      </c>
      <c r="B49" s="238">
        <f t="shared" si="5"/>
        <v>3544.1080811589732</v>
      </c>
      <c r="C49" s="238">
        <f t="shared" si="5"/>
        <v>3613.236670810109</v>
      </c>
      <c r="D49" s="238">
        <f t="shared" si="5"/>
        <v>3631.9200734185238</v>
      </c>
      <c r="E49" s="238">
        <f t="shared" si="5"/>
        <v>3628.5570609490096</v>
      </c>
      <c r="F49" s="238">
        <f t="shared" si="5"/>
        <v>3297.487166727894</v>
      </c>
      <c r="G49" s="238">
        <f t="shared" si="5"/>
        <v>3297.487166727894</v>
      </c>
      <c r="H49" s="238">
        <f t="shared" si="5"/>
        <v>3297.487166727894</v>
      </c>
      <c r="I49" s="238">
        <f t="shared" si="5"/>
        <v>3297.487166727894</v>
      </c>
      <c r="J49" s="135"/>
      <c r="K49" s="219" t="s">
        <v>182</v>
      </c>
      <c r="L49" s="39"/>
      <c r="M49" s="39"/>
      <c r="N49" s="39"/>
      <c r="O49" s="39"/>
      <c r="P49" s="39"/>
      <c r="Q49" s="39"/>
      <c r="R49" s="39"/>
      <c r="S49" s="221"/>
    </row>
    <row r="50" spans="1:20" ht="15.4">
      <c r="A50" s="284">
        <f>NormStandard!E22</f>
        <v>64</v>
      </c>
      <c r="B50" s="239"/>
      <c r="C50" s="239"/>
      <c r="D50" s="239"/>
      <c r="E50" s="239"/>
      <c r="F50" s="239"/>
      <c r="G50" s="239"/>
      <c r="H50" s="239"/>
      <c r="I50" s="239"/>
      <c r="J50" s="3" t="s">
        <v>1</v>
      </c>
      <c r="K50" s="235">
        <v>110</v>
      </c>
      <c r="L50" s="39"/>
      <c r="M50" s="39"/>
      <c r="N50" s="39"/>
      <c r="O50" s="39"/>
      <c r="P50" s="39"/>
      <c r="Q50" s="39"/>
      <c r="R50" s="39"/>
      <c r="S50" s="221"/>
    </row>
    <row r="51" spans="1:20" ht="15.4">
      <c r="A51" s="283">
        <f>100000*Conc1!U22</f>
        <v>82676.094785585432</v>
      </c>
      <c r="B51" s="238">
        <f>(100000*Conc1!$M22+$A51)/SIN(RADIANS($A50))</f>
        <v>99481.612350609066</v>
      </c>
      <c r="C51" s="238">
        <f>(100000*Conc2!$M22+$A51)/SIN(RADIANS($A50))</f>
        <v>102491.20134285107</v>
      </c>
      <c r="D51" s="238">
        <f>(100000*Conc3!$M22+$A51)/SIN(RADIANS($A50))</f>
        <v>102947.28431645359</v>
      </c>
      <c r="E51" s="238">
        <f>(100000*Conc4!$M22+$A51)/SIN(RADIANS($A50))</f>
        <v>102943.51747413393</v>
      </c>
      <c r="F51" s="238">
        <f>(100000*Conc5!$M22+$A51)/SIN(RADIANS($A50))</f>
        <v>89708.471809066454</v>
      </c>
      <c r="G51" s="238">
        <f>(100000*Conc6!$M22+$A51)/SIN(RADIANS($A50))</f>
        <v>89708.471809066454</v>
      </c>
      <c r="H51" s="238">
        <f>(100000*Conc7!$M22+$A51)/SIN(RADIANS($A50))</f>
        <v>89708.471809066454</v>
      </c>
      <c r="I51" s="238">
        <f>(100000*Conc8!$M22+$A51)/SIN(RADIANS($A50))</f>
        <v>89708.471809066454</v>
      </c>
      <c r="J51" s="135"/>
      <c r="K51" s="219" t="s">
        <v>183</v>
      </c>
      <c r="L51" s="39"/>
      <c r="M51" s="39"/>
      <c r="N51" s="39"/>
      <c r="O51" s="39"/>
      <c r="P51" s="39"/>
      <c r="Q51" s="39"/>
      <c r="R51" s="39"/>
      <c r="S51" s="221"/>
    </row>
    <row r="52" spans="1:20" ht="15.4">
      <c r="A52" s="283">
        <f t="shared" ref="A52:I52" si="6">0.025*A51</f>
        <v>2066.9023696396357</v>
      </c>
      <c r="B52" s="238">
        <f t="shared" si="6"/>
        <v>2487.0403087652267</v>
      </c>
      <c r="C52" s="238">
        <f t="shared" si="6"/>
        <v>2562.2800335712768</v>
      </c>
      <c r="D52" s="238">
        <f t="shared" si="6"/>
        <v>2573.6821079113397</v>
      </c>
      <c r="E52" s="238">
        <f t="shared" si="6"/>
        <v>2573.5879368533483</v>
      </c>
      <c r="F52" s="238">
        <f t="shared" si="6"/>
        <v>2242.7117952266613</v>
      </c>
      <c r="G52" s="238">
        <f t="shared" si="6"/>
        <v>2242.7117952266613</v>
      </c>
      <c r="H52" s="238">
        <f t="shared" si="6"/>
        <v>2242.7117952266613</v>
      </c>
      <c r="I52" s="238">
        <f t="shared" si="6"/>
        <v>2242.7117952266613</v>
      </c>
      <c r="J52" s="135"/>
      <c r="K52" s="219" t="s">
        <v>184</v>
      </c>
      <c r="L52" s="39"/>
      <c r="M52" s="39"/>
      <c r="N52" s="39"/>
      <c r="O52" s="39"/>
      <c r="P52" s="39"/>
      <c r="Q52" s="39"/>
      <c r="R52" s="39"/>
      <c r="S52" s="221"/>
      <c r="T52" s="39"/>
    </row>
    <row r="53" spans="1:20" ht="15.4">
      <c r="A53" s="284">
        <f>NormStandard!E23</f>
        <v>72</v>
      </c>
      <c r="B53" s="239"/>
      <c r="C53" s="239"/>
      <c r="D53" s="239"/>
      <c r="E53" s="239"/>
      <c r="F53" s="239"/>
      <c r="G53" s="239"/>
      <c r="H53" s="239"/>
      <c r="I53" s="239"/>
      <c r="J53" s="2" t="s">
        <v>131</v>
      </c>
      <c r="K53" s="235">
        <v>120</v>
      </c>
      <c r="L53" s="39"/>
      <c r="M53" s="39"/>
      <c r="N53" s="39"/>
      <c r="O53" s="39"/>
      <c r="P53" s="39"/>
      <c r="Q53" s="39"/>
      <c r="R53" s="39"/>
      <c r="S53" s="221"/>
      <c r="T53" s="39"/>
    </row>
    <row r="54" spans="1:20" ht="15.4">
      <c r="A54" s="283">
        <f>100000*Conc1!U23</f>
        <v>102533.53687761775</v>
      </c>
      <c r="B54" s="238">
        <f>(100000*Conc1!$M23+$A54)/SIN(RADIANS($A53))</f>
        <v>114114.14866338541</v>
      </c>
      <c r="C54" s="238">
        <f>(100000*Conc2!$M23+$A54)/SIN(RADIANS($A53))</f>
        <v>116644.9547622657</v>
      </c>
      <c r="D54" s="238">
        <f>(100000*Conc3!$M23+$A54)/SIN(RADIANS($A53))</f>
        <v>117948.70335865856</v>
      </c>
      <c r="E54" s="238">
        <f>(100000*Conc4!$M23+$A54)/SIN(RADIANS($A53))</f>
        <v>117128.10865387011</v>
      </c>
      <c r="F54" s="238">
        <f>(100000*Conc5!$M23+$A54)/SIN(RADIANS($A53))</f>
        <v>105141.29067644624</v>
      </c>
      <c r="G54" s="238">
        <f>(100000*Conc6!$M23+$A54)/SIN(RADIANS($A53))</f>
        <v>105141.29067644624</v>
      </c>
      <c r="H54" s="238">
        <f>(100000*Conc7!$M23+$A54)/SIN(RADIANS($A53))</f>
        <v>105141.29067644624</v>
      </c>
      <c r="I54" s="238">
        <f>(100000*Conc8!$M23+$A54)/SIN(RADIANS($A53))</f>
        <v>105141.29067644624</v>
      </c>
      <c r="J54" s="135"/>
      <c r="K54" s="219" t="s">
        <v>185</v>
      </c>
      <c r="L54" s="39"/>
      <c r="M54" s="39"/>
      <c r="N54" s="39"/>
      <c r="O54" s="39"/>
      <c r="P54" s="39"/>
      <c r="Q54" s="39"/>
      <c r="R54" s="39"/>
      <c r="S54" s="221"/>
      <c r="T54" s="39"/>
    </row>
    <row r="55" spans="1:20" ht="15.4">
      <c r="A55" s="283">
        <f t="shared" ref="A55:I55" si="7">0.025*A54</f>
        <v>2563.3384219404438</v>
      </c>
      <c r="B55" s="238">
        <f t="shared" si="7"/>
        <v>2852.8537165846355</v>
      </c>
      <c r="C55" s="238">
        <f t="shared" si="7"/>
        <v>2916.1238690566424</v>
      </c>
      <c r="D55" s="238">
        <f t="shared" si="7"/>
        <v>2948.7175839664642</v>
      </c>
      <c r="E55" s="238">
        <f t="shared" si="7"/>
        <v>2928.2027163467528</v>
      </c>
      <c r="F55" s="238">
        <f t="shared" si="7"/>
        <v>2628.5322669111561</v>
      </c>
      <c r="G55" s="238">
        <f t="shared" si="7"/>
        <v>2628.5322669111561</v>
      </c>
      <c r="H55" s="238">
        <f t="shared" si="7"/>
        <v>2628.5322669111561</v>
      </c>
      <c r="I55" s="238">
        <f t="shared" si="7"/>
        <v>2628.5322669111561</v>
      </c>
      <c r="J55" s="135"/>
      <c r="K55" s="219" t="s">
        <v>186</v>
      </c>
      <c r="L55" s="39"/>
      <c r="M55" s="39"/>
      <c r="N55" s="39"/>
      <c r="O55" s="39"/>
      <c r="P55" s="39"/>
      <c r="Q55" s="39"/>
      <c r="R55" s="39"/>
      <c r="S55" s="221"/>
      <c r="T55" s="39"/>
    </row>
    <row r="56" spans="1:20" ht="15.75" thickBot="1">
      <c r="A56" s="284">
        <f>NormStandard!E24</f>
        <v>81</v>
      </c>
      <c r="B56" s="239"/>
      <c r="C56" s="239"/>
      <c r="D56" s="239"/>
      <c r="E56" s="239"/>
      <c r="F56" s="239"/>
      <c r="G56" s="239"/>
      <c r="H56" s="239"/>
      <c r="I56" s="239"/>
      <c r="J56" s="3" t="s">
        <v>1</v>
      </c>
      <c r="K56" s="236"/>
      <c r="L56" s="224"/>
      <c r="M56" s="224"/>
      <c r="N56" s="224"/>
      <c r="O56" s="224"/>
      <c r="P56" s="224"/>
      <c r="Q56" s="224"/>
      <c r="R56" s="224"/>
      <c r="S56" s="225"/>
      <c r="T56" s="39"/>
    </row>
    <row r="57" spans="1:20">
      <c r="A57" s="283">
        <f>100000*Conc1!U24</f>
        <v>150490.20630368128</v>
      </c>
      <c r="B57" s="238">
        <f>(100000*Conc1!$M24+$A57)/SIN(RADIANS($A56))</f>
        <v>159840.43512886166</v>
      </c>
      <c r="C57" s="238">
        <f>(100000*Conc2!$M24+$A57)/SIN(RADIANS($A56))</f>
        <v>161627.98579127711</v>
      </c>
      <c r="D57" s="238">
        <f>(100000*Conc3!$M24+$A57)/SIN(RADIANS($A56))</f>
        <v>162262.73093089028</v>
      </c>
      <c r="E57" s="238">
        <f>(100000*Conc4!$M24+$A57)/SIN(RADIANS($A56))</f>
        <v>162780.03585710053</v>
      </c>
      <c r="F57" s="238">
        <f>(100000*Conc5!$M24+$A57)/SIN(RADIANS($A56))</f>
        <v>148594.24902416524</v>
      </c>
      <c r="G57" s="238">
        <f>(100000*Conc6!$M24+$A57)/SIN(RADIANS($A56))</f>
        <v>148594.24902416524</v>
      </c>
      <c r="H57" s="238">
        <f>(100000*Conc7!$M24+$A57)/SIN(RADIANS($A56))</f>
        <v>148594.24902416524</v>
      </c>
      <c r="I57" s="238">
        <f>(100000*Conc8!$M24+$A57)/SIN(RADIANS($A56))</f>
        <v>148594.24902416524</v>
      </c>
      <c r="J57" s="135"/>
      <c r="K57" s="39"/>
      <c r="L57" s="39"/>
      <c r="M57" s="39"/>
      <c r="N57" s="39"/>
      <c r="O57" s="39"/>
      <c r="P57" s="39"/>
      <c r="Q57" s="39"/>
      <c r="R57" s="39"/>
      <c r="S57" s="39"/>
      <c r="T57" s="39"/>
    </row>
    <row r="58" spans="1:20">
      <c r="A58" s="283">
        <f t="shared" ref="A58:I58" si="8">0.025*A57</f>
        <v>3762.255157592032</v>
      </c>
      <c r="B58" s="238">
        <f t="shared" si="8"/>
        <v>3996.0108782215416</v>
      </c>
      <c r="C58" s="238">
        <f t="shared" si="8"/>
        <v>4040.6996447819279</v>
      </c>
      <c r="D58" s="238">
        <f t="shared" si="8"/>
        <v>4056.5682732722571</v>
      </c>
      <c r="E58" s="238">
        <f t="shared" si="8"/>
        <v>4069.5008964275135</v>
      </c>
      <c r="F58" s="238">
        <f t="shared" si="8"/>
        <v>3714.8562256041314</v>
      </c>
      <c r="G58" s="238">
        <f t="shared" si="8"/>
        <v>3714.8562256041314</v>
      </c>
      <c r="H58" s="238">
        <f t="shared" si="8"/>
        <v>3714.8562256041314</v>
      </c>
      <c r="I58" s="238">
        <f t="shared" si="8"/>
        <v>3714.8562256041314</v>
      </c>
      <c r="J58" s="135"/>
      <c r="K58" s="39"/>
      <c r="L58" s="39"/>
      <c r="M58" s="39"/>
      <c r="N58" s="39"/>
      <c r="O58" s="39"/>
      <c r="P58" s="39"/>
      <c r="Q58" s="39"/>
      <c r="R58" s="39"/>
      <c r="S58" s="39"/>
      <c r="T58" s="39"/>
    </row>
    <row r="59" spans="1:20">
      <c r="A59" s="284">
        <f>NormStandard!E25</f>
        <v>90</v>
      </c>
      <c r="B59" s="239"/>
      <c r="C59" s="239"/>
      <c r="D59" s="239"/>
      <c r="E59" s="239"/>
      <c r="F59" s="239"/>
      <c r="G59" s="239"/>
      <c r="H59" s="239"/>
      <c r="I59" s="239"/>
      <c r="J59" s="2" t="s">
        <v>131</v>
      </c>
      <c r="K59" s="39"/>
      <c r="L59" s="39"/>
      <c r="M59" s="39"/>
      <c r="N59" s="39"/>
      <c r="O59" s="39"/>
      <c r="P59" s="39"/>
      <c r="Q59" s="39"/>
      <c r="R59" s="39"/>
      <c r="S59" s="39"/>
      <c r="T59" s="39"/>
    </row>
    <row r="60" spans="1:20">
      <c r="A60" s="283">
        <f>100000*Conc1!U25</f>
        <v>100000</v>
      </c>
      <c r="B60" s="238">
        <f>(100000*Conc1!$M25+$A60)/SIN(RADIANS($A59))</f>
        <v>106163.85203262043</v>
      </c>
      <c r="C60" s="238">
        <f>(100000*Conc2!$M25+$A60)/SIN(RADIANS($A59))</f>
        <v>108655.97549594406</v>
      </c>
      <c r="D60" s="238">
        <f>(100000*Conc3!$M25+$A60)/SIN(RADIANS($A59))</f>
        <v>109237.47097071957</v>
      </c>
      <c r="E60" s="238">
        <f>(100000*Conc4!$M25+$A60)/SIN(RADIANS($A59))</f>
        <v>109212.54973608634</v>
      </c>
      <c r="F60" s="238">
        <f>(100000*Conc5!$M25+$A60)/SIN(RADIANS($A59))</f>
        <v>97524.490693098531</v>
      </c>
      <c r="G60" s="238">
        <f>(100000*Conc6!$M25+$A60)/SIN(RADIANS($A59))</f>
        <v>97524.490693098531</v>
      </c>
      <c r="H60" s="238">
        <f>(100000*Conc7!$M25+$A60)/SIN(RADIANS($A59))</f>
        <v>97524.490693098531</v>
      </c>
      <c r="I60" s="238">
        <f>(100000*Conc8!$M25+$A60)/SIN(RADIANS($A59))</f>
        <v>97524.490693098531</v>
      </c>
      <c r="J60" s="135"/>
      <c r="K60" s="39"/>
      <c r="L60" s="39"/>
      <c r="M60" s="39"/>
      <c r="N60" s="39"/>
      <c r="O60" s="39"/>
      <c r="P60" s="39"/>
      <c r="Q60" s="39"/>
      <c r="R60" s="39"/>
      <c r="S60" s="39"/>
      <c r="T60" s="39"/>
    </row>
    <row r="61" spans="1:20">
      <c r="A61" s="283">
        <f t="shared" ref="A61:I61" si="9">0.025*A60</f>
        <v>2500</v>
      </c>
      <c r="B61" s="238">
        <f t="shared" si="9"/>
        <v>2654.0963008155109</v>
      </c>
      <c r="C61" s="238">
        <f t="shared" si="9"/>
        <v>2716.3993873986019</v>
      </c>
      <c r="D61" s="238">
        <f t="shared" si="9"/>
        <v>2730.9367742679897</v>
      </c>
      <c r="E61" s="238">
        <f t="shared" si="9"/>
        <v>2730.3137434021587</v>
      </c>
      <c r="F61" s="238">
        <f t="shared" si="9"/>
        <v>2438.1122673274635</v>
      </c>
      <c r="G61" s="238">
        <f t="shared" si="9"/>
        <v>2438.1122673274635</v>
      </c>
      <c r="H61" s="238">
        <f t="shared" si="9"/>
        <v>2438.1122673274635</v>
      </c>
      <c r="I61" s="238">
        <f t="shared" si="9"/>
        <v>2438.1122673274635</v>
      </c>
      <c r="J61" s="135"/>
      <c r="K61" s="39"/>
      <c r="L61" s="39"/>
      <c r="M61" s="39"/>
      <c r="N61" s="39"/>
      <c r="O61" s="39"/>
      <c r="P61" s="39"/>
      <c r="Q61" s="39"/>
      <c r="R61" s="39"/>
      <c r="S61" s="39"/>
      <c r="T61" s="39"/>
    </row>
    <row r="62" spans="1:20">
      <c r="A62" s="284">
        <f>NormStandard!E26</f>
        <v>99</v>
      </c>
      <c r="B62" s="239"/>
      <c r="C62" s="239"/>
      <c r="D62" s="239"/>
      <c r="E62" s="239"/>
      <c r="F62" s="239"/>
      <c r="G62" s="239"/>
      <c r="H62" s="239"/>
      <c r="I62" s="239"/>
      <c r="J62" s="3" t="s">
        <v>1</v>
      </c>
      <c r="K62" s="39"/>
      <c r="L62" s="39"/>
      <c r="M62" s="39"/>
      <c r="N62" s="39"/>
      <c r="O62" s="39"/>
      <c r="P62" s="39"/>
      <c r="Q62" s="39"/>
      <c r="R62" s="39"/>
      <c r="S62" s="39"/>
      <c r="T62" s="39"/>
    </row>
    <row r="63" spans="1:20">
      <c r="A63" s="283">
        <f>100000*Conc1!U26</f>
        <v>109824.42547222912</v>
      </c>
      <c r="B63" s="238">
        <f>(100000*Conc1!$M26+$A63)/SIN(RADIANS($A62))</f>
        <v>118070.70251807896</v>
      </c>
      <c r="C63" s="238">
        <f>(100000*Conc2!$M26+$A63)/SIN(RADIANS($A62))</f>
        <v>119849.30840719717</v>
      </c>
      <c r="D63" s="238">
        <f>(100000*Conc3!$M26+$A63)/SIN(RADIANS($A62))</f>
        <v>120694.72736003532</v>
      </c>
      <c r="E63" s="238">
        <f>(100000*Conc4!$M26+$A63)/SIN(RADIANS($A62))</f>
        <v>121211.86096082436</v>
      </c>
      <c r="F63" s="238">
        <f>(100000*Conc5!$M26+$A63)/SIN(RADIANS($A62))</f>
        <v>108440.7977661008</v>
      </c>
      <c r="G63" s="238">
        <f>(100000*Conc6!$M26+$A63)/SIN(RADIANS($A62))</f>
        <v>108440.7977661008</v>
      </c>
      <c r="H63" s="238">
        <f>(100000*Conc7!$M26+$A63)/SIN(RADIANS($A62))</f>
        <v>108440.7977661008</v>
      </c>
      <c r="I63" s="238">
        <f>(100000*Conc8!$M26+$A63)/SIN(RADIANS($A62))</f>
        <v>108440.7977661008</v>
      </c>
      <c r="J63" s="135"/>
      <c r="K63" s="39"/>
      <c r="L63" s="39"/>
      <c r="M63" s="39"/>
      <c r="N63" s="39"/>
      <c r="O63" s="39"/>
      <c r="P63" s="39"/>
      <c r="Q63" s="39"/>
      <c r="R63" s="39"/>
      <c r="S63" s="39"/>
      <c r="T63" s="39"/>
    </row>
    <row r="64" spans="1:20">
      <c r="A64" s="283">
        <f t="shared" ref="A64:I64" si="10">0.025*A63</f>
        <v>2745.6106368057281</v>
      </c>
      <c r="B64" s="238">
        <f t="shared" si="10"/>
        <v>2951.7675629519745</v>
      </c>
      <c r="C64" s="238">
        <f t="shared" si="10"/>
        <v>2996.2327101799292</v>
      </c>
      <c r="D64" s="238">
        <f t="shared" si="10"/>
        <v>3017.368184000883</v>
      </c>
      <c r="E64" s="238">
        <f t="shared" si="10"/>
        <v>3030.296524020609</v>
      </c>
      <c r="F64" s="238">
        <f t="shared" si="10"/>
        <v>2711.0199441525201</v>
      </c>
      <c r="G64" s="238">
        <f t="shared" si="10"/>
        <v>2711.0199441525201</v>
      </c>
      <c r="H64" s="238">
        <f t="shared" si="10"/>
        <v>2711.0199441525201</v>
      </c>
      <c r="I64" s="238">
        <f t="shared" si="10"/>
        <v>2711.0199441525201</v>
      </c>
      <c r="J64" s="135"/>
      <c r="K64" s="39"/>
      <c r="L64" s="39"/>
      <c r="M64" s="39"/>
      <c r="N64" s="39"/>
      <c r="O64" s="39"/>
      <c r="P64" s="39"/>
      <c r="Q64" s="39"/>
      <c r="R64" s="39"/>
      <c r="S64" s="39"/>
      <c r="T64" s="39"/>
    </row>
    <row r="65" spans="1:20">
      <c r="A65" s="284">
        <f>NormStandard!E28</f>
        <v>117</v>
      </c>
      <c r="B65" s="239"/>
      <c r="C65" s="239"/>
      <c r="D65" s="239"/>
      <c r="E65" s="239"/>
      <c r="F65" s="239"/>
      <c r="G65" s="239"/>
      <c r="H65" s="239"/>
      <c r="I65" s="239"/>
      <c r="J65" s="3" t="s">
        <v>1</v>
      </c>
      <c r="K65" s="39"/>
      <c r="L65" s="39"/>
      <c r="M65" s="39"/>
      <c r="N65" s="39"/>
      <c r="O65" s="39"/>
      <c r="P65" s="39"/>
      <c r="Q65" s="39"/>
      <c r="R65" s="39"/>
      <c r="S65" s="39"/>
      <c r="T65" s="39"/>
    </row>
    <row r="66" spans="1:20">
      <c r="A66" s="283">
        <f>100000*Conc1!U28</f>
        <v>88107.960254981153</v>
      </c>
      <c r="B66" s="238">
        <f>(100000*Conc1!$M28+$A66)/SIN(RADIANS($A65))</f>
        <v>106312.27698766331</v>
      </c>
      <c r="C66" s="238">
        <f>(100000*Conc2!$M28+$A66)/SIN(RADIANS($A65))</f>
        <v>108949.82560112004</v>
      </c>
      <c r="D66" s="238">
        <f>(100000*Conc3!$M28+$A66)/SIN(RADIANS($A65))</f>
        <v>109689.37710268718</v>
      </c>
      <c r="E66" s="238">
        <f>(100000*Conc4!$M28+$A66)/SIN(RADIANS($A65))</f>
        <v>109769.71201166078</v>
      </c>
      <c r="F66" s="238">
        <f>(100000*Conc5!$M28+$A66)/SIN(RADIANS($A65))</f>
        <v>96437.946486441477</v>
      </c>
      <c r="G66" s="238">
        <f>(100000*Conc6!$M28+$A66)/SIN(RADIANS($A65))</f>
        <v>96437.946486441477</v>
      </c>
      <c r="H66" s="238">
        <f>(100000*Conc7!$M28+$A66)/SIN(RADIANS($A65))</f>
        <v>96437.946486441477</v>
      </c>
      <c r="I66" s="238">
        <f>(100000*Conc8!$M28+$A66)/SIN(RADIANS($A65))</f>
        <v>96437.946486441477</v>
      </c>
      <c r="J66" s="135"/>
      <c r="K66" s="39"/>
      <c r="L66" s="39"/>
      <c r="M66" s="39"/>
      <c r="N66" s="39"/>
      <c r="O66" s="39"/>
      <c r="P66" s="39"/>
      <c r="Q66" s="39"/>
      <c r="R66" s="39"/>
      <c r="S66" s="39"/>
      <c r="T66" s="39"/>
    </row>
    <row r="67" spans="1:20">
      <c r="A67" s="283">
        <f t="shared" ref="A67:I67" si="11">0.025*A66</f>
        <v>2202.6990063745288</v>
      </c>
      <c r="B67" s="238">
        <f t="shared" si="11"/>
        <v>2657.8069246915829</v>
      </c>
      <c r="C67" s="238">
        <f t="shared" si="11"/>
        <v>2723.7456400280012</v>
      </c>
      <c r="D67" s="238">
        <f t="shared" si="11"/>
        <v>2742.2344275671799</v>
      </c>
      <c r="E67" s="238">
        <f t="shared" si="11"/>
        <v>2744.2428002915199</v>
      </c>
      <c r="F67" s="238">
        <f t="shared" si="11"/>
        <v>2410.9486621610372</v>
      </c>
      <c r="G67" s="238">
        <f t="shared" si="11"/>
        <v>2410.9486621610372</v>
      </c>
      <c r="H67" s="238">
        <f t="shared" si="11"/>
        <v>2410.9486621610372</v>
      </c>
      <c r="I67" s="238">
        <f t="shared" si="11"/>
        <v>2410.9486621610372</v>
      </c>
      <c r="J67" s="135"/>
      <c r="K67" s="39"/>
      <c r="L67" s="39"/>
      <c r="M67" s="39"/>
      <c r="N67" s="39"/>
      <c r="O67" s="39"/>
      <c r="P67" s="39"/>
      <c r="Q67" s="39"/>
      <c r="R67" s="39"/>
      <c r="S67" s="39"/>
      <c r="T67" s="39"/>
    </row>
    <row r="68" spans="1:20">
      <c r="A68" s="284">
        <f>NormStandard!E29</f>
        <v>126</v>
      </c>
      <c r="B68" s="239"/>
      <c r="C68" s="239"/>
      <c r="D68" s="239"/>
      <c r="E68" s="239"/>
      <c r="F68" s="239"/>
      <c r="G68" s="239"/>
      <c r="H68" s="239"/>
      <c r="I68" s="239"/>
      <c r="J68" s="2" t="s">
        <v>131</v>
      </c>
      <c r="K68" s="39"/>
      <c r="L68" s="39"/>
      <c r="M68" s="39"/>
      <c r="N68" s="39"/>
      <c r="O68" s="39"/>
      <c r="P68" s="39"/>
      <c r="Q68" s="39"/>
      <c r="R68" s="39"/>
      <c r="S68" s="39"/>
      <c r="T68" s="39"/>
    </row>
    <row r="69" spans="1:20">
      <c r="A69" s="283">
        <f>100000*Conc1!U29</f>
        <v>108111.07919031427</v>
      </c>
      <c r="B69" s="238">
        <f>(100000*Conc1!$M29+$A69)/SIN(RADIANS($A68))</f>
        <v>141055.67088634407</v>
      </c>
      <c r="C69" s="238">
        <f>(100000*Conc2!$M29+$A69)/SIN(RADIANS($A68))</f>
        <v>144363.75940086975</v>
      </c>
      <c r="D69" s="238">
        <f>(100000*Conc3!$M29+$A69)/SIN(RADIANS($A68))</f>
        <v>145170.61025807113</v>
      </c>
      <c r="E69" s="238">
        <f>(100000*Conc4!$M29+$A69)/SIN(RADIANS($A68))</f>
        <v>144928.55500091074</v>
      </c>
      <c r="F69" s="238">
        <f>(100000*Conc5!$M29+$A69)/SIN(RADIANS($A68))</f>
        <v>130324.55448556568</v>
      </c>
      <c r="G69" s="238">
        <f>(100000*Conc6!$M29+$A69)/SIN(RADIANS($A68))</f>
        <v>130324.55448556568</v>
      </c>
      <c r="H69" s="238">
        <f>(100000*Conc7!$M29+$A69)/SIN(RADIANS($A68))</f>
        <v>130324.55448556568</v>
      </c>
      <c r="I69" s="238">
        <f>(100000*Conc8!$M29+$A69)/SIN(RADIANS($A68))</f>
        <v>130324.55448556568</v>
      </c>
      <c r="J69" s="135"/>
      <c r="K69" s="39"/>
      <c r="L69" s="39"/>
      <c r="M69" s="39"/>
      <c r="N69" s="39"/>
      <c r="O69" s="39"/>
      <c r="P69" s="39"/>
      <c r="Q69" s="39"/>
      <c r="R69" s="39"/>
      <c r="S69" s="39"/>
      <c r="T69" s="39"/>
    </row>
    <row r="70" spans="1:20">
      <c r="A70" s="283">
        <f t="shared" ref="A70:I70" si="12">0.025*A69</f>
        <v>2702.7769797578567</v>
      </c>
      <c r="B70" s="238">
        <f t="shared" si="12"/>
        <v>3526.3917721586022</v>
      </c>
      <c r="C70" s="238">
        <f t="shared" si="12"/>
        <v>3609.0939850217437</v>
      </c>
      <c r="D70" s="238">
        <f t="shared" si="12"/>
        <v>3629.2652564517784</v>
      </c>
      <c r="E70" s="238">
        <f t="shared" si="12"/>
        <v>3623.2138750227687</v>
      </c>
      <c r="F70" s="238">
        <f t="shared" si="12"/>
        <v>3258.1138621391419</v>
      </c>
      <c r="G70" s="238">
        <f t="shared" si="12"/>
        <v>3258.1138621391419</v>
      </c>
      <c r="H70" s="238">
        <f t="shared" si="12"/>
        <v>3258.1138621391419</v>
      </c>
      <c r="I70" s="238">
        <f t="shared" si="12"/>
        <v>3258.1138621391419</v>
      </c>
      <c r="J70" s="135"/>
      <c r="K70" s="39"/>
      <c r="L70" s="39"/>
      <c r="M70" s="39"/>
      <c r="N70" s="39"/>
      <c r="O70" s="39"/>
      <c r="P70" s="39"/>
      <c r="Q70" s="39"/>
      <c r="R70" s="39"/>
      <c r="S70" s="39"/>
      <c r="T70" s="39"/>
    </row>
    <row r="71" spans="1:20">
      <c r="A71" s="284">
        <f>NormStandard!E30</f>
        <v>134</v>
      </c>
      <c r="B71" s="239"/>
      <c r="C71" s="239"/>
      <c r="D71" s="239"/>
      <c r="E71" s="239"/>
      <c r="F71" s="239"/>
      <c r="G71" s="239"/>
      <c r="H71" s="239"/>
      <c r="I71" s="239"/>
      <c r="J71" s="3" t="s">
        <v>1</v>
      </c>
      <c r="K71" s="39"/>
      <c r="L71" s="39"/>
      <c r="M71" s="39"/>
      <c r="N71" s="39"/>
      <c r="O71" s="39"/>
      <c r="P71" s="39"/>
      <c r="Q71" s="39"/>
      <c r="R71" s="39"/>
      <c r="S71" s="39"/>
      <c r="T71" s="39"/>
    </row>
    <row r="72" spans="1:20">
      <c r="A72" s="283">
        <f>100000*Conc1!U30</f>
        <v>87440.684021613692</v>
      </c>
      <c r="B72" s="238">
        <f>(100000*Conc1!$M30+$A72)/SIN(RADIANS($A71))</f>
        <v>130497.90194976296</v>
      </c>
      <c r="C72" s="238">
        <f>(100000*Conc2!$M30+$A72)/SIN(RADIANS($A71))</f>
        <v>133587.82738708326</v>
      </c>
      <c r="D72" s="238">
        <f>(100000*Conc3!$M30+$A72)/SIN(RADIANS($A71))</f>
        <v>134498.31536605011</v>
      </c>
      <c r="E72" s="238">
        <f>(100000*Conc4!$M30+$A72)/SIN(RADIANS($A71))</f>
        <v>135005.68515995954</v>
      </c>
      <c r="F72" s="238">
        <f>(100000*Conc5!$M30+$A72)/SIN(RADIANS($A71))</f>
        <v>118547.70403430205</v>
      </c>
      <c r="G72" s="238">
        <f>(100000*Conc6!$M30+$A72)/SIN(RADIANS($A71))</f>
        <v>118547.70403430205</v>
      </c>
      <c r="H72" s="238">
        <f>(100000*Conc7!$M30+$A72)/SIN(RADIANS($A71))</f>
        <v>118547.70403430205</v>
      </c>
      <c r="I72" s="238">
        <f>(100000*Conc8!$M30+$A72)/SIN(RADIANS($A71))</f>
        <v>118547.70403430205</v>
      </c>
      <c r="J72" s="135"/>
      <c r="K72" s="39"/>
      <c r="L72" s="39"/>
      <c r="M72" s="39"/>
      <c r="N72" s="39"/>
      <c r="O72" s="39"/>
      <c r="P72" s="39"/>
      <c r="Q72" s="39"/>
      <c r="R72" s="39"/>
      <c r="S72" s="39"/>
      <c r="T72" s="39"/>
    </row>
    <row r="73" spans="1:20">
      <c r="A73" s="283">
        <f t="shared" ref="A73:I73" si="13">0.025*A72</f>
        <v>2186.0171005403422</v>
      </c>
      <c r="B73" s="238">
        <f t="shared" si="13"/>
        <v>3262.4475487440741</v>
      </c>
      <c r="C73" s="238">
        <f t="shared" si="13"/>
        <v>3339.6956846770818</v>
      </c>
      <c r="D73" s="238">
        <f t="shared" si="13"/>
        <v>3362.457884151253</v>
      </c>
      <c r="E73" s="238">
        <f t="shared" si="13"/>
        <v>3375.1421289989885</v>
      </c>
      <c r="F73" s="238">
        <f t="shared" si="13"/>
        <v>2963.6926008575515</v>
      </c>
      <c r="G73" s="238">
        <f t="shared" si="13"/>
        <v>2963.6926008575515</v>
      </c>
      <c r="H73" s="238">
        <f t="shared" si="13"/>
        <v>2963.6926008575515</v>
      </c>
      <c r="I73" s="238">
        <f t="shared" si="13"/>
        <v>2963.6926008575515</v>
      </c>
      <c r="J73" s="135"/>
      <c r="K73" s="39"/>
      <c r="L73" s="39"/>
      <c r="M73" s="39"/>
      <c r="N73" s="39"/>
      <c r="O73" s="39"/>
      <c r="P73" s="39"/>
      <c r="Q73" s="39"/>
      <c r="R73" s="39"/>
      <c r="S73" s="39"/>
      <c r="T73" s="39"/>
    </row>
    <row r="74" spans="1:20">
      <c r="A74" s="284">
        <f>NormStandard!E31</f>
        <v>141</v>
      </c>
      <c r="B74" s="239"/>
      <c r="C74" s="239"/>
      <c r="D74" s="239"/>
      <c r="E74" s="239"/>
      <c r="F74" s="239"/>
      <c r="G74" s="239"/>
      <c r="H74" s="239"/>
      <c r="I74" s="239"/>
      <c r="J74" s="2" t="s">
        <v>131</v>
      </c>
      <c r="K74" s="39"/>
      <c r="L74" s="39"/>
      <c r="M74" s="39"/>
      <c r="N74" s="39"/>
      <c r="O74" s="39"/>
      <c r="P74" s="39"/>
      <c r="Q74" s="39"/>
      <c r="R74" s="39"/>
      <c r="S74" s="39"/>
      <c r="T74" s="39"/>
    </row>
    <row r="75" spans="1:20">
      <c r="A75" s="283">
        <f>100000*Conc1!U31</f>
        <v>95206.21544763229</v>
      </c>
      <c r="B75" s="238">
        <f>(100000*Conc1!$M31+$A75)/SIN(RADIANS($A74))</f>
        <v>161629.42148666817</v>
      </c>
      <c r="C75" s="238">
        <f>(100000*Conc2!$M31+$A75)/SIN(RADIANS($A74))</f>
        <v>165151.99684644598</v>
      </c>
      <c r="D75" s="238">
        <f>(100000*Conc3!$M31+$A75)/SIN(RADIANS($A74))</f>
        <v>166264.38906532319</v>
      </c>
      <c r="E75" s="238">
        <f>(100000*Conc4!$M31+$A75)/SIN(RADIANS($A74))</f>
        <v>166017.80879013872</v>
      </c>
      <c r="F75" s="238">
        <f>(100000*Conc5!$M31+$A75)/SIN(RADIANS($A74))</f>
        <v>147539.12004755702</v>
      </c>
      <c r="G75" s="238">
        <f>(100000*Conc6!$M31+$A75)/SIN(RADIANS($A74))</f>
        <v>147539.12004755702</v>
      </c>
      <c r="H75" s="238">
        <f>(100000*Conc7!$M31+$A75)/SIN(RADIANS($A74))</f>
        <v>147539.12004755702</v>
      </c>
      <c r="I75" s="238">
        <f>(100000*Conc8!$M31+$A75)/SIN(RADIANS($A74))</f>
        <v>147539.12004755702</v>
      </c>
      <c r="J75" s="135"/>
      <c r="K75" s="39"/>
      <c r="L75" s="39"/>
      <c r="M75" s="39"/>
      <c r="N75" s="39"/>
      <c r="O75" s="39"/>
      <c r="P75" s="39"/>
      <c r="Q75" s="39"/>
      <c r="R75" s="39"/>
      <c r="S75" s="39"/>
      <c r="T75" s="39"/>
    </row>
    <row r="76" spans="1:20">
      <c r="A76" s="283">
        <f t="shared" ref="A76:I76" si="14">0.025*A75</f>
        <v>2380.1553861908073</v>
      </c>
      <c r="B76" s="238">
        <f t="shared" si="14"/>
        <v>4040.7355371667045</v>
      </c>
      <c r="C76" s="238">
        <f t="shared" si="14"/>
        <v>4128.7999211611495</v>
      </c>
      <c r="D76" s="238">
        <f t="shared" si="14"/>
        <v>4156.6097266330798</v>
      </c>
      <c r="E76" s="238">
        <f t="shared" si="14"/>
        <v>4150.4452197534683</v>
      </c>
      <c r="F76" s="238">
        <f t="shared" si="14"/>
        <v>3688.4780011889256</v>
      </c>
      <c r="G76" s="238">
        <f t="shared" si="14"/>
        <v>3688.4780011889256</v>
      </c>
      <c r="H76" s="238">
        <f t="shared" si="14"/>
        <v>3688.4780011889256</v>
      </c>
      <c r="I76" s="238">
        <f t="shared" si="14"/>
        <v>3688.4780011889256</v>
      </c>
      <c r="J76" s="135"/>
      <c r="K76" s="39"/>
      <c r="L76" s="39"/>
      <c r="M76" s="39"/>
      <c r="N76" s="39"/>
      <c r="O76" s="39"/>
      <c r="P76" s="39"/>
      <c r="Q76" s="39"/>
      <c r="R76" s="39"/>
      <c r="S76" s="39"/>
      <c r="T76" s="39"/>
    </row>
    <row r="77" spans="1:20">
      <c r="A77" s="284">
        <f>NormStandard!E32</f>
        <v>147</v>
      </c>
      <c r="B77" s="239"/>
      <c r="C77" s="239"/>
      <c r="D77" s="239"/>
      <c r="E77" s="239"/>
      <c r="F77" s="239"/>
      <c r="G77" s="239"/>
      <c r="H77" s="239"/>
      <c r="I77" s="239"/>
      <c r="J77" s="3" t="s">
        <v>1</v>
      </c>
      <c r="K77" s="39"/>
      <c r="L77" s="39"/>
      <c r="M77" s="39"/>
      <c r="N77" s="39"/>
      <c r="O77" s="39"/>
      <c r="P77" s="39"/>
      <c r="Q77" s="39"/>
      <c r="R77" s="39"/>
      <c r="S77" s="39"/>
      <c r="T77" s="39"/>
    </row>
    <row r="78" spans="1:20">
      <c r="A78" s="283">
        <f>100000*Conc1!U32</f>
        <v>80948.021958367128</v>
      </c>
      <c r="B78" s="238">
        <f>(100000*Conc1!$M32+$A78)/SIN(RADIANS($A77))</f>
        <v>159624.12910671247</v>
      </c>
      <c r="C78" s="238">
        <f>(100000*Conc2!$M32+$A78)/SIN(RADIANS($A77))</f>
        <v>164203.92449412277</v>
      </c>
      <c r="D78" s="238">
        <f>(100000*Conc3!$M32+$A78)/SIN(RADIANS($A77))</f>
        <v>164908.29848439395</v>
      </c>
      <c r="E78" s="238">
        <f>(100000*Conc4!$M32+$A78)/SIN(RADIANS($A77))</f>
        <v>165403.92984034706</v>
      </c>
      <c r="F78" s="238">
        <f>(100000*Conc5!$M32+$A78)/SIN(RADIANS($A77))</f>
        <v>144947.64617607134</v>
      </c>
      <c r="G78" s="238">
        <f>(100000*Conc6!$M32+$A78)/SIN(RADIANS($A77))</f>
        <v>144947.64617607134</v>
      </c>
      <c r="H78" s="238">
        <f>(100000*Conc7!$M32+$A78)/SIN(RADIANS($A77))</f>
        <v>144947.64617607134</v>
      </c>
      <c r="I78" s="238">
        <f>(100000*Conc8!$M32+$A78)/SIN(RADIANS($A77))</f>
        <v>144947.64617607134</v>
      </c>
      <c r="J78" s="135"/>
      <c r="K78" s="39"/>
      <c r="L78" s="39"/>
      <c r="M78" s="39"/>
      <c r="N78" s="39"/>
      <c r="O78" s="39"/>
      <c r="P78" s="39"/>
      <c r="Q78" s="39"/>
      <c r="R78" s="39"/>
      <c r="S78" s="39"/>
      <c r="T78" s="39"/>
    </row>
    <row r="79" spans="1:20">
      <c r="A79" s="283">
        <f t="shared" ref="A79:I79" si="15">0.025*A78</f>
        <v>2023.7005489591784</v>
      </c>
      <c r="B79" s="238">
        <f t="shared" si="15"/>
        <v>3990.603227667812</v>
      </c>
      <c r="C79" s="238">
        <f t="shared" si="15"/>
        <v>4105.0981123530692</v>
      </c>
      <c r="D79" s="238">
        <f t="shared" si="15"/>
        <v>4122.7074621098491</v>
      </c>
      <c r="E79" s="238">
        <f t="shared" si="15"/>
        <v>4135.0982460086771</v>
      </c>
      <c r="F79" s="238">
        <f t="shared" si="15"/>
        <v>3623.6911544017839</v>
      </c>
      <c r="G79" s="238">
        <f t="shared" si="15"/>
        <v>3623.6911544017839</v>
      </c>
      <c r="H79" s="238">
        <f t="shared" si="15"/>
        <v>3623.6911544017839</v>
      </c>
      <c r="I79" s="238">
        <f t="shared" si="15"/>
        <v>3623.6911544017839</v>
      </c>
      <c r="J79" s="135"/>
      <c r="K79" s="39"/>
      <c r="L79" s="39"/>
      <c r="M79" s="39"/>
      <c r="N79" s="39"/>
      <c r="O79" s="39"/>
      <c r="P79" s="39"/>
      <c r="Q79" s="39"/>
      <c r="R79" s="39"/>
      <c r="S79" s="39"/>
      <c r="T79" s="39"/>
    </row>
    <row r="80" spans="1:20">
      <c r="K80" s="39"/>
      <c r="L80" s="39"/>
      <c r="M80" s="39"/>
      <c r="N80" s="39"/>
      <c r="O80" s="39"/>
      <c r="P80" s="39"/>
      <c r="Q80" s="39"/>
      <c r="R80" s="39"/>
      <c r="S80" s="39"/>
      <c r="T80" s="39"/>
    </row>
    <row r="81" spans="11:20">
      <c r="K81" s="39"/>
      <c r="L81" s="39"/>
      <c r="M81" s="39"/>
      <c r="N81" s="39"/>
      <c r="O81" s="39"/>
      <c r="P81" s="39"/>
      <c r="Q81" s="39"/>
      <c r="R81" s="39"/>
      <c r="S81" s="39"/>
      <c r="T81" s="39"/>
    </row>
    <row r="82" spans="11:20">
      <c r="K82" s="39"/>
      <c r="L82" s="39"/>
      <c r="M82" s="39"/>
      <c r="N82" s="39"/>
      <c r="O82" s="39"/>
      <c r="P82" s="39"/>
      <c r="Q82" s="39"/>
      <c r="R82" s="39"/>
      <c r="S82" s="39"/>
      <c r="T82" s="39"/>
    </row>
  </sheetData>
  <pageMargins left="0.7" right="0.7" top="0.75" bottom="0.75" header="0.3" footer="0.3"/>
  <pageSetup orientation="portrait" horizontalDpi="4294967293"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49BB0-AB7E-4BEB-9F13-207A1583037E}">
  <dimension ref="A1:J93"/>
  <sheetViews>
    <sheetView tabSelected="1" zoomScale="55" zoomScaleNormal="55" workbookViewId="0">
      <selection activeCell="J54" sqref="J54"/>
    </sheetView>
  </sheetViews>
  <sheetFormatPr defaultRowHeight="14.25"/>
  <cols>
    <col min="1" max="1" width="75.46484375" customWidth="1"/>
    <col min="2" max="2" width="8.86328125" customWidth="1"/>
    <col min="7" max="7" width="2.6640625" customWidth="1"/>
    <col min="8" max="8" width="2.59765625" customWidth="1"/>
    <col min="9" max="9" width="2.46484375" customWidth="1"/>
    <col min="10" max="10" width="78.59765625" customWidth="1"/>
  </cols>
  <sheetData>
    <row r="1" spans="1:10">
      <c r="A1" s="241" t="str">
        <f>ForNonZimm!A2&amp;" "</f>
        <v xml:space="preserve">X:RUNXXXX.GAL </v>
      </c>
      <c r="B1">
        <f>LEN(A1)</f>
        <v>14</v>
      </c>
      <c r="J1" s="131"/>
    </row>
    <row r="2" spans="1:10">
      <c r="A2" s="240" t="str">
        <f>ForNonZimm!A3</f>
        <v>09:20:05</v>
      </c>
      <c r="B2">
        <f t="shared" ref="B2:B61" si="0">LEN(A2)</f>
        <v>8</v>
      </c>
      <c r="J2" s="231"/>
    </row>
    <row r="3" spans="1:10">
      <c r="A3" s="240" t="str">
        <f>ForNonZimm!A4</f>
        <v>06-20-2024</v>
      </c>
      <c r="B3">
        <f t="shared" si="0"/>
        <v>10</v>
      </c>
      <c r="J3" s="231"/>
    </row>
    <row r="4" spans="1:10">
      <c r="A4" s="240" t="str">
        <f>ForNonZimm!A5</f>
        <v>09:50:15</v>
      </c>
      <c r="B4">
        <f t="shared" si="0"/>
        <v>8</v>
      </c>
      <c r="J4" s="231"/>
    </row>
    <row r="5" spans="1:10">
      <c r="A5" s="240" t="str">
        <f>ForNonZimm!A6</f>
        <v>06-20-2024</v>
      </c>
      <c r="B5">
        <f t="shared" si="0"/>
        <v>10</v>
      </c>
      <c r="J5" s="231"/>
    </row>
    <row r="6" spans="1:10">
      <c r="A6" s="241" t="str">
        <f>ForNonZimm!A7</f>
        <v>LABEL1-60-CHARACTERSXXXXXXXXXXXXXXXXXXXXXXXXXXXXXXXXXXXXXXXX</v>
      </c>
      <c r="B6">
        <f t="shared" si="0"/>
        <v>60</v>
      </c>
      <c r="J6" s="131"/>
    </row>
    <row r="7" spans="1:10">
      <c r="A7" s="241" t="str">
        <f>ForNonZimm!A8</f>
        <v>LABEL2-60-CHARACTERSXXXXXXXXXXXXXXXXXXXXXXXXXXXXXXXXXXXXXXXX</v>
      </c>
      <c r="B7">
        <f t="shared" si="0"/>
        <v>60</v>
      </c>
      <c r="J7" s="131"/>
    </row>
    <row r="8" spans="1:10">
      <c r="A8" s="241" t="str">
        <f>ForNonZimm!A9</f>
        <v>USER10CHAR</v>
      </c>
      <c r="B8">
        <f t="shared" si="0"/>
        <v>10</v>
      </c>
      <c r="J8" s="131"/>
    </row>
    <row r="9" spans="1:10">
      <c r="A9" s="241" t="str">
        <f>" "&amp;ForNonZimm!A10&amp;" "</f>
        <v xml:space="preserve"> 6328 </v>
      </c>
      <c r="B9">
        <f t="shared" si="0"/>
        <v>6</v>
      </c>
      <c r="J9" s="131"/>
    </row>
    <row r="10" spans="1:10">
      <c r="A10" s="241" t="str">
        <f>ForNonZimm!A11</f>
        <v>TOLUENE.......</v>
      </c>
      <c r="B10">
        <f t="shared" si="0"/>
        <v>14</v>
      </c>
      <c r="J10" s="131"/>
    </row>
    <row r="11" spans="1:10">
      <c r="A11" s="241" t="str">
        <f>" "&amp;ForNonZimm!A12&amp;" "</f>
        <v xml:space="preserve"> 1.495 </v>
      </c>
      <c r="B11">
        <f t="shared" si="0"/>
        <v>7</v>
      </c>
      <c r="J11" s="131"/>
    </row>
    <row r="12" spans="1:10">
      <c r="A12" s="241" t="str">
        <f>" "&amp;ForNonZimm!A13&amp;" "</f>
        <v xml:space="preserve"> 1.495 </v>
      </c>
      <c r="B12">
        <f t="shared" si="0"/>
        <v>7</v>
      </c>
      <c r="J12" s="131"/>
    </row>
    <row r="13" spans="1:10">
      <c r="A13" s="241" t="str">
        <f>" "&amp;ForNonZimm!A14&amp;" "</f>
        <v xml:space="preserve"> 1 </v>
      </c>
      <c r="B13">
        <f t="shared" si="0"/>
        <v>3</v>
      </c>
      <c r="J13" s="131"/>
    </row>
    <row r="14" spans="1:10">
      <c r="A14" s="241" t="str">
        <f>" "&amp;ForNonZimm!A15&amp;" "</f>
        <v xml:space="preserve"> 24.9 </v>
      </c>
      <c r="B14">
        <f t="shared" si="0"/>
        <v>6</v>
      </c>
      <c r="J14" s="131"/>
    </row>
    <row r="15" spans="1:10">
      <c r="A15" s="241" t="str">
        <f>" "&amp;ForNonZimm!A16&amp;" "</f>
        <v xml:space="preserve"> 25.1 </v>
      </c>
      <c r="B15">
        <f t="shared" si="0"/>
        <v>6</v>
      </c>
      <c r="J15" s="131"/>
    </row>
    <row r="16" spans="1:10">
      <c r="A16" s="241" t="str">
        <f>" "&amp;ForNonZimm!A17&amp;" "</f>
        <v xml:space="preserve"> 10 </v>
      </c>
      <c r="B16">
        <f t="shared" si="0"/>
        <v>4</v>
      </c>
      <c r="J16" s="131"/>
    </row>
    <row r="17" spans="1:10">
      <c r="A17" s="241" t="str">
        <f>" "&amp;ForNonZimm!A18&amp;" "</f>
        <v xml:space="preserve"> 2980 </v>
      </c>
      <c r="B17">
        <f t="shared" si="0"/>
        <v>6</v>
      </c>
      <c r="J17" s="131"/>
    </row>
    <row r="18" spans="1:10">
      <c r="A18" s="241" t="str">
        <f>" "&amp;LEFT((ForNonZimm!A19),5)&amp;" "</f>
        <v xml:space="preserve"> 54.58 </v>
      </c>
      <c r="B18">
        <f t="shared" si="0"/>
        <v>7</v>
      </c>
      <c r="C18" s="131"/>
      <c r="D18" s="131"/>
      <c r="F18" s="131"/>
      <c r="G18" s="131"/>
      <c r="H18" s="131"/>
      <c r="I18" s="131"/>
      <c r="J18" s="131"/>
    </row>
    <row r="19" spans="1:10">
      <c r="A19" s="241" t="str">
        <f>" "&amp;ForNonZimm!A20&amp;" "</f>
        <v xml:space="preserve"> 90 </v>
      </c>
      <c r="B19">
        <f t="shared" si="0"/>
        <v>4</v>
      </c>
      <c r="C19" s="131"/>
      <c r="D19" s="131"/>
      <c r="F19" s="131"/>
      <c r="G19" s="131"/>
      <c r="H19" s="131"/>
      <c r="I19" s="131"/>
      <c r="J19" s="131"/>
    </row>
    <row r="20" spans="1:10">
      <c r="A20" s="241" t="str">
        <f>" "&amp;ForNonZimm!A21&amp;" "</f>
        <v xml:space="preserve"> 14 </v>
      </c>
      <c r="B20">
        <f t="shared" si="0"/>
        <v>4</v>
      </c>
      <c r="C20" s="131"/>
      <c r="D20" s="131"/>
      <c r="F20" s="131"/>
      <c r="G20" s="131"/>
      <c r="H20" s="131"/>
      <c r="I20" s="131"/>
      <c r="J20" s="131"/>
    </row>
    <row r="21" spans="1:10">
      <c r="A21" s="241" t="str">
        <f>" "&amp;ForNonZimm!A22&amp;" "</f>
        <v xml:space="preserve"> 5 </v>
      </c>
      <c r="B21">
        <f t="shared" si="0"/>
        <v>3</v>
      </c>
      <c r="C21" s="131"/>
      <c r="D21" s="131"/>
      <c r="F21" s="131"/>
      <c r="G21" s="131"/>
      <c r="H21" s="131"/>
      <c r="I21" s="131"/>
      <c r="J21" s="131"/>
    </row>
    <row r="22" spans="1:10">
      <c r="A22" s="241" t="str">
        <f>" "&amp;LEFT(ForNonZimm!A23,9)&amp;" "</f>
        <v xml:space="preserve"> 0 </v>
      </c>
      <c r="B22">
        <f t="shared" si="0"/>
        <v>3</v>
      </c>
      <c r="C22" s="131"/>
      <c r="D22" s="131"/>
      <c r="F22" s="131"/>
      <c r="G22" s="131"/>
      <c r="H22" s="131"/>
      <c r="I22" s="131"/>
      <c r="J22" s="131"/>
    </row>
    <row r="23" spans="1:10">
      <c r="A23" s="241" t="str">
        <f>" "&amp;LEFT(ForNonZimm!A24,9)&amp;" "</f>
        <v xml:space="preserve"> 0.0026010 </v>
      </c>
      <c r="B23">
        <f t="shared" si="0"/>
        <v>11</v>
      </c>
      <c r="C23" s="131"/>
      <c r="D23" s="131"/>
      <c r="F23" s="131"/>
      <c r="G23" s="131"/>
      <c r="H23" s="131"/>
      <c r="I23" s="131"/>
      <c r="J23" s="131"/>
    </row>
    <row r="24" spans="1:10">
      <c r="A24" s="241" t="str">
        <f>" "&amp;LEFT(ForNonZimm!A25,9)&amp;" "</f>
        <v xml:space="preserve"> 0.0048277 </v>
      </c>
      <c r="B24">
        <f t="shared" si="0"/>
        <v>11</v>
      </c>
      <c r="C24" s="131"/>
      <c r="D24" s="131"/>
      <c r="F24" s="131"/>
      <c r="G24" s="131"/>
      <c r="H24" s="131"/>
      <c r="I24" s="131"/>
      <c r="J24" s="131"/>
    </row>
    <row r="25" spans="1:10">
      <c r="A25" s="241" t="str">
        <f>" "&amp;LEFT(ForNonZimm!A26,9)&amp;" "</f>
        <v xml:space="preserve"> 0.0081757 </v>
      </c>
      <c r="B25">
        <f t="shared" si="0"/>
        <v>11</v>
      </c>
      <c r="C25" s="131"/>
      <c r="D25" s="131"/>
      <c r="F25" s="131"/>
      <c r="G25" s="131"/>
      <c r="H25" s="131"/>
      <c r="I25" s="131"/>
      <c r="J25" s="131"/>
    </row>
    <row r="26" spans="1:10">
      <c r="A26" s="241" t="str">
        <f>" "&amp;LEFT(ForNonZimm!A27,9)&amp;" "</f>
        <v xml:space="preserve"> 0.0102350 </v>
      </c>
      <c r="B26">
        <f t="shared" si="0"/>
        <v>11</v>
      </c>
      <c r="C26" s="131"/>
      <c r="D26" s="131"/>
      <c r="F26" s="131"/>
      <c r="G26" s="131"/>
      <c r="H26" s="131"/>
      <c r="I26" s="131"/>
      <c r="J26" s="131"/>
    </row>
    <row r="27" spans="1:10">
      <c r="A27" s="241" t="str">
        <f>" "&amp;ForNonZimm!A32&amp;" "</f>
        <v xml:space="preserve"> 22.5 </v>
      </c>
      <c r="B27">
        <f t="shared" si="0"/>
        <v>6</v>
      </c>
      <c r="C27" s="131"/>
      <c r="D27" s="131"/>
      <c r="F27" s="131"/>
      <c r="G27" s="131"/>
      <c r="H27" s="131"/>
      <c r="I27" s="131"/>
      <c r="J27" s="131"/>
    </row>
    <row r="28" spans="1:10">
      <c r="A28" s="240" t="str">
        <f>" "&amp;_xlfn.CONCAT(LEFT(ForNonZimm!A33,8)&amp;"  "&amp;LEFT(ForNonZimm!B33,8)&amp;"  "&amp;LEFT(ForNonZimm!C33,8)&amp;"  "&amp;LEFT(ForNonZimm!D33,8)&amp;"  "&amp;LEFT(ForNonZimm!E33,8)&amp;" ")</f>
        <v xml:space="preserve"> 138600.4  397735.7  393252.8  385775.6  385142.5 </v>
      </c>
      <c r="B28">
        <f t="shared" si="0"/>
        <v>50</v>
      </c>
      <c r="C28" s="131"/>
      <c r="D28" s="131"/>
      <c r="F28" s="131"/>
      <c r="G28" s="131"/>
      <c r="H28" s="131"/>
      <c r="I28" s="131"/>
      <c r="J28" s="131"/>
    </row>
    <row r="29" spans="1:10">
      <c r="A29" s="240" t="str">
        <f>" "&amp;_xlfn.CONCAT(LEFT(ForNonZimm!A34,8)&amp;"  "&amp;LEFT(ForNonZimm!B34,8)&amp;"  "&amp;LEFT(ForNonZimm!C34,8)&amp;"  "&amp;LEFT(ForNonZimm!D34,8)&amp;"  "&amp;LEFT(ForNonZimm!E34,8)&amp;" ")</f>
        <v xml:space="preserve"> 3465.011  9943.393  9831.321  9644.390  9628.563 </v>
      </c>
      <c r="B29">
        <f t="shared" si="0"/>
        <v>50</v>
      </c>
      <c r="C29" s="131"/>
      <c r="D29" s="131"/>
      <c r="F29" s="131"/>
      <c r="G29" s="131"/>
      <c r="H29" s="131"/>
      <c r="I29" s="131"/>
      <c r="J29" s="131"/>
    </row>
    <row r="30" spans="1:10">
      <c r="A30" s="241" t="str">
        <f>" "&amp;ForNonZimm!A35&amp;" "</f>
        <v xml:space="preserve"> 28 </v>
      </c>
      <c r="B30">
        <f t="shared" si="0"/>
        <v>4</v>
      </c>
      <c r="C30" s="131"/>
      <c r="D30" s="131"/>
      <c r="F30" s="131"/>
      <c r="G30" s="131"/>
      <c r="H30" s="131"/>
      <c r="I30" s="131"/>
      <c r="J30" s="131"/>
    </row>
    <row r="31" spans="1:10">
      <c r="A31" s="240" t="str">
        <f>" "&amp;_xlfn.CONCAT(LEFT(ForNonZimm!A36,8)&amp;"  "&amp;LEFT(ForNonZimm!B36,8)&amp;"  "&amp;LEFT(ForNonZimm!C36,8)&amp;"  "&amp;LEFT(ForNonZimm!D36,8)&amp;"  "&amp;LEFT(ForNonZimm!E36,8)&amp;" ")</f>
        <v xml:space="preserve"> 104833.4  237029.9  244664.6  241492.9  241379.7 </v>
      </c>
      <c r="B31">
        <f t="shared" si="0"/>
        <v>50</v>
      </c>
      <c r="C31" s="131"/>
      <c r="D31" s="131"/>
      <c r="F31" s="131"/>
      <c r="G31" s="131"/>
      <c r="H31" s="131"/>
      <c r="I31" s="131"/>
      <c r="J31" s="131"/>
    </row>
    <row r="32" spans="1:10">
      <c r="A32" s="240" t="str">
        <f>" "&amp;_xlfn.CONCAT(LEFT(ForNonZimm!A37,8)&amp;"  "&amp;LEFT(ForNonZimm!B37,8)&amp;"  "&amp;LEFT(ForNonZimm!C37,8)&amp;"  "&amp;LEFT(ForNonZimm!D37,8)&amp;"  "&amp;LEFT(ForNonZimm!E37,8)&amp;" ")</f>
        <v xml:space="preserve"> 2620.836  5925.748  6116.617  6037.324  6034.492 </v>
      </c>
      <c r="B32">
        <f t="shared" si="0"/>
        <v>50</v>
      </c>
      <c r="C32" s="131"/>
      <c r="D32" s="131"/>
      <c r="F32" s="131"/>
      <c r="G32" s="131"/>
      <c r="H32" s="131"/>
      <c r="I32" s="131"/>
      <c r="J32" s="131"/>
    </row>
    <row r="33" spans="1:10">
      <c r="A33" s="241" t="str">
        <f>" "&amp;ForNonZimm!A38&amp;" "</f>
        <v xml:space="preserve"> 32 </v>
      </c>
      <c r="B33">
        <f t="shared" si="0"/>
        <v>4</v>
      </c>
      <c r="C33" s="131"/>
      <c r="D33" s="131"/>
      <c r="F33" s="131"/>
      <c r="G33" s="131"/>
      <c r="H33" s="131"/>
      <c r="I33" s="131"/>
      <c r="J33" s="131"/>
    </row>
    <row r="34" spans="1:10">
      <c r="A34" s="240" t="str">
        <f>" "&amp;_xlfn.CONCAT(LEFT(ForNonZimm!A39,8)&amp;"  "&amp;LEFT(ForNonZimm!B39,8)&amp;"  "&amp;LEFT(ForNonZimm!C39,8)&amp;"  "&amp;LEFT(ForNonZimm!D39,8)&amp;"  "&amp;LEFT(ForNonZimm!E39,8)&amp;" ")</f>
        <v xml:space="preserve"> 97827.50  195699.7  200563.2  201284.7  201044.2 </v>
      </c>
      <c r="B34">
        <f t="shared" si="0"/>
        <v>50</v>
      </c>
      <c r="C34" s="131"/>
      <c r="D34" s="131"/>
      <c r="F34" s="131"/>
      <c r="G34" s="131"/>
      <c r="H34" s="131"/>
      <c r="I34" s="131"/>
      <c r="J34" s="131"/>
    </row>
    <row r="35" spans="1:10">
      <c r="A35" s="240" t="str">
        <f>" "&amp;_xlfn.CONCAT(LEFT(ForNonZimm!A40,8)&amp;"  "&amp;LEFT(ForNonZimm!B40,8)&amp;"  "&amp;LEFT(ForNonZimm!C40,8)&amp;"  "&amp;LEFT(ForNonZimm!D40,8)&amp;"  "&amp;LEFT(ForNonZimm!E40,8)&amp;" ")</f>
        <v xml:space="preserve"> 2445.687  4892.494  5014.080  5032.119  5026.106 </v>
      </c>
      <c r="B35">
        <f t="shared" si="0"/>
        <v>50</v>
      </c>
      <c r="C35" s="131"/>
      <c r="D35" s="131"/>
      <c r="F35" s="131"/>
      <c r="G35" s="131"/>
      <c r="H35" s="131"/>
      <c r="I35" s="131"/>
      <c r="J35" s="131"/>
    </row>
    <row r="36" spans="1:10">
      <c r="A36" s="241" t="str">
        <f>" "&amp;ForNonZimm!A41&amp;" "</f>
        <v xml:space="preserve"> 44 </v>
      </c>
      <c r="B36">
        <f t="shared" si="0"/>
        <v>4</v>
      </c>
      <c r="C36" s="131"/>
      <c r="D36" s="131"/>
      <c r="F36" s="131"/>
      <c r="G36" s="131"/>
      <c r="H36" s="131"/>
      <c r="I36" s="131"/>
      <c r="J36" s="131"/>
    </row>
    <row r="37" spans="1:10">
      <c r="A37" s="240" t="str">
        <f>" "&amp;_xlfn.CONCAT(LEFT(ForNonZimm!A42,8)&amp;"  "&amp;LEFT(ForNonZimm!B42,8)&amp;"  "&amp;LEFT(ForNonZimm!C42,8)&amp;"  "&amp;LEFT(ForNonZimm!D42,8)&amp;"  "&amp;LEFT(ForNonZimm!E42,8)&amp;" ")</f>
        <v xml:space="preserve"> 79034.73  122116.2  124729.1  125630.6  125743.3 </v>
      </c>
      <c r="B37">
        <f t="shared" si="0"/>
        <v>50</v>
      </c>
      <c r="C37" s="131"/>
      <c r="D37" s="131"/>
      <c r="F37" s="131"/>
      <c r="G37" s="131"/>
      <c r="H37" s="131"/>
      <c r="I37" s="131"/>
      <c r="J37" s="131"/>
    </row>
    <row r="38" spans="1:10">
      <c r="A38" s="240" t="str">
        <f>" "&amp;_xlfn.CONCAT(LEFT(ForNonZimm!A43,8)&amp;"  "&amp;LEFT(ForNonZimm!B43,8)&amp;"  "&amp;LEFT(ForNonZimm!C43,8)&amp;"  "&amp;LEFT(ForNonZimm!D43,8)&amp;"  "&amp;LEFT(ForNonZimm!E43,8)&amp;" ")</f>
        <v xml:space="preserve"> 1975.868  3052.907  3118.229  3140.766  3143.583 </v>
      </c>
      <c r="B38">
        <f t="shared" si="0"/>
        <v>50</v>
      </c>
      <c r="C38" s="131"/>
      <c r="D38" s="131"/>
      <c r="F38" s="131"/>
      <c r="G38" s="131"/>
      <c r="H38" s="131"/>
      <c r="I38" s="131"/>
      <c r="J38" s="131"/>
    </row>
    <row r="39" spans="1:10">
      <c r="A39" s="241" t="str">
        <f>" "&amp;ForNonZimm!A44&amp;" "</f>
        <v xml:space="preserve"> 50 </v>
      </c>
      <c r="B39">
        <f t="shared" si="0"/>
        <v>4</v>
      </c>
      <c r="C39" s="131"/>
      <c r="D39" s="131"/>
      <c r="F39" s="131"/>
      <c r="G39" s="131"/>
      <c r="H39" s="131"/>
      <c r="I39" s="131"/>
      <c r="J39" s="131"/>
    </row>
    <row r="40" spans="1:10">
      <c r="A40" s="240" t="str">
        <f>" "&amp;_xlfn.CONCAT(LEFT(ForNonZimm!A45,8)&amp;"  "&amp;LEFT(ForNonZimm!B45,8)&amp;"  "&amp;LEFT(ForNonZimm!C45,8)&amp;"  "&amp;LEFT(ForNonZimm!D45,8)&amp;"  "&amp;LEFT(ForNonZimm!E45,8)&amp;" ")</f>
        <v xml:space="preserve"> 64636.71  90148.32  91898.64  92351.07  92538.35 </v>
      </c>
      <c r="B40">
        <f t="shared" si="0"/>
        <v>50</v>
      </c>
      <c r="C40" s="131"/>
      <c r="D40" s="131"/>
      <c r="F40" s="131"/>
      <c r="G40" s="131"/>
      <c r="H40" s="131"/>
      <c r="I40" s="131"/>
      <c r="J40" s="131"/>
    </row>
    <row r="41" spans="1:10">
      <c r="A41" s="240" t="str">
        <f>" "&amp;_xlfn.CONCAT(LEFT(ForNonZimm!A46,8)&amp;"  "&amp;LEFT(ForNonZimm!B46,8)&amp;"  "&amp;LEFT(ForNonZimm!C46,8)&amp;"  "&amp;LEFT(ForNonZimm!D46,8)&amp;"  "&amp;LEFT(ForNonZimm!E46,8)&amp;" ")</f>
        <v xml:space="preserve"> 1615.917  2253.708  2297.466  2308.776  2313.458 </v>
      </c>
      <c r="B41">
        <f t="shared" si="0"/>
        <v>50</v>
      </c>
      <c r="C41" s="131"/>
      <c r="D41" s="131"/>
      <c r="F41" s="131"/>
      <c r="G41" s="131"/>
      <c r="H41" s="131"/>
      <c r="I41" s="131"/>
      <c r="J41" s="131"/>
    </row>
    <row r="42" spans="1:10">
      <c r="A42" s="241" t="str">
        <f>" "&amp;ForNonZimm!A47&amp;" "</f>
        <v xml:space="preserve"> 57 </v>
      </c>
      <c r="B42">
        <f t="shared" si="0"/>
        <v>4</v>
      </c>
      <c r="C42" s="131"/>
      <c r="D42" s="131"/>
      <c r="F42" s="131"/>
      <c r="G42" s="131"/>
      <c r="H42" s="131"/>
      <c r="I42" s="131"/>
      <c r="J42" s="131"/>
    </row>
    <row r="43" spans="1:10">
      <c r="A43" s="240" t="str">
        <f>" "&amp;_xlfn.CONCAT(LEFT(ForNonZimm!A48,8)&amp;"  "&amp;LEFT(ForNonZimm!B48,8)&amp;"  "&amp;LEFT(ForNonZimm!C48,8)&amp;"  "&amp;LEFT(ForNonZimm!D48,8)&amp;"  "&amp;LEFT(ForNonZimm!E48,8)&amp;" ")</f>
        <v xml:space="preserve"> 113428.1  141764.3  144529.4  145276.8  145142.2 </v>
      </c>
      <c r="B43">
        <f t="shared" si="0"/>
        <v>50</v>
      </c>
      <c r="C43" s="131"/>
      <c r="D43" s="131"/>
      <c r="F43" s="131"/>
      <c r="G43" s="131"/>
      <c r="H43" s="131"/>
      <c r="I43" s="131"/>
      <c r="J43" s="131"/>
    </row>
    <row r="44" spans="1:10">
      <c r="A44" s="240" t="str">
        <f>" "&amp;_xlfn.CONCAT(LEFT(ForNonZimm!A49,8)&amp;"  "&amp;LEFT(ForNonZimm!B49,8)&amp;"  "&amp;LEFT(ForNonZimm!C49,8)&amp;"  "&amp;LEFT(ForNonZimm!D49,8)&amp;"  "&amp;LEFT(ForNonZimm!E49,8)&amp;" ")</f>
        <v xml:space="preserve"> 2835.703  3544.108  3613.236  3631.920  3628.557 </v>
      </c>
      <c r="B44">
        <f t="shared" si="0"/>
        <v>50</v>
      </c>
      <c r="C44" s="131"/>
      <c r="D44" s="131"/>
      <c r="F44" s="131"/>
      <c r="G44" s="131"/>
      <c r="H44" s="131"/>
      <c r="I44" s="131"/>
      <c r="J44" s="131"/>
    </row>
    <row r="45" spans="1:10">
      <c r="A45" s="241" t="str">
        <f>" "&amp;ForNonZimm!A50&amp;" "</f>
        <v xml:space="preserve"> 64 </v>
      </c>
      <c r="B45">
        <f t="shared" si="0"/>
        <v>4</v>
      </c>
      <c r="C45" s="131"/>
      <c r="D45" s="131"/>
      <c r="F45" s="131"/>
      <c r="G45" s="131"/>
      <c r="H45" s="131"/>
      <c r="I45" s="131"/>
      <c r="J45" s="131"/>
    </row>
    <row r="46" spans="1:10">
      <c r="A46" s="240" t="str">
        <f>" "&amp;_xlfn.CONCAT(LEFT(ForNonZimm!A51,8)&amp;"  "&amp;LEFT(ForNonZimm!B51,8)&amp;"  "&amp;LEFT(ForNonZimm!C51,8)&amp;"  "&amp;LEFT(ForNonZimm!D51,8)&amp;"  "&amp;LEFT(ForNonZimm!E51,8)&amp;" ")</f>
        <v xml:space="preserve"> 82676.09  99481.61  102491.2  102947.2  102943.5 </v>
      </c>
      <c r="B46">
        <f t="shared" si="0"/>
        <v>50</v>
      </c>
      <c r="C46" s="131"/>
      <c r="D46" s="131"/>
      <c r="F46" s="131"/>
      <c r="G46" s="131"/>
      <c r="H46" s="131"/>
      <c r="I46" s="131"/>
      <c r="J46" s="131"/>
    </row>
    <row r="47" spans="1:10">
      <c r="A47" s="240" t="str">
        <f>" "&amp;_xlfn.CONCAT(LEFT(ForNonZimm!A52,8)&amp;"  "&amp;LEFT(ForNonZimm!B52,8)&amp;"  "&amp;LEFT(ForNonZimm!C52,8)&amp;"  "&amp;LEFT(ForNonZimm!D52,8)&amp;"  "&amp;LEFT(ForNonZimm!E52,8)&amp;" ")</f>
        <v xml:space="preserve"> 2066.902  2487.040  2562.280  2573.682  2573.587 </v>
      </c>
      <c r="B47">
        <f t="shared" si="0"/>
        <v>50</v>
      </c>
      <c r="C47" s="131"/>
      <c r="D47" s="131"/>
      <c r="F47" s="131"/>
      <c r="G47" s="131"/>
      <c r="H47" s="131"/>
      <c r="I47" s="131"/>
      <c r="J47" s="131"/>
    </row>
    <row r="48" spans="1:10">
      <c r="A48" s="241" t="str">
        <f>" "&amp;ForNonZimm!A53&amp;" "</f>
        <v xml:space="preserve"> 72 </v>
      </c>
      <c r="B48">
        <f t="shared" si="0"/>
        <v>4</v>
      </c>
      <c r="C48" s="131"/>
      <c r="D48" s="131"/>
      <c r="F48" s="131"/>
      <c r="G48" s="131"/>
      <c r="H48" s="131"/>
      <c r="I48" s="131"/>
      <c r="J48" s="131"/>
    </row>
    <row r="49" spans="1:10">
      <c r="A49" s="240" t="str">
        <f>" "&amp;_xlfn.CONCAT(LEFT(ForNonZimm!A54,8)&amp;"  "&amp;LEFT(ForNonZimm!B54,8)&amp;"  "&amp;LEFT(ForNonZimm!C54,8)&amp;"  "&amp;LEFT(ForNonZimm!D54,8)&amp;"  "&amp;LEFT(ForNonZimm!E54,8)&amp;" ")</f>
        <v xml:space="preserve"> 102533.5  114114.1  116644.9  117948.7  117128.1 </v>
      </c>
      <c r="B49">
        <f t="shared" si="0"/>
        <v>50</v>
      </c>
      <c r="C49" s="131"/>
      <c r="D49" s="131"/>
      <c r="F49" s="131"/>
      <c r="G49" s="131"/>
      <c r="H49" s="131"/>
      <c r="I49" s="131"/>
      <c r="J49" s="131"/>
    </row>
    <row r="50" spans="1:10">
      <c r="A50" s="240" t="str">
        <f>" "&amp;_xlfn.CONCAT(LEFT(ForNonZimm!A55,8)&amp;"  "&amp;LEFT(ForNonZimm!B55,8)&amp;"  "&amp;LEFT(ForNonZimm!C55,8)&amp;"  "&amp;LEFT(ForNonZimm!D55,8)&amp;"  "&amp;LEFT(ForNonZimm!E55,8)&amp;" ")</f>
        <v xml:space="preserve"> 2563.338  2852.853  2916.123  2948.717  2928.202 </v>
      </c>
      <c r="B50">
        <f t="shared" si="0"/>
        <v>50</v>
      </c>
      <c r="C50" s="131"/>
      <c r="D50" s="131"/>
      <c r="F50" s="131"/>
      <c r="G50" s="131"/>
      <c r="H50" s="131"/>
      <c r="I50" s="131"/>
      <c r="J50" s="131"/>
    </row>
    <row r="51" spans="1:10">
      <c r="A51" s="241" t="str">
        <f>" "&amp;ForNonZimm!A56&amp;" "</f>
        <v xml:space="preserve"> 81 </v>
      </c>
      <c r="B51">
        <f t="shared" si="0"/>
        <v>4</v>
      </c>
      <c r="C51" s="131"/>
      <c r="D51" s="131"/>
      <c r="F51" s="131"/>
      <c r="G51" s="131"/>
      <c r="H51" s="131"/>
      <c r="I51" s="131"/>
      <c r="J51" s="131"/>
    </row>
    <row r="52" spans="1:10">
      <c r="A52" s="240" t="str">
        <f>" "&amp;_xlfn.CONCAT(LEFT(ForNonZimm!A57,8)&amp;"  "&amp;LEFT(ForNonZimm!B57,8)&amp;"  "&amp;LEFT(ForNonZimm!C57,8)&amp;"  "&amp;LEFT(ForNonZimm!D57,8)&amp;"  "&amp;LEFT(ForNonZimm!E57,8)&amp;" ")</f>
        <v xml:space="preserve"> 150490.2  159840.4  161627.9  162262.7  162780.0 </v>
      </c>
      <c r="B52">
        <f t="shared" si="0"/>
        <v>50</v>
      </c>
      <c r="C52" s="131"/>
      <c r="D52" s="131"/>
      <c r="F52" s="131"/>
      <c r="G52" s="131"/>
      <c r="H52" s="131"/>
      <c r="I52" s="131"/>
      <c r="J52" s="131"/>
    </row>
    <row r="53" spans="1:10">
      <c r="A53" s="240" t="str">
        <f>" "&amp;_xlfn.CONCAT(LEFT(ForNonZimm!A58,8)&amp;"  "&amp;LEFT(ForNonZimm!B58,8)&amp;"  "&amp;LEFT(ForNonZimm!C58,8)&amp;"  "&amp;LEFT(ForNonZimm!D58,8)&amp;"  "&amp;LEFT(ForNonZimm!E58,8)&amp;" ")</f>
        <v xml:space="preserve"> 3762.255  3996.010  4040.699  4056.568  4069.500 </v>
      </c>
      <c r="B53">
        <f t="shared" si="0"/>
        <v>50</v>
      </c>
      <c r="C53" s="131"/>
      <c r="D53" s="131"/>
      <c r="F53" s="131"/>
      <c r="G53" s="131"/>
      <c r="H53" s="131"/>
      <c r="I53" s="131"/>
      <c r="J53" s="131"/>
    </row>
    <row r="54" spans="1:10">
      <c r="A54" s="241" t="str">
        <f>" "&amp;ForNonZimm!A59&amp;" "</f>
        <v xml:space="preserve"> 90 </v>
      </c>
      <c r="B54">
        <f t="shared" si="0"/>
        <v>4</v>
      </c>
      <c r="C54" s="131"/>
      <c r="D54" s="131"/>
      <c r="F54" s="131"/>
      <c r="G54" s="131"/>
      <c r="H54" s="131"/>
      <c r="I54" s="131"/>
      <c r="J54" s="131"/>
    </row>
    <row r="55" spans="1:10">
      <c r="A55" s="240" t="str">
        <f>" "&amp;_xlfn.CONCAT(LEFT(ForNonZimm!A60,8)&amp;"  "&amp;LEFT(ForNonZimm!B60,8)&amp;"  "&amp;LEFT(ForNonZimm!C60,8)&amp;"  "&amp;LEFT(ForNonZimm!D60,8)&amp;"  "&amp;LEFT(ForNonZimm!E60,8)&amp;" ")</f>
        <v xml:space="preserve"> 100000  106163.8  108655.9  109237.4  109212.5 </v>
      </c>
      <c r="B55">
        <f t="shared" si="0"/>
        <v>48</v>
      </c>
      <c r="C55" s="131"/>
      <c r="D55" s="131"/>
      <c r="F55" s="131"/>
      <c r="G55" s="131"/>
      <c r="H55" s="131"/>
      <c r="I55" s="131"/>
      <c r="J55" s="131"/>
    </row>
    <row r="56" spans="1:10">
      <c r="A56" s="240" t="str">
        <f>" "&amp;_xlfn.CONCAT(LEFT(ForNonZimm!A61,8)&amp;"  "&amp;LEFT(ForNonZimm!B61,8)&amp;"  "&amp;LEFT(ForNonZimm!C61,8)&amp;"  "&amp;LEFT(ForNonZimm!D61,8)&amp;"  "&amp;LEFT(ForNonZimm!E61,8)&amp;" ")</f>
        <v xml:space="preserve"> 2500  2654.096  2716.399  2730.936  2730.313 </v>
      </c>
      <c r="B56">
        <f t="shared" si="0"/>
        <v>46</v>
      </c>
      <c r="C56" s="131"/>
      <c r="D56" s="131"/>
      <c r="F56" s="131"/>
      <c r="G56" s="131"/>
      <c r="H56" s="131"/>
      <c r="I56" s="131"/>
      <c r="J56" s="131"/>
    </row>
    <row r="57" spans="1:10">
      <c r="A57" s="241" t="str">
        <f>" "&amp;ForNonZimm!A62&amp;" "</f>
        <v xml:space="preserve"> 99 </v>
      </c>
      <c r="B57">
        <f t="shared" si="0"/>
        <v>4</v>
      </c>
      <c r="C57" s="131"/>
      <c r="D57" s="131"/>
      <c r="F57" s="131"/>
      <c r="G57" s="131"/>
      <c r="H57" s="131"/>
      <c r="I57" s="131"/>
      <c r="J57" s="131"/>
    </row>
    <row r="58" spans="1:10">
      <c r="A58" s="240" t="str">
        <f>" "&amp;_xlfn.CONCAT(LEFT(ForNonZimm!A63,8)&amp;"  "&amp;LEFT(ForNonZimm!B63,8)&amp;"  "&amp;LEFT(ForNonZimm!C63,8)&amp;"  "&amp;LEFT(ForNonZimm!D63,8)&amp;"  "&amp;LEFT(ForNonZimm!E63,8)&amp;" ")</f>
        <v xml:space="preserve"> 109824.4  118070.7  119849.3  120694.7  121211.8 </v>
      </c>
      <c r="B58">
        <f t="shared" si="0"/>
        <v>50</v>
      </c>
      <c r="C58" s="131"/>
      <c r="D58" s="131"/>
      <c r="F58" s="131"/>
      <c r="G58" s="131"/>
      <c r="H58" s="131"/>
      <c r="I58" s="131"/>
      <c r="J58" s="131"/>
    </row>
    <row r="59" spans="1:10">
      <c r="A59" s="240" t="str">
        <f>" "&amp;_xlfn.CONCAT(LEFT(ForNonZimm!A64,8)&amp;"  "&amp;LEFT(ForNonZimm!B64,8)&amp;"  "&amp;LEFT(ForNonZimm!C64,8)&amp;"  "&amp;LEFT(ForNonZimm!D64,8)&amp;"  "&amp;LEFT(ForNonZimm!E64,8)&amp;" ")</f>
        <v xml:space="preserve"> 2745.610  2951.767  2996.232  3017.368  3030.296 </v>
      </c>
      <c r="B59">
        <f t="shared" si="0"/>
        <v>50</v>
      </c>
      <c r="C59" s="131"/>
      <c r="D59" s="131"/>
      <c r="F59" s="131"/>
      <c r="G59" s="131"/>
      <c r="H59" s="131"/>
      <c r="I59" s="131"/>
      <c r="J59" s="131"/>
    </row>
    <row r="60" spans="1:10">
      <c r="A60" s="241" t="str">
        <f>" "&amp;ForNonZimm!A65&amp;" "</f>
        <v xml:space="preserve"> 117 </v>
      </c>
      <c r="B60">
        <f t="shared" si="0"/>
        <v>5</v>
      </c>
      <c r="C60" s="131"/>
      <c r="D60" s="131"/>
      <c r="F60" s="131"/>
      <c r="G60" s="131"/>
      <c r="H60" s="131"/>
      <c r="I60" s="131"/>
      <c r="J60" s="131"/>
    </row>
    <row r="61" spans="1:10">
      <c r="A61" s="240" t="str">
        <f>" "&amp;_xlfn.CONCAT(LEFT(ForNonZimm!A66,8)&amp;"  "&amp;LEFT(ForNonZimm!B66,8)&amp;"  "&amp;LEFT(ForNonZimm!C66,8)&amp;"  "&amp;LEFT(ForNonZimm!D66,8)&amp;"  "&amp;LEFT(ForNonZimm!E66,8)&amp;" ")</f>
        <v xml:space="preserve"> 88107.96  106312.2  108949.8  109689.3  109769.7 </v>
      </c>
      <c r="B61">
        <f t="shared" si="0"/>
        <v>50</v>
      </c>
      <c r="C61" s="131"/>
      <c r="D61" s="131"/>
      <c r="F61" s="131"/>
      <c r="G61" s="131"/>
      <c r="H61" s="131"/>
      <c r="I61" s="131"/>
      <c r="J61" s="131"/>
    </row>
    <row r="62" spans="1:10">
      <c r="A62" s="240" t="str">
        <f>" "&amp;_xlfn.CONCAT(LEFT(ForNonZimm!A67,8)&amp;"  "&amp;LEFT(ForNonZimm!B67,8)&amp;"  "&amp;LEFT(ForNonZimm!C67,8)&amp;"  "&amp;LEFT(ForNonZimm!D67,8)&amp;"  "&amp;LEFT(ForNonZimm!E67,8)&amp;" ")</f>
        <v xml:space="preserve"> 2202.699  2657.806  2723.745  2742.234  2744.242 </v>
      </c>
      <c r="B62">
        <f t="shared" ref="B62:B74" si="1">LEN(A62)</f>
        <v>50</v>
      </c>
      <c r="C62" s="131"/>
      <c r="D62" s="131"/>
      <c r="F62" s="131"/>
      <c r="G62" s="131"/>
      <c r="H62" s="131"/>
      <c r="I62" s="131"/>
      <c r="J62" s="131"/>
    </row>
    <row r="63" spans="1:10">
      <c r="A63" s="241" t="str">
        <f>" "&amp;ForNonZimm!A68&amp;" "</f>
        <v xml:space="preserve"> 126 </v>
      </c>
      <c r="B63">
        <f t="shared" si="1"/>
        <v>5</v>
      </c>
      <c r="C63" s="131"/>
      <c r="D63" s="131"/>
      <c r="F63" s="131"/>
      <c r="G63" s="131"/>
      <c r="H63" s="131"/>
      <c r="I63" s="131"/>
      <c r="J63" s="131"/>
    </row>
    <row r="64" spans="1:10">
      <c r="A64" s="240" t="str">
        <f>" "&amp;_xlfn.CONCAT(LEFT(ForNonZimm!A69,8)&amp;"  "&amp;LEFT(ForNonZimm!B69,8)&amp;"  "&amp;LEFT(ForNonZimm!C69,8)&amp;"  "&amp;LEFT(ForNonZimm!D69,8)&amp;"  "&amp;LEFT(ForNonZimm!E69,8)&amp;" ")</f>
        <v xml:space="preserve"> 108111.0  141055.6  144363.7  145170.6  144928.5 </v>
      </c>
      <c r="B64">
        <f t="shared" si="1"/>
        <v>50</v>
      </c>
      <c r="C64" s="131"/>
      <c r="D64" s="131"/>
      <c r="F64" s="131"/>
      <c r="G64" s="131"/>
      <c r="H64" s="131"/>
      <c r="I64" s="131"/>
      <c r="J64" s="131"/>
    </row>
    <row r="65" spans="1:10">
      <c r="A65" s="240" t="str">
        <f>" "&amp;_xlfn.CONCAT(LEFT(ForNonZimm!A70,8)&amp;"  "&amp;LEFT(ForNonZimm!B70,8)&amp;"  "&amp;LEFT(ForNonZimm!C70,8)&amp;"  "&amp;LEFT(ForNonZimm!D70,8)&amp;"  "&amp;LEFT(ForNonZimm!E70,8)&amp;" ")</f>
        <v xml:space="preserve"> 2702.776  3526.391  3609.093  3629.265  3623.213 </v>
      </c>
      <c r="B65">
        <f t="shared" si="1"/>
        <v>50</v>
      </c>
      <c r="C65" s="131"/>
      <c r="D65" s="131"/>
      <c r="F65" s="131"/>
      <c r="G65" s="131"/>
      <c r="H65" s="131"/>
      <c r="I65" s="131"/>
      <c r="J65" s="131"/>
    </row>
    <row r="66" spans="1:10">
      <c r="A66" s="241" t="str">
        <f>" "&amp;ForNonZimm!A71&amp;" "</f>
        <v xml:space="preserve"> 134 </v>
      </c>
      <c r="B66">
        <f t="shared" si="1"/>
        <v>5</v>
      </c>
      <c r="C66" s="131"/>
      <c r="D66" s="131"/>
      <c r="F66" s="131"/>
      <c r="G66" s="131"/>
      <c r="H66" s="131"/>
      <c r="I66" s="131"/>
      <c r="J66" s="131"/>
    </row>
    <row r="67" spans="1:10">
      <c r="A67" s="240" t="str">
        <f>" "&amp;_xlfn.CONCAT(LEFT(ForNonZimm!A72,8)&amp;"  "&amp;LEFT(ForNonZimm!B72,8)&amp;"  "&amp;LEFT(ForNonZimm!C72,8)&amp;"  "&amp;LEFT(ForNonZimm!D72,8)&amp;"  "&amp;LEFT(ForNonZimm!E72,8)&amp;" ")</f>
        <v xml:space="preserve"> 87440.68  130497.9  133587.8  134498.3  135005.6 </v>
      </c>
      <c r="B67">
        <f t="shared" si="1"/>
        <v>50</v>
      </c>
      <c r="C67" s="131"/>
      <c r="D67" s="131"/>
      <c r="F67" s="131"/>
      <c r="G67" s="131"/>
      <c r="H67" s="131"/>
      <c r="I67" s="131"/>
      <c r="J67" s="131"/>
    </row>
    <row r="68" spans="1:10">
      <c r="A68" s="240" t="str">
        <f>" "&amp;_xlfn.CONCAT(LEFT(ForNonZimm!A73,8)&amp;"  "&amp;LEFT(ForNonZimm!B73,8)&amp;"  "&amp;LEFT(ForNonZimm!C73,8)&amp;"  "&amp;LEFT(ForNonZimm!D73,8)&amp;"  "&amp;LEFT(ForNonZimm!E73,8)&amp;" ")</f>
        <v xml:space="preserve"> 2186.017  3262.447  3339.695  3362.457  3375.142 </v>
      </c>
      <c r="B68">
        <f t="shared" si="1"/>
        <v>50</v>
      </c>
      <c r="C68" s="131"/>
      <c r="D68" s="131"/>
      <c r="F68" s="131"/>
      <c r="G68" s="131"/>
      <c r="H68" s="131"/>
      <c r="I68" s="131"/>
      <c r="J68" s="131"/>
    </row>
    <row r="69" spans="1:10">
      <c r="A69" s="241" t="str">
        <f>" "&amp;ForNonZimm!A74&amp;" "</f>
        <v xml:space="preserve"> 141 </v>
      </c>
      <c r="B69">
        <f t="shared" si="1"/>
        <v>5</v>
      </c>
      <c r="C69" s="131"/>
      <c r="D69" s="131"/>
      <c r="F69" s="131"/>
      <c r="G69" s="131"/>
      <c r="H69" s="131"/>
      <c r="I69" s="131"/>
      <c r="J69" s="131"/>
    </row>
    <row r="70" spans="1:10">
      <c r="A70" s="240" t="str">
        <f>" "&amp;_xlfn.CONCAT(LEFT(ForNonZimm!A75,8)&amp;"  "&amp;LEFT(ForNonZimm!B75,8)&amp;"  "&amp;LEFT(ForNonZimm!C75,8)&amp;"  "&amp;LEFT(ForNonZimm!D75,8)&amp;"  "&amp;LEFT(ForNonZimm!E75,8)&amp;" ")</f>
        <v xml:space="preserve"> 95206.21  161629.4  165151.9  166264.3  166017.8 </v>
      </c>
      <c r="B70">
        <f t="shared" si="1"/>
        <v>50</v>
      </c>
      <c r="C70" s="131"/>
      <c r="D70" s="131"/>
      <c r="F70" s="131"/>
      <c r="G70" s="131"/>
      <c r="H70" s="131"/>
      <c r="I70" s="131"/>
      <c r="J70" s="131"/>
    </row>
    <row r="71" spans="1:10">
      <c r="A71" s="240" t="str">
        <f>" "&amp;_xlfn.CONCAT(LEFT(ForNonZimm!A76,8)&amp;"  "&amp;LEFT(ForNonZimm!B76,8)&amp;"  "&amp;LEFT(ForNonZimm!C76,8)&amp;"  "&amp;LEFT(ForNonZimm!D76,8)&amp;"  "&amp;LEFT(ForNonZimm!E76,8)&amp;" ")</f>
        <v xml:space="preserve"> 2380.155  4040.735  4128.799  4156.609  4150.445 </v>
      </c>
      <c r="B71">
        <f t="shared" si="1"/>
        <v>50</v>
      </c>
      <c r="C71" s="131"/>
      <c r="D71" s="131"/>
      <c r="F71" s="131"/>
      <c r="G71" s="131"/>
      <c r="H71" s="131"/>
      <c r="I71" s="131"/>
      <c r="J71" s="131"/>
    </row>
    <row r="72" spans="1:10">
      <c r="A72" s="241" t="str">
        <f>" "&amp;ForNonZimm!A77&amp;" "</f>
        <v xml:space="preserve"> 147 </v>
      </c>
      <c r="B72">
        <f t="shared" si="1"/>
        <v>5</v>
      </c>
      <c r="C72" s="131"/>
      <c r="D72" s="131"/>
      <c r="F72" s="131"/>
      <c r="G72" s="131"/>
      <c r="H72" s="131"/>
      <c r="I72" s="131"/>
      <c r="J72" s="131"/>
    </row>
    <row r="73" spans="1:10">
      <c r="A73" s="240" t="str">
        <f>" "&amp;_xlfn.CONCAT(LEFT(ForNonZimm!A78,8)&amp;"  "&amp;LEFT(ForNonZimm!B78,8)&amp;"  "&amp;LEFT(ForNonZimm!C78,8)&amp;"  "&amp;LEFT(ForNonZimm!D78,8)&amp;"  "&amp;LEFT(ForNonZimm!E78,8)&amp;" ")</f>
        <v xml:space="preserve"> 80948.02  159624.1  164203.9  164908.2  165403.9 </v>
      </c>
      <c r="B73">
        <f t="shared" si="1"/>
        <v>50</v>
      </c>
      <c r="C73" s="131"/>
      <c r="D73" s="131"/>
      <c r="F73" s="131"/>
      <c r="G73" s="131"/>
      <c r="H73" s="131"/>
      <c r="I73" s="131"/>
      <c r="J73" s="131"/>
    </row>
    <row r="74" spans="1:10">
      <c r="A74" s="240" t="str">
        <f>" "&amp;_xlfn.CONCAT(LEFT(ForNonZimm!A79,8)&amp;"  "&amp;LEFT(ForNonZimm!B79,8)&amp;"  "&amp;LEFT(ForNonZimm!C79,8)&amp;"  "&amp;LEFT(ForNonZimm!D79,8)&amp;"  "&amp;LEFT(ForNonZimm!E79,8)&amp;" ")</f>
        <v xml:space="preserve"> 2023.700  3990.603  4105.098  4122.707  4135.098 </v>
      </c>
      <c r="B74">
        <f t="shared" si="1"/>
        <v>50</v>
      </c>
      <c r="C74" s="131"/>
      <c r="D74" s="131"/>
      <c r="F74" s="131"/>
      <c r="G74" s="131"/>
      <c r="H74" s="131"/>
      <c r="I74" s="131"/>
      <c r="J74" s="131"/>
    </row>
    <row r="75" spans="1:10">
      <c r="A75" s="131"/>
      <c r="B75" s="131"/>
      <c r="C75" s="131"/>
      <c r="D75" s="131"/>
      <c r="F75" s="131"/>
      <c r="G75" s="131"/>
      <c r="H75" s="131"/>
      <c r="I75" s="131"/>
      <c r="J75" s="131"/>
    </row>
    <row r="76" spans="1:10">
      <c r="A76" s="131"/>
      <c r="B76" s="131"/>
      <c r="C76" s="131"/>
      <c r="D76" s="131"/>
      <c r="F76" s="131"/>
      <c r="G76" s="131"/>
      <c r="H76" s="131"/>
      <c r="I76" s="131"/>
      <c r="J76" s="131"/>
    </row>
    <row r="77" spans="1:10">
      <c r="A77" s="131"/>
      <c r="B77" s="131"/>
      <c r="C77" s="131"/>
      <c r="D77" s="131"/>
      <c r="F77" s="131"/>
      <c r="G77" s="131"/>
      <c r="H77" s="131"/>
      <c r="I77" s="131"/>
      <c r="J77" s="131"/>
    </row>
    <row r="78" spans="1:10">
      <c r="A78" s="131"/>
      <c r="B78" s="131"/>
      <c r="C78" s="131"/>
      <c r="D78" s="131"/>
      <c r="F78" s="131"/>
      <c r="G78" s="131"/>
      <c r="H78" s="131"/>
      <c r="I78" s="131"/>
      <c r="J78" s="131"/>
    </row>
    <row r="79" spans="1:10">
      <c r="A79" s="131"/>
      <c r="B79" s="131"/>
      <c r="C79" s="131"/>
      <c r="D79" s="131"/>
      <c r="F79" s="131"/>
      <c r="G79" s="131"/>
      <c r="H79" s="131"/>
      <c r="I79" s="131"/>
      <c r="J79" s="131"/>
    </row>
    <row r="80" spans="1:10">
      <c r="A80" s="131"/>
      <c r="B80" s="131"/>
      <c r="C80" s="131"/>
      <c r="D80" s="131"/>
      <c r="F80" s="131"/>
      <c r="G80" s="131"/>
      <c r="H80" s="131"/>
      <c r="I80" s="131"/>
      <c r="J80" s="131"/>
    </row>
    <row r="81" spans="1:10">
      <c r="A81" s="131"/>
      <c r="B81" s="131"/>
      <c r="C81" s="131"/>
      <c r="D81" s="131"/>
      <c r="F81" s="131"/>
      <c r="G81" s="131"/>
      <c r="H81" s="131"/>
      <c r="I81" s="131"/>
      <c r="J81" s="131"/>
    </row>
    <row r="82" spans="1:10">
      <c r="A82" s="131"/>
      <c r="B82" s="131"/>
      <c r="C82" s="131"/>
      <c r="D82" s="131"/>
      <c r="F82" s="131"/>
      <c r="G82" s="131"/>
      <c r="H82" s="131"/>
      <c r="I82" s="131"/>
      <c r="J82" s="131"/>
    </row>
    <row r="83" spans="1:10">
      <c r="A83" s="131"/>
      <c r="B83" s="131"/>
      <c r="C83" s="131"/>
      <c r="D83" s="131"/>
      <c r="F83" s="131"/>
      <c r="G83" s="131"/>
      <c r="H83" s="131"/>
      <c r="I83" s="131"/>
      <c r="J83" s="131"/>
    </row>
    <row r="84" spans="1:10">
      <c r="A84" s="131"/>
      <c r="B84" s="131"/>
      <c r="C84" s="131"/>
      <c r="D84" s="131"/>
      <c r="F84" s="131"/>
      <c r="G84" s="131"/>
      <c r="H84" s="131"/>
      <c r="I84" s="131"/>
      <c r="J84" s="131"/>
    </row>
    <row r="85" spans="1:10">
      <c r="A85" s="131"/>
      <c r="B85" s="131"/>
      <c r="C85" s="131"/>
      <c r="D85" s="131"/>
      <c r="F85" s="131"/>
      <c r="G85" s="131"/>
      <c r="H85" s="131"/>
      <c r="I85" s="131"/>
      <c r="J85" s="131"/>
    </row>
    <row r="86" spans="1:10">
      <c r="A86" s="131"/>
      <c r="B86" s="131"/>
      <c r="C86" s="131"/>
      <c r="D86" s="131"/>
      <c r="F86" s="131"/>
      <c r="G86" s="131"/>
      <c r="H86" s="131"/>
      <c r="I86" s="131"/>
      <c r="J86" s="131"/>
    </row>
    <row r="87" spans="1:10">
      <c r="A87" s="131"/>
      <c r="B87" s="131"/>
      <c r="C87" s="131"/>
      <c r="D87" s="131"/>
      <c r="F87" s="131"/>
      <c r="G87" s="131"/>
      <c r="H87" s="131"/>
      <c r="I87" s="131"/>
      <c r="J87" s="131"/>
    </row>
    <row r="88" spans="1:10">
      <c r="A88" s="131"/>
      <c r="B88" s="131"/>
      <c r="C88" s="131"/>
      <c r="D88" s="131"/>
      <c r="F88" s="131"/>
      <c r="G88" s="131"/>
      <c r="H88" s="131"/>
      <c r="I88" s="131"/>
      <c r="J88" s="131"/>
    </row>
    <row r="89" spans="1:10">
      <c r="A89" s="131"/>
      <c r="B89" s="131"/>
      <c r="C89" s="131"/>
      <c r="D89" s="131"/>
      <c r="F89" s="131"/>
      <c r="G89" s="131"/>
      <c r="H89" s="131"/>
      <c r="I89" s="131"/>
      <c r="J89" s="131"/>
    </row>
    <row r="90" spans="1:10">
      <c r="A90" s="131"/>
      <c r="B90" s="131"/>
      <c r="C90" s="131"/>
      <c r="D90" s="131"/>
      <c r="F90" s="131"/>
      <c r="G90" s="131"/>
      <c r="H90" s="131"/>
      <c r="I90" s="131"/>
      <c r="J90" s="131"/>
    </row>
    <row r="91" spans="1:10">
      <c r="A91" s="131"/>
      <c r="B91" s="131"/>
      <c r="C91" s="131"/>
      <c r="D91" s="131"/>
      <c r="F91" s="131"/>
      <c r="G91" s="131"/>
      <c r="H91" s="131"/>
      <c r="I91" s="131"/>
      <c r="J91" s="131"/>
    </row>
    <row r="92" spans="1:10">
      <c r="A92" s="131"/>
      <c r="B92" s="131"/>
      <c r="C92" s="131"/>
      <c r="D92" s="131"/>
      <c r="F92" s="131"/>
      <c r="G92" s="131"/>
      <c r="H92" s="131"/>
      <c r="I92" s="131"/>
      <c r="J92" s="131"/>
    </row>
    <row r="93" spans="1:10">
      <c r="A93" s="131"/>
      <c r="B93" s="131"/>
      <c r="C93" s="131"/>
      <c r="D93" s="131"/>
      <c r="F93" s="131"/>
      <c r="G93" s="131"/>
      <c r="H93" s="131"/>
      <c r="I93" s="131"/>
      <c r="J93" s="131"/>
    </row>
  </sheetData>
  <pageMargins left="0.7" right="0.7" top="0.75" bottom="0.75" header="0.3" footer="0.3"/>
  <pageSetup orientation="portrait" horizontalDpi="4294967293" verticalDpi="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31</vt:i4>
      </vt:variant>
    </vt:vector>
  </HeadingPairs>
  <TitlesOfParts>
    <vt:vector size="48" baseType="lpstr">
      <vt:lpstr>Development notes</vt:lpstr>
      <vt:lpstr>Instructions &amp; Notes</vt:lpstr>
      <vt:lpstr>Parameters</vt:lpstr>
      <vt:lpstr>ConcData</vt:lpstr>
      <vt:lpstr>NormStandard</vt:lpstr>
      <vt:lpstr>Conc1</vt:lpstr>
      <vt:lpstr>Conc2</vt:lpstr>
      <vt:lpstr>Conc3</vt:lpstr>
      <vt:lpstr>Conc4</vt:lpstr>
      <vt:lpstr>Conc5</vt:lpstr>
      <vt:lpstr>Conc6</vt:lpstr>
      <vt:lpstr>Conc7</vt:lpstr>
      <vt:lpstr>Conc8</vt:lpstr>
      <vt:lpstr>Guinier+SphereFit1</vt:lpstr>
      <vt:lpstr>ZimmPrep</vt:lpstr>
      <vt:lpstr>ForNonZimm</vt:lpstr>
      <vt:lpstr>4ConcText</vt:lpstr>
      <vt:lpstr>CalStd</vt:lpstr>
      <vt:lpstr>Dens1</vt:lpstr>
      <vt:lpstr>dndc</vt:lpstr>
      <vt:lpstr>Exponentm</vt:lpstr>
      <vt:lpstr>Guinslope</vt:lpstr>
      <vt:lpstr>Guintercept</vt:lpstr>
      <vt:lpstr>I90Std</vt:lpstr>
      <vt:lpstr>Izero</vt:lpstr>
      <vt:lpstr>Koptical</vt:lpstr>
      <vt:lpstr>kscale</vt:lpstr>
      <vt:lpstr>'Guinier+SphereFit1'!Lamcm</vt:lpstr>
      <vt:lpstr>Lamcm</vt:lpstr>
      <vt:lpstr>'Guinier+SphereFit1'!Lamnm</vt:lpstr>
      <vt:lpstr>Lamnm</vt:lpstr>
      <vt:lpstr>mExponent</vt:lpstr>
      <vt:lpstr>MolWt</vt:lpstr>
      <vt:lpstr>RadGy</vt:lpstr>
      <vt:lpstr>RayFacToluene</vt:lpstr>
      <vt:lpstr>RayFactorStd</vt:lpstr>
      <vt:lpstr>'Guinier+SphereFit1'!Refin</vt:lpstr>
      <vt:lpstr>Refin</vt:lpstr>
      <vt:lpstr>RefinRayleigh</vt:lpstr>
      <vt:lpstr>Rgcm</vt:lpstr>
      <vt:lpstr>'Guinier+SphereFit1'!Rgyration</vt:lpstr>
      <vt:lpstr>Rgyration</vt:lpstr>
      <vt:lpstr>Rhydro</vt:lpstr>
      <vt:lpstr>Rsphere</vt:lpstr>
      <vt:lpstr>Solvent</vt:lpstr>
      <vt:lpstr>v2bar</vt:lpstr>
      <vt:lpstr>Virial2</vt:lpstr>
      <vt:lpstr>VolExponent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Paul Russo</cp:lastModifiedBy>
  <dcterms:created xsi:type="dcterms:W3CDTF">2015-06-05T18:17:20Z</dcterms:created>
  <dcterms:modified xsi:type="dcterms:W3CDTF">2024-06-23T23:44:25Z</dcterms:modified>
</cp:coreProperties>
</file>